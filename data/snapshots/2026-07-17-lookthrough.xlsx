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75E02EE-F146-4CF7-848C-0CCA048610D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Übersicht" sheetId="1" r:id="rId1"/>
    <sheet name="Alle Unternehmen" sheetId="2" r:id="rId2"/>
    <sheet name="Quellpositionen" sheetId="3" r:id="rId3"/>
    <sheet name="Direktbestand" sheetId="4" r:id="rId4"/>
    <sheet name="Quellen &amp; Annahm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5" l="1"/>
  <c r="F15" i="5"/>
  <c r="B15" i="5"/>
  <c r="J1289" i="2"/>
  <c r="K1289" i="2" s="1"/>
  <c r="L1289" i="2" s="1"/>
  <c r="L1288" i="2"/>
  <c r="J1288" i="2"/>
  <c r="K1288" i="2" s="1"/>
  <c r="K1287" i="2"/>
  <c r="L1287" i="2" s="1"/>
  <c r="J1287" i="2"/>
  <c r="J1286" i="2"/>
  <c r="K1286" i="2" s="1"/>
  <c r="L1286" i="2" s="1"/>
  <c r="K1285" i="2"/>
  <c r="L1285" i="2" s="1"/>
  <c r="J1285" i="2"/>
  <c r="J1284" i="2"/>
  <c r="K1284" i="2" s="1"/>
  <c r="L1284" i="2" s="1"/>
  <c r="J1283" i="2"/>
  <c r="K1283" i="2" s="1"/>
  <c r="L1283" i="2" s="1"/>
  <c r="J1282" i="2"/>
  <c r="K1282" i="2" s="1"/>
  <c r="L1282" i="2" s="1"/>
  <c r="J1281" i="2"/>
  <c r="K1281" i="2" s="1"/>
  <c r="L1281" i="2" s="1"/>
  <c r="J1280" i="2"/>
  <c r="K1280" i="2" s="1"/>
  <c r="L1280" i="2" s="1"/>
  <c r="J1279" i="2"/>
  <c r="K1279" i="2" s="1"/>
  <c r="L1279" i="2" s="1"/>
  <c r="J1278" i="2"/>
  <c r="K1278" i="2" s="1"/>
  <c r="L1278" i="2" s="1"/>
  <c r="K1277" i="2"/>
  <c r="L1277" i="2" s="1"/>
  <c r="J1277" i="2"/>
  <c r="K1276" i="2"/>
  <c r="L1276" i="2" s="1"/>
  <c r="J1276" i="2"/>
  <c r="J1275" i="2"/>
  <c r="K1275" i="2" s="1"/>
  <c r="L1275" i="2" s="1"/>
  <c r="K1274" i="2"/>
  <c r="L1274" i="2" s="1"/>
  <c r="J1274" i="2"/>
  <c r="J1273" i="2"/>
  <c r="K1273" i="2" s="1"/>
  <c r="L1273" i="2" s="1"/>
  <c r="J1272" i="2"/>
  <c r="K1272" i="2" s="1"/>
  <c r="L1272" i="2" s="1"/>
  <c r="K1271" i="2"/>
  <c r="L1271" i="2" s="1"/>
  <c r="J1271" i="2"/>
  <c r="J1270" i="2"/>
  <c r="K1270" i="2" s="1"/>
  <c r="L1270" i="2" s="1"/>
  <c r="J1269" i="2"/>
  <c r="K1269" i="2" s="1"/>
  <c r="L1269" i="2" s="1"/>
  <c r="J1268" i="2"/>
  <c r="K1268" i="2" s="1"/>
  <c r="L1268" i="2" s="1"/>
  <c r="J1267" i="2"/>
  <c r="K1267" i="2" s="1"/>
  <c r="L1267" i="2" s="1"/>
  <c r="K1266" i="2"/>
  <c r="L1266" i="2" s="1"/>
  <c r="J1266" i="2"/>
  <c r="J1265" i="2"/>
  <c r="K1265" i="2" s="1"/>
  <c r="L1265" i="2" s="1"/>
  <c r="J1264" i="2"/>
  <c r="K1264" i="2" s="1"/>
  <c r="L1264" i="2" s="1"/>
  <c r="K1263" i="2"/>
  <c r="L1263" i="2" s="1"/>
  <c r="J1263" i="2"/>
  <c r="K1262" i="2"/>
  <c r="L1262" i="2" s="1"/>
  <c r="J1262" i="2"/>
  <c r="J1261" i="2"/>
  <c r="K1261" i="2" s="1"/>
  <c r="L1261" i="2" s="1"/>
  <c r="J1260" i="2"/>
  <c r="K1260" i="2" s="1"/>
  <c r="L1260" i="2" s="1"/>
  <c r="J1259" i="2"/>
  <c r="K1259" i="2" s="1"/>
  <c r="L1259" i="2" s="1"/>
  <c r="K1258" i="2"/>
  <c r="L1258" i="2" s="1"/>
  <c r="J1258" i="2"/>
  <c r="J1257" i="2"/>
  <c r="K1257" i="2" s="1"/>
  <c r="L1257" i="2" s="1"/>
  <c r="J1256" i="2"/>
  <c r="K1256" i="2" s="1"/>
  <c r="L1256" i="2" s="1"/>
  <c r="K1255" i="2"/>
  <c r="L1255" i="2" s="1"/>
  <c r="J1255" i="2"/>
  <c r="J1254" i="2"/>
  <c r="K1254" i="2" s="1"/>
  <c r="L1254" i="2" s="1"/>
  <c r="J1253" i="2"/>
  <c r="K1253" i="2" s="1"/>
  <c r="L1253" i="2" s="1"/>
  <c r="K1252" i="2"/>
  <c r="L1252" i="2" s="1"/>
  <c r="J1252" i="2"/>
  <c r="J1251" i="2"/>
  <c r="K1251" i="2" s="1"/>
  <c r="L1251" i="2" s="1"/>
  <c r="J1250" i="2"/>
  <c r="K1250" i="2" s="1"/>
  <c r="L1250" i="2" s="1"/>
  <c r="J1249" i="2"/>
  <c r="K1249" i="2" s="1"/>
  <c r="L1249" i="2" s="1"/>
  <c r="J1248" i="2"/>
  <c r="K1248" i="2" s="1"/>
  <c r="L1248" i="2" s="1"/>
  <c r="J1247" i="2"/>
  <c r="K1247" i="2" s="1"/>
  <c r="L1247" i="2" s="1"/>
  <c r="J1246" i="2"/>
  <c r="K1246" i="2" s="1"/>
  <c r="L1246" i="2" s="1"/>
  <c r="K1245" i="2"/>
  <c r="L1245" i="2" s="1"/>
  <c r="J1245" i="2"/>
  <c r="J1244" i="2"/>
  <c r="K1244" i="2" s="1"/>
  <c r="L1244" i="2" s="1"/>
  <c r="J1243" i="2"/>
  <c r="K1243" i="2" s="1"/>
  <c r="L1243" i="2" s="1"/>
  <c r="L1242" i="2"/>
  <c r="J1242" i="2"/>
  <c r="K1242" i="2" s="1"/>
  <c r="L1241" i="2"/>
  <c r="J1241" i="2"/>
  <c r="K1241" i="2" s="1"/>
  <c r="J1240" i="2"/>
  <c r="K1240" i="2" s="1"/>
  <c r="L1240" i="2" s="1"/>
  <c r="J1239" i="2"/>
  <c r="K1239" i="2" s="1"/>
  <c r="L1239" i="2" s="1"/>
  <c r="J1238" i="2"/>
  <c r="K1238" i="2" s="1"/>
  <c r="L1238" i="2" s="1"/>
  <c r="J1237" i="2"/>
  <c r="K1237" i="2" s="1"/>
  <c r="L1237" i="2" s="1"/>
  <c r="L1236" i="2"/>
  <c r="K1236" i="2"/>
  <c r="J1236" i="2"/>
  <c r="K1235" i="2"/>
  <c r="L1235" i="2" s="1"/>
  <c r="J1235" i="2"/>
  <c r="J1234" i="2"/>
  <c r="K1234" i="2" s="1"/>
  <c r="L1234" i="2" s="1"/>
  <c r="L1233" i="2"/>
  <c r="J1233" i="2"/>
  <c r="K1233" i="2" s="1"/>
  <c r="J1232" i="2"/>
  <c r="K1232" i="2" s="1"/>
  <c r="L1232" i="2" s="1"/>
  <c r="J1231" i="2"/>
  <c r="K1231" i="2" s="1"/>
  <c r="L1231" i="2" s="1"/>
  <c r="J1230" i="2"/>
  <c r="K1230" i="2" s="1"/>
  <c r="L1230" i="2" s="1"/>
  <c r="J1229" i="2"/>
  <c r="K1229" i="2" s="1"/>
  <c r="L1229" i="2" s="1"/>
  <c r="J1228" i="2"/>
  <c r="K1228" i="2" s="1"/>
  <c r="L1228" i="2" s="1"/>
  <c r="J1227" i="2"/>
  <c r="K1227" i="2" s="1"/>
  <c r="L1227" i="2" s="1"/>
  <c r="K1226" i="2"/>
  <c r="L1226" i="2" s="1"/>
  <c r="J1226" i="2"/>
  <c r="J1225" i="2"/>
  <c r="K1225" i="2" s="1"/>
  <c r="L1225" i="2" s="1"/>
  <c r="J1224" i="2"/>
  <c r="K1224" i="2" s="1"/>
  <c r="L1224" i="2" s="1"/>
  <c r="J1223" i="2"/>
  <c r="K1223" i="2" s="1"/>
  <c r="L1223" i="2" s="1"/>
  <c r="K1222" i="2"/>
  <c r="L1222" i="2" s="1"/>
  <c r="J1222" i="2"/>
  <c r="K1221" i="2"/>
  <c r="L1221" i="2" s="1"/>
  <c r="J1221" i="2"/>
  <c r="K1220" i="2"/>
  <c r="L1220" i="2" s="1"/>
  <c r="J1220" i="2"/>
  <c r="J1219" i="2"/>
  <c r="K1219" i="2" s="1"/>
  <c r="L1219" i="2" s="1"/>
  <c r="K1218" i="2"/>
  <c r="L1218" i="2" s="1"/>
  <c r="J1218" i="2"/>
  <c r="L1217" i="2"/>
  <c r="K1217" i="2"/>
  <c r="J1217" i="2"/>
  <c r="J1216" i="2"/>
  <c r="K1216" i="2" s="1"/>
  <c r="L1216" i="2" s="1"/>
  <c r="J1215" i="2"/>
  <c r="K1215" i="2" s="1"/>
  <c r="L1215" i="2" s="1"/>
  <c r="K1214" i="2"/>
  <c r="L1214" i="2" s="1"/>
  <c r="J1214" i="2"/>
  <c r="K1213" i="2"/>
  <c r="L1213" i="2" s="1"/>
  <c r="J1213" i="2"/>
  <c r="J1212" i="2"/>
  <c r="K1212" i="2" s="1"/>
  <c r="L1212" i="2" s="1"/>
  <c r="J1211" i="2"/>
  <c r="K1211" i="2" s="1"/>
  <c r="L1211" i="2" s="1"/>
  <c r="J1210" i="2"/>
  <c r="K1210" i="2" s="1"/>
  <c r="L1210" i="2" s="1"/>
  <c r="L1209" i="2"/>
  <c r="K1209" i="2"/>
  <c r="J1209" i="2"/>
  <c r="J1208" i="2"/>
  <c r="K1208" i="2" s="1"/>
  <c r="L1208" i="2" s="1"/>
  <c r="L1207" i="2"/>
  <c r="J1207" i="2"/>
  <c r="K1207" i="2" s="1"/>
  <c r="J1206" i="2"/>
  <c r="K1206" i="2" s="1"/>
  <c r="L1206" i="2" s="1"/>
  <c r="J1205" i="2"/>
  <c r="K1205" i="2" s="1"/>
  <c r="L1205" i="2" s="1"/>
  <c r="J1204" i="2"/>
  <c r="K1204" i="2" s="1"/>
  <c r="L1204" i="2" s="1"/>
  <c r="J1203" i="2"/>
  <c r="K1203" i="2" s="1"/>
  <c r="L1203" i="2" s="1"/>
  <c r="J1202" i="2"/>
  <c r="K1202" i="2" s="1"/>
  <c r="L1202" i="2" s="1"/>
  <c r="L1201" i="2"/>
  <c r="K1201" i="2"/>
  <c r="J1201" i="2"/>
  <c r="K1200" i="2"/>
  <c r="L1200" i="2" s="1"/>
  <c r="J1200" i="2"/>
  <c r="J1199" i="2"/>
  <c r="K1199" i="2" s="1"/>
  <c r="L1199" i="2" s="1"/>
  <c r="K1198" i="2"/>
  <c r="L1198" i="2" s="1"/>
  <c r="J1198" i="2"/>
  <c r="K1197" i="2"/>
  <c r="L1197" i="2" s="1"/>
  <c r="J1197" i="2"/>
  <c r="J1196" i="2"/>
  <c r="K1196" i="2" s="1"/>
  <c r="L1196" i="2" s="1"/>
  <c r="J1195" i="2"/>
  <c r="K1195" i="2" s="1"/>
  <c r="L1195" i="2" s="1"/>
  <c r="J1194" i="2"/>
  <c r="K1194" i="2" s="1"/>
  <c r="L1194" i="2" s="1"/>
  <c r="L1193" i="2"/>
  <c r="K1193" i="2"/>
  <c r="J1193" i="2"/>
  <c r="J1192" i="2"/>
  <c r="K1192" i="2" s="1"/>
  <c r="L1192" i="2" s="1"/>
  <c r="L1191" i="2"/>
  <c r="K1191" i="2"/>
  <c r="J1191" i="2"/>
  <c r="J1190" i="2"/>
  <c r="K1190" i="2" s="1"/>
  <c r="L1190" i="2" s="1"/>
  <c r="J1189" i="2"/>
  <c r="K1189" i="2" s="1"/>
  <c r="L1189" i="2" s="1"/>
  <c r="J1188" i="2"/>
  <c r="K1188" i="2" s="1"/>
  <c r="L1188" i="2" s="1"/>
  <c r="K1187" i="2"/>
  <c r="L1187" i="2" s="1"/>
  <c r="J1187" i="2"/>
  <c r="K1186" i="2"/>
  <c r="L1186" i="2" s="1"/>
  <c r="J1186" i="2"/>
  <c r="L1185" i="2"/>
  <c r="K1185" i="2"/>
  <c r="J1185" i="2"/>
  <c r="K1184" i="2"/>
  <c r="L1184" i="2" s="1"/>
  <c r="J1184" i="2"/>
  <c r="J1183" i="2"/>
  <c r="K1183" i="2" s="1"/>
  <c r="L1183" i="2" s="1"/>
  <c r="J1182" i="2"/>
  <c r="K1182" i="2" s="1"/>
  <c r="L1182" i="2" s="1"/>
  <c r="J1181" i="2"/>
  <c r="K1181" i="2" s="1"/>
  <c r="L1181" i="2" s="1"/>
  <c r="J1180" i="2"/>
  <c r="K1180" i="2" s="1"/>
  <c r="L1180" i="2" s="1"/>
  <c r="J1179" i="2"/>
  <c r="K1179" i="2" s="1"/>
  <c r="L1179" i="2" s="1"/>
  <c r="J1178" i="2"/>
  <c r="K1178" i="2" s="1"/>
  <c r="L1178" i="2" s="1"/>
  <c r="L1177" i="2"/>
  <c r="K1177" i="2"/>
  <c r="J1177" i="2"/>
  <c r="K1176" i="2"/>
  <c r="L1176" i="2" s="1"/>
  <c r="J1176" i="2"/>
  <c r="J1175" i="2"/>
  <c r="K1175" i="2" s="1"/>
  <c r="L1175" i="2" s="1"/>
  <c r="J1174" i="2"/>
  <c r="K1174" i="2" s="1"/>
  <c r="L1174" i="2" s="1"/>
  <c r="J1173" i="2"/>
  <c r="K1173" i="2" s="1"/>
  <c r="L1173" i="2" s="1"/>
  <c r="J1172" i="2"/>
  <c r="K1172" i="2" s="1"/>
  <c r="L1172" i="2" s="1"/>
  <c r="J1171" i="2"/>
  <c r="K1171" i="2" s="1"/>
  <c r="L1171" i="2" s="1"/>
  <c r="J1170" i="2"/>
  <c r="K1170" i="2" s="1"/>
  <c r="L1170" i="2" s="1"/>
  <c r="L1169" i="2"/>
  <c r="K1169" i="2"/>
  <c r="J1169" i="2"/>
  <c r="J1168" i="2"/>
  <c r="K1168" i="2" s="1"/>
  <c r="L1168" i="2" s="1"/>
  <c r="K1167" i="2"/>
  <c r="L1167" i="2" s="1"/>
  <c r="J1167" i="2"/>
  <c r="J1166" i="2"/>
  <c r="K1166" i="2" s="1"/>
  <c r="L1166" i="2" s="1"/>
  <c r="J1165" i="2"/>
  <c r="K1165" i="2" s="1"/>
  <c r="L1165" i="2" s="1"/>
  <c r="K1164" i="2"/>
  <c r="L1164" i="2" s="1"/>
  <c r="J1164" i="2"/>
  <c r="K1163" i="2"/>
  <c r="L1163" i="2" s="1"/>
  <c r="J1163" i="2"/>
  <c r="J1162" i="2"/>
  <c r="K1162" i="2" s="1"/>
  <c r="L1162" i="2" s="1"/>
  <c r="L1161" i="2"/>
  <c r="K1161" i="2"/>
  <c r="J1161" i="2"/>
  <c r="K1160" i="2"/>
  <c r="L1160" i="2" s="1"/>
  <c r="J1160" i="2"/>
  <c r="J1159" i="2"/>
  <c r="K1159" i="2" s="1"/>
  <c r="L1159" i="2" s="1"/>
  <c r="J1158" i="2"/>
  <c r="K1158" i="2" s="1"/>
  <c r="L1158" i="2" s="1"/>
  <c r="J1157" i="2"/>
  <c r="K1157" i="2" s="1"/>
  <c r="L1157" i="2" s="1"/>
  <c r="K1156" i="2"/>
  <c r="L1156" i="2" s="1"/>
  <c r="J1156" i="2"/>
  <c r="J1155" i="2"/>
  <c r="K1155" i="2" s="1"/>
  <c r="L1155" i="2" s="1"/>
  <c r="L1154" i="2"/>
  <c r="K1154" i="2"/>
  <c r="J1154" i="2"/>
  <c r="L1153" i="2"/>
  <c r="K1153" i="2"/>
  <c r="J1153" i="2"/>
  <c r="L1152" i="2"/>
  <c r="J1152" i="2"/>
  <c r="K1152" i="2" s="1"/>
  <c r="J1151" i="2"/>
  <c r="K1151" i="2" s="1"/>
  <c r="L1151" i="2" s="1"/>
  <c r="J1150" i="2"/>
  <c r="K1150" i="2" s="1"/>
  <c r="L1150" i="2" s="1"/>
  <c r="J1149" i="2"/>
  <c r="K1149" i="2" s="1"/>
  <c r="L1149" i="2" s="1"/>
  <c r="L1148" i="2"/>
  <c r="J1148" i="2"/>
  <c r="K1148" i="2" s="1"/>
  <c r="K1147" i="2"/>
  <c r="L1147" i="2" s="1"/>
  <c r="J1147" i="2"/>
  <c r="J1146" i="2"/>
  <c r="K1146" i="2" s="1"/>
  <c r="L1146" i="2" s="1"/>
  <c r="L1145" i="2"/>
  <c r="K1145" i="2"/>
  <c r="J1145" i="2"/>
  <c r="J1144" i="2"/>
  <c r="K1144" i="2" s="1"/>
  <c r="L1144" i="2" s="1"/>
  <c r="L1143" i="2"/>
  <c r="J1143" i="2"/>
  <c r="K1143" i="2" s="1"/>
  <c r="J1142" i="2"/>
  <c r="K1142" i="2" s="1"/>
  <c r="L1142" i="2" s="1"/>
  <c r="J1141" i="2"/>
  <c r="K1141" i="2" s="1"/>
  <c r="L1141" i="2" s="1"/>
  <c r="J1140" i="2"/>
  <c r="K1140" i="2" s="1"/>
  <c r="L1140" i="2" s="1"/>
  <c r="K1139" i="2"/>
  <c r="L1139" i="2" s="1"/>
  <c r="J1139" i="2"/>
  <c r="J1138" i="2"/>
  <c r="K1138" i="2" s="1"/>
  <c r="L1138" i="2" s="1"/>
  <c r="L1137" i="2"/>
  <c r="K1137" i="2"/>
  <c r="J1137" i="2"/>
  <c r="J1136" i="2"/>
  <c r="K1136" i="2" s="1"/>
  <c r="L1136" i="2" s="1"/>
  <c r="J1135" i="2"/>
  <c r="K1135" i="2" s="1"/>
  <c r="L1135" i="2" s="1"/>
  <c r="K1134" i="2"/>
  <c r="L1134" i="2" s="1"/>
  <c r="J1134" i="2"/>
  <c r="K1133" i="2"/>
  <c r="L1133" i="2" s="1"/>
  <c r="J1133" i="2"/>
  <c r="K1132" i="2"/>
  <c r="L1132" i="2" s="1"/>
  <c r="J1132" i="2"/>
  <c r="K1131" i="2"/>
  <c r="L1131" i="2" s="1"/>
  <c r="J1131" i="2"/>
  <c r="K1130" i="2"/>
  <c r="L1130" i="2" s="1"/>
  <c r="J1130" i="2"/>
  <c r="L1129" i="2"/>
  <c r="K1129" i="2"/>
  <c r="J1129" i="2"/>
  <c r="K1128" i="2"/>
  <c r="L1128" i="2" s="1"/>
  <c r="J1128" i="2"/>
  <c r="J1127" i="2"/>
  <c r="K1127" i="2" s="1"/>
  <c r="L1127" i="2" s="1"/>
  <c r="J1126" i="2"/>
  <c r="K1126" i="2" s="1"/>
  <c r="L1126" i="2" s="1"/>
  <c r="K1125" i="2"/>
  <c r="L1125" i="2" s="1"/>
  <c r="J1125" i="2"/>
  <c r="J1124" i="2"/>
  <c r="K1124" i="2" s="1"/>
  <c r="L1124" i="2" s="1"/>
  <c r="K1123" i="2"/>
  <c r="L1123" i="2" s="1"/>
  <c r="J1123" i="2"/>
  <c r="J1122" i="2"/>
  <c r="K1122" i="2" s="1"/>
  <c r="L1122" i="2" s="1"/>
  <c r="L1121" i="2"/>
  <c r="K1121" i="2"/>
  <c r="J1121" i="2"/>
  <c r="J1120" i="2"/>
  <c r="K1120" i="2" s="1"/>
  <c r="L1120" i="2" s="1"/>
  <c r="J1119" i="2"/>
  <c r="K1119" i="2" s="1"/>
  <c r="L1119" i="2" s="1"/>
  <c r="K1118" i="2"/>
  <c r="L1118" i="2" s="1"/>
  <c r="J1118" i="2"/>
  <c r="K1117" i="2"/>
  <c r="L1117" i="2" s="1"/>
  <c r="J1117" i="2"/>
  <c r="L1116" i="2"/>
  <c r="J1116" i="2"/>
  <c r="K1116" i="2" s="1"/>
  <c r="J1115" i="2"/>
  <c r="K1115" i="2" s="1"/>
  <c r="L1115" i="2" s="1"/>
  <c r="L1114" i="2"/>
  <c r="K1114" i="2"/>
  <c r="J1114" i="2"/>
  <c r="L1113" i="2"/>
  <c r="K1113" i="2"/>
  <c r="J1113" i="2"/>
  <c r="L1112" i="2"/>
  <c r="J1112" i="2"/>
  <c r="K1112" i="2" s="1"/>
  <c r="K1111" i="2"/>
  <c r="L1111" i="2" s="1"/>
  <c r="J1111" i="2"/>
  <c r="K1110" i="2"/>
  <c r="L1110" i="2" s="1"/>
  <c r="J1110" i="2"/>
  <c r="J1109" i="2"/>
  <c r="K1109" i="2" s="1"/>
  <c r="L1109" i="2" s="1"/>
  <c r="J1108" i="2"/>
  <c r="K1108" i="2" s="1"/>
  <c r="L1108" i="2" s="1"/>
  <c r="J1107" i="2"/>
  <c r="K1107" i="2" s="1"/>
  <c r="L1107" i="2" s="1"/>
  <c r="J1106" i="2"/>
  <c r="K1106" i="2" s="1"/>
  <c r="L1106" i="2" s="1"/>
  <c r="L1105" i="2"/>
  <c r="K1105" i="2"/>
  <c r="J1105" i="2"/>
  <c r="K1104" i="2"/>
  <c r="L1104" i="2" s="1"/>
  <c r="J1104" i="2"/>
  <c r="J1103" i="2"/>
  <c r="K1103" i="2" s="1"/>
  <c r="L1103" i="2" s="1"/>
  <c r="J1102" i="2"/>
  <c r="K1102" i="2" s="1"/>
  <c r="L1102" i="2" s="1"/>
  <c r="J1101" i="2"/>
  <c r="K1101" i="2" s="1"/>
  <c r="L1101" i="2" s="1"/>
  <c r="J1100" i="2"/>
  <c r="K1100" i="2" s="1"/>
  <c r="L1100" i="2" s="1"/>
  <c r="J1099" i="2"/>
  <c r="K1099" i="2" s="1"/>
  <c r="L1099" i="2" s="1"/>
  <c r="J1098" i="2"/>
  <c r="K1098" i="2" s="1"/>
  <c r="L1098" i="2" s="1"/>
  <c r="L1097" i="2"/>
  <c r="K1097" i="2"/>
  <c r="J1097" i="2"/>
  <c r="J1096" i="2"/>
  <c r="K1096" i="2" s="1"/>
  <c r="L1096" i="2" s="1"/>
  <c r="L1095" i="2"/>
  <c r="K1095" i="2"/>
  <c r="J1095" i="2"/>
  <c r="K1094" i="2"/>
  <c r="L1094" i="2" s="1"/>
  <c r="J1094" i="2"/>
  <c r="J1093" i="2"/>
  <c r="K1093" i="2" s="1"/>
  <c r="L1093" i="2" s="1"/>
  <c r="J1092" i="2"/>
  <c r="K1092" i="2" s="1"/>
  <c r="L1092" i="2" s="1"/>
  <c r="J1091" i="2"/>
  <c r="K1091" i="2" s="1"/>
  <c r="L1091" i="2" s="1"/>
  <c r="K1090" i="2"/>
  <c r="L1090" i="2" s="1"/>
  <c r="J1090" i="2"/>
  <c r="L1089" i="2"/>
  <c r="K1089" i="2"/>
  <c r="J1089" i="2"/>
  <c r="J1088" i="2"/>
  <c r="K1088" i="2" s="1"/>
  <c r="L1088" i="2" s="1"/>
  <c r="J1087" i="2"/>
  <c r="K1087" i="2" s="1"/>
  <c r="L1087" i="2" s="1"/>
  <c r="J1086" i="2"/>
  <c r="K1086" i="2" s="1"/>
  <c r="L1086" i="2" s="1"/>
  <c r="K1085" i="2"/>
  <c r="L1085" i="2" s="1"/>
  <c r="J1085" i="2"/>
  <c r="J1084" i="2"/>
  <c r="K1084" i="2" s="1"/>
  <c r="L1084" i="2" s="1"/>
  <c r="J1083" i="2"/>
  <c r="K1083" i="2" s="1"/>
  <c r="L1083" i="2" s="1"/>
  <c r="J1082" i="2"/>
  <c r="K1082" i="2" s="1"/>
  <c r="L1082" i="2" s="1"/>
  <c r="L1081" i="2"/>
  <c r="K1081" i="2"/>
  <c r="J1081" i="2"/>
  <c r="L1080" i="2"/>
  <c r="J1080" i="2"/>
  <c r="K1080" i="2" s="1"/>
  <c r="J1079" i="2"/>
  <c r="K1079" i="2" s="1"/>
  <c r="L1079" i="2" s="1"/>
  <c r="J1078" i="2"/>
  <c r="K1078" i="2" s="1"/>
  <c r="L1078" i="2" s="1"/>
  <c r="J1077" i="2"/>
  <c r="K1077" i="2" s="1"/>
  <c r="L1077" i="2" s="1"/>
  <c r="J1076" i="2"/>
  <c r="K1076" i="2" s="1"/>
  <c r="L1076" i="2" s="1"/>
  <c r="K1075" i="2"/>
  <c r="L1075" i="2" s="1"/>
  <c r="J1075" i="2"/>
  <c r="J1074" i="2"/>
  <c r="K1074" i="2" s="1"/>
  <c r="L1074" i="2" s="1"/>
  <c r="L1073" i="2"/>
  <c r="K1073" i="2"/>
  <c r="J1073" i="2"/>
  <c r="J1072" i="2"/>
  <c r="K1072" i="2" s="1"/>
  <c r="L1072" i="2" s="1"/>
  <c r="J1071" i="2"/>
  <c r="K1071" i="2" s="1"/>
  <c r="L1071" i="2" s="1"/>
  <c r="K1070" i="2"/>
  <c r="L1070" i="2" s="1"/>
  <c r="J1070" i="2"/>
  <c r="J1069" i="2"/>
  <c r="K1069" i="2" s="1"/>
  <c r="L1069" i="2" s="1"/>
  <c r="J1068" i="2"/>
  <c r="K1068" i="2" s="1"/>
  <c r="L1068" i="2" s="1"/>
  <c r="K1067" i="2"/>
  <c r="L1067" i="2" s="1"/>
  <c r="J1067" i="2"/>
  <c r="J1066" i="2"/>
  <c r="K1066" i="2" s="1"/>
  <c r="L1066" i="2" s="1"/>
  <c r="L1065" i="2"/>
  <c r="K1065" i="2"/>
  <c r="J1065" i="2"/>
  <c r="L1064" i="2"/>
  <c r="K1064" i="2"/>
  <c r="J1064" i="2"/>
  <c r="J1063" i="2"/>
  <c r="K1063" i="2" s="1"/>
  <c r="L1063" i="2" s="1"/>
  <c r="J1062" i="2"/>
  <c r="K1062" i="2" s="1"/>
  <c r="L1062" i="2" s="1"/>
  <c r="K1061" i="2"/>
  <c r="L1061" i="2" s="1"/>
  <c r="J1061" i="2"/>
  <c r="K1060" i="2"/>
  <c r="L1060" i="2" s="1"/>
  <c r="J1060" i="2"/>
  <c r="J1059" i="2"/>
  <c r="K1059" i="2" s="1"/>
  <c r="L1059" i="2" s="1"/>
  <c r="J1058" i="2"/>
  <c r="K1058" i="2" s="1"/>
  <c r="L1058" i="2" s="1"/>
  <c r="L1057" i="2"/>
  <c r="K1057" i="2"/>
  <c r="J1057" i="2"/>
  <c r="J1056" i="2"/>
  <c r="K1056" i="2" s="1"/>
  <c r="L1056" i="2" s="1"/>
  <c r="J1055" i="2"/>
  <c r="K1055" i="2" s="1"/>
  <c r="L1055" i="2" s="1"/>
  <c r="J1054" i="2"/>
  <c r="K1054" i="2" s="1"/>
  <c r="L1054" i="2" s="1"/>
  <c r="K1053" i="2"/>
  <c r="L1053" i="2" s="1"/>
  <c r="J1053" i="2"/>
  <c r="J1052" i="2"/>
  <c r="K1052" i="2" s="1"/>
  <c r="L1052" i="2" s="1"/>
  <c r="K1051" i="2"/>
  <c r="L1051" i="2" s="1"/>
  <c r="J1051" i="2"/>
  <c r="J1050" i="2"/>
  <c r="K1050" i="2" s="1"/>
  <c r="L1050" i="2" s="1"/>
  <c r="L1049" i="2"/>
  <c r="K1049" i="2"/>
  <c r="J1049" i="2"/>
  <c r="K1048" i="2"/>
  <c r="L1048" i="2" s="1"/>
  <c r="J1048" i="2"/>
  <c r="J1047" i="2"/>
  <c r="K1047" i="2" s="1"/>
  <c r="L1047" i="2" s="1"/>
  <c r="J1046" i="2"/>
  <c r="K1046" i="2" s="1"/>
  <c r="L1046" i="2" s="1"/>
  <c r="K1045" i="2"/>
  <c r="L1045" i="2" s="1"/>
  <c r="J1045" i="2"/>
  <c r="J1044" i="2"/>
  <c r="K1044" i="2" s="1"/>
  <c r="L1044" i="2" s="1"/>
  <c r="K1043" i="2"/>
  <c r="L1043" i="2" s="1"/>
  <c r="J1043" i="2"/>
  <c r="L1042" i="2"/>
  <c r="J1042" i="2"/>
  <c r="K1042" i="2" s="1"/>
  <c r="J1041" i="2"/>
  <c r="K1041" i="2" s="1"/>
  <c r="L1041" i="2" s="1"/>
  <c r="J1040" i="2"/>
  <c r="K1040" i="2" s="1"/>
  <c r="L1040" i="2" s="1"/>
  <c r="J1039" i="2"/>
  <c r="K1039" i="2" s="1"/>
  <c r="L1039" i="2" s="1"/>
  <c r="J1038" i="2"/>
  <c r="K1038" i="2" s="1"/>
  <c r="L1038" i="2" s="1"/>
  <c r="J1037" i="2"/>
  <c r="K1037" i="2" s="1"/>
  <c r="L1037" i="2" s="1"/>
  <c r="K1036" i="2"/>
  <c r="L1036" i="2" s="1"/>
  <c r="J1036" i="2"/>
  <c r="J1035" i="2"/>
  <c r="K1035" i="2" s="1"/>
  <c r="L1035" i="2" s="1"/>
  <c r="J1034" i="2"/>
  <c r="K1034" i="2" s="1"/>
  <c r="L1034" i="2" s="1"/>
  <c r="L1033" i="2"/>
  <c r="J1033" i="2"/>
  <c r="K1033" i="2" s="1"/>
  <c r="J1032" i="2"/>
  <c r="K1032" i="2" s="1"/>
  <c r="L1032" i="2" s="1"/>
  <c r="J1031" i="2"/>
  <c r="K1031" i="2" s="1"/>
  <c r="L1031" i="2" s="1"/>
  <c r="J1030" i="2"/>
  <c r="K1030" i="2" s="1"/>
  <c r="L1030" i="2" s="1"/>
  <c r="J1029" i="2"/>
  <c r="K1029" i="2" s="1"/>
  <c r="L1029" i="2" s="1"/>
  <c r="J1028" i="2"/>
  <c r="K1028" i="2" s="1"/>
  <c r="L1028" i="2" s="1"/>
  <c r="J1027" i="2"/>
  <c r="K1027" i="2" s="1"/>
  <c r="L1027" i="2" s="1"/>
  <c r="J1026" i="2"/>
  <c r="K1026" i="2" s="1"/>
  <c r="L1026" i="2" s="1"/>
  <c r="J1025" i="2"/>
  <c r="K1025" i="2" s="1"/>
  <c r="L1025" i="2" s="1"/>
  <c r="L1024" i="2"/>
  <c r="K1024" i="2"/>
  <c r="J1024" i="2"/>
  <c r="K1023" i="2"/>
  <c r="L1023" i="2" s="1"/>
  <c r="J1023" i="2"/>
  <c r="J1022" i="2"/>
  <c r="K1022" i="2" s="1"/>
  <c r="L1022" i="2" s="1"/>
  <c r="K1021" i="2"/>
  <c r="L1021" i="2" s="1"/>
  <c r="J1021" i="2"/>
  <c r="J1020" i="2"/>
  <c r="K1020" i="2" s="1"/>
  <c r="L1020" i="2" s="1"/>
  <c r="K1019" i="2"/>
  <c r="L1019" i="2" s="1"/>
  <c r="J1019" i="2"/>
  <c r="J1018" i="2"/>
  <c r="K1018" i="2" s="1"/>
  <c r="L1018" i="2" s="1"/>
  <c r="J1017" i="2"/>
  <c r="K1017" i="2" s="1"/>
  <c r="L1017" i="2" s="1"/>
  <c r="J1016" i="2"/>
  <c r="K1016" i="2" s="1"/>
  <c r="L1016" i="2" s="1"/>
  <c r="K1015" i="2"/>
  <c r="L1015" i="2" s="1"/>
  <c r="J1015" i="2"/>
  <c r="K1014" i="2"/>
  <c r="L1014" i="2" s="1"/>
  <c r="J1014" i="2"/>
  <c r="K1013" i="2"/>
  <c r="L1013" i="2" s="1"/>
  <c r="J1013" i="2"/>
  <c r="J1012" i="2"/>
  <c r="K1012" i="2" s="1"/>
  <c r="L1012" i="2" s="1"/>
  <c r="J1011" i="2"/>
  <c r="K1011" i="2" s="1"/>
  <c r="L1011" i="2" s="1"/>
  <c r="K1010" i="2"/>
  <c r="L1010" i="2" s="1"/>
  <c r="J1010" i="2"/>
  <c r="L1009" i="2"/>
  <c r="K1009" i="2"/>
  <c r="J1009" i="2"/>
  <c r="J1008" i="2"/>
  <c r="K1008" i="2" s="1"/>
  <c r="L1008" i="2" s="1"/>
  <c r="J1007" i="2"/>
  <c r="K1007" i="2" s="1"/>
  <c r="L1007" i="2" s="1"/>
  <c r="L1006" i="2"/>
  <c r="J1006" i="2"/>
  <c r="K1006" i="2" s="1"/>
  <c r="K1005" i="2"/>
  <c r="L1005" i="2" s="1"/>
  <c r="J1005" i="2"/>
  <c r="J1004" i="2"/>
  <c r="K1004" i="2" s="1"/>
  <c r="L1004" i="2" s="1"/>
  <c r="K1003" i="2"/>
  <c r="L1003" i="2" s="1"/>
  <c r="J1003" i="2"/>
  <c r="J1002" i="2"/>
  <c r="K1002" i="2" s="1"/>
  <c r="L1002" i="2" s="1"/>
  <c r="L1001" i="2"/>
  <c r="J1001" i="2"/>
  <c r="K1001" i="2" s="1"/>
  <c r="J1000" i="2"/>
  <c r="K1000" i="2" s="1"/>
  <c r="L1000" i="2" s="1"/>
  <c r="J999" i="2"/>
  <c r="K999" i="2" s="1"/>
  <c r="L999" i="2" s="1"/>
  <c r="J998" i="2"/>
  <c r="K998" i="2" s="1"/>
  <c r="L998" i="2" s="1"/>
  <c r="K997" i="2"/>
  <c r="L997" i="2" s="1"/>
  <c r="J997" i="2"/>
  <c r="K996" i="2"/>
  <c r="L996" i="2" s="1"/>
  <c r="J996" i="2"/>
  <c r="J995" i="2"/>
  <c r="K995" i="2" s="1"/>
  <c r="L995" i="2" s="1"/>
  <c r="K994" i="2"/>
  <c r="L994" i="2" s="1"/>
  <c r="J994" i="2"/>
  <c r="J993" i="2"/>
  <c r="K993" i="2" s="1"/>
  <c r="L993" i="2" s="1"/>
  <c r="K992" i="2"/>
  <c r="L992" i="2" s="1"/>
  <c r="J992" i="2"/>
  <c r="J991" i="2"/>
  <c r="K991" i="2" s="1"/>
  <c r="L991" i="2" s="1"/>
  <c r="J990" i="2"/>
  <c r="K990" i="2" s="1"/>
  <c r="L990" i="2" s="1"/>
  <c r="J989" i="2"/>
  <c r="K989" i="2" s="1"/>
  <c r="L989" i="2" s="1"/>
  <c r="K988" i="2"/>
  <c r="L988" i="2" s="1"/>
  <c r="J988" i="2"/>
  <c r="K987" i="2"/>
  <c r="L987" i="2" s="1"/>
  <c r="J987" i="2"/>
  <c r="J986" i="2"/>
  <c r="K986" i="2" s="1"/>
  <c r="L986" i="2" s="1"/>
  <c r="L985" i="2"/>
  <c r="J985" i="2"/>
  <c r="K985" i="2" s="1"/>
  <c r="J984" i="2"/>
  <c r="K984" i="2" s="1"/>
  <c r="L984" i="2" s="1"/>
  <c r="K983" i="2"/>
  <c r="L983" i="2" s="1"/>
  <c r="J983" i="2"/>
  <c r="J982" i="2"/>
  <c r="K982" i="2" s="1"/>
  <c r="L982" i="2" s="1"/>
  <c r="K981" i="2"/>
  <c r="L981" i="2" s="1"/>
  <c r="J981" i="2"/>
  <c r="L980" i="2"/>
  <c r="K980" i="2"/>
  <c r="J980" i="2"/>
  <c r="J979" i="2"/>
  <c r="K979" i="2" s="1"/>
  <c r="L979" i="2" s="1"/>
  <c r="J978" i="2"/>
  <c r="K978" i="2" s="1"/>
  <c r="L978" i="2" s="1"/>
  <c r="L977" i="2"/>
  <c r="J977" i="2"/>
  <c r="K977" i="2" s="1"/>
  <c r="J976" i="2"/>
  <c r="K976" i="2" s="1"/>
  <c r="L976" i="2" s="1"/>
  <c r="J975" i="2"/>
  <c r="K975" i="2" s="1"/>
  <c r="L975" i="2" s="1"/>
  <c r="L974" i="2"/>
  <c r="K974" i="2"/>
  <c r="J974" i="2"/>
  <c r="K973" i="2"/>
  <c r="L973" i="2" s="1"/>
  <c r="J973" i="2"/>
  <c r="J972" i="2"/>
  <c r="K972" i="2" s="1"/>
  <c r="L972" i="2" s="1"/>
  <c r="K971" i="2"/>
  <c r="L971" i="2" s="1"/>
  <c r="J971" i="2"/>
  <c r="J970" i="2"/>
  <c r="K970" i="2" s="1"/>
  <c r="L970" i="2" s="1"/>
  <c r="J969" i="2"/>
  <c r="K969" i="2" s="1"/>
  <c r="L969" i="2" s="1"/>
  <c r="J968" i="2"/>
  <c r="K968" i="2" s="1"/>
  <c r="L968" i="2" s="1"/>
  <c r="L967" i="2"/>
  <c r="J967" i="2"/>
  <c r="K967" i="2" s="1"/>
  <c r="L966" i="2"/>
  <c r="K966" i="2"/>
  <c r="J966" i="2"/>
  <c r="J965" i="2"/>
  <c r="K965" i="2" s="1"/>
  <c r="L965" i="2" s="1"/>
  <c r="J964" i="2"/>
  <c r="K964" i="2" s="1"/>
  <c r="L964" i="2" s="1"/>
  <c r="K963" i="2"/>
  <c r="L963" i="2" s="1"/>
  <c r="J963" i="2"/>
  <c r="K962" i="2"/>
  <c r="L962" i="2" s="1"/>
  <c r="J962" i="2"/>
  <c r="J961" i="2"/>
  <c r="K961" i="2" s="1"/>
  <c r="L961" i="2" s="1"/>
  <c r="J960" i="2"/>
  <c r="K960" i="2" s="1"/>
  <c r="L960" i="2" s="1"/>
  <c r="J959" i="2"/>
  <c r="K959" i="2" s="1"/>
  <c r="L959" i="2" s="1"/>
  <c r="J958" i="2"/>
  <c r="K958" i="2" s="1"/>
  <c r="L958" i="2" s="1"/>
  <c r="J957" i="2"/>
  <c r="K957" i="2" s="1"/>
  <c r="L957" i="2" s="1"/>
  <c r="K956" i="2"/>
  <c r="L956" i="2" s="1"/>
  <c r="J956" i="2"/>
  <c r="J955" i="2"/>
  <c r="K955" i="2" s="1"/>
  <c r="L955" i="2" s="1"/>
  <c r="K954" i="2"/>
  <c r="L954" i="2" s="1"/>
  <c r="J954" i="2"/>
  <c r="L953" i="2"/>
  <c r="J953" i="2"/>
  <c r="K953" i="2" s="1"/>
  <c r="J952" i="2"/>
  <c r="K952" i="2" s="1"/>
  <c r="L952" i="2" s="1"/>
  <c r="J951" i="2"/>
  <c r="K951" i="2" s="1"/>
  <c r="L951" i="2" s="1"/>
  <c r="J950" i="2"/>
  <c r="K950" i="2" s="1"/>
  <c r="L950" i="2" s="1"/>
  <c r="K949" i="2"/>
  <c r="L949" i="2" s="1"/>
  <c r="J949" i="2"/>
  <c r="K948" i="2"/>
  <c r="L948" i="2" s="1"/>
  <c r="J948" i="2"/>
  <c r="J947" i="2"/>
  <c r="K947" i="2" s="1"/>
  <c r="L947" i="2" s="1"/>
  <c r="J946" i="2"/>
  <c r="K946" i="2" s="1"/>
  <c r="L946" i="2" s="1"/>
  <c r="J945" i="2"/>
  <c r="K945" i="2" s="1"/>
  <c r="L945" i="2" s="1"/>
  <c r="J944" i="2"/>
  <c r="K944" i="2" s="1"/>
  <c r="L944" i="2" s="1"/>
  <c r="L943" i="2"/>
  <c r="J943" i="2"/>
  <c r="K943" i="2" s="1"/>
  <c r="L942" i="2"/>
  <c r="J942" i="2"/>
  <c r="K942" i="2" s="1"/>
  <c r="J941" i="2"/>
  <c r="K941" i="2" s="1"/>
  <c r="L941" i="2" s="1"/>
  <c r="K940" i="2"/>
  <c r="L940" i="2" s="1"/>
  <c r="J940" i="2"/>
  <c r="J939" i="2"/>
  <c r="K939" i="2" s="1"/>
  <c r="L939" i="2" s="1"/>
  <c r="J938" i="2"/>
  <c r="K938" i="2" s="1"/>
  <c r="L938" i="2" s="1"/>
  <c r="L937" i="2"/>
  <c r="J937" i="2"/>
  <c r="K937" i="2" s="1"/>
  <c r="J936" i="2"/>
  <c r="K936" i="2" s="1"/>
  <c r="L936" i="2" s="1"/>
  <c r="J935" i="2"/>
  <c r="K935" i="2" s="1"/>
  <c r="L935" i="2" s="1"/>
  <c r="K934" i="2"/>
  <c r="L934" i="2" s="1"/>
  <c r="J934" i="2"/>
  <c r="K933" i="2"/>
  <c r="L933" i="2" s="1"/>
  <c r="J933" i="2"/>
  <c r="J932" i="2"/>
  <c r="K932" i="2" s="1"/>
  <c r="L932" i="2" s="1"/>
  <c r="K931" i="2"/>
  <c r="L931" i="2" s="1"/>
  <c r="J931" i="2"/>
  <c r="J930" i="2"/>
  <c r="K930" i="2" s="1"/>
  <c r="L930" i="2" s="1"/>
  <c r="J929" i="2"/>
  <c r="K929" i="2" s="1"/>
  <c r="L929" i="2" s="1"/>
  <c r="L928" i="2"/>
  <c r="K928" i="2"/>
  <c r="J928" i="2"/>
  <c r="J927" i="2"/>
  <c r="K927" i="2" s="1"/>
  <c r="L927" i="2" s="1"/>
  <c r="J926" i="2"/>
  <c r="K926" i="2" s="1"/>
  <c r="L926" i="2" s="1"/>
  <c r="K925" i="2"/>
  <c r="L925" i="2" s="1"/>
  <c r="J925" i="2"/>
  <c r="K924" i="2"/>
  <c r="L924" i="2" s="1"/>
  <c r="J924" i="2"/>
  <c r="J923" i="2"/>
  <c r="K923" i="2" s="1"/>
  <c r="L923" i="2" s="1"/>
  <c r="J922" i="2"/>
  <c r="K922" i="2" s="1"/>
  <c r="L922" i="2" s="1"/>
  <c r="L921" i="2"/>
  <c r="K921" i="2"/>
  <c r="J921" i="2"/>
  <c r="J920" i="2"/>
  <c r="K920" i="2" s="1"/>
  <c r="L920" i="2" s="1"/>
  <c r="J919" i="2"/>
  <c r="K919" i="2" s="1"/>
  <c r="L919" i="2" s="1"/>
  <c r="L918" i="2"/>
  <c r="J918" i="2"/>
  <c r="K918" i="2" s="1"/>
  <c r="J917" i="2"/>
  <c r="K917" i="2" s="1"/>
  <c r="L917" i="2" s="1"/>
  <c r="J916" i="2"/>
  <c r="K916" i="2" s="1"/>
  <c r="L916" i="2" s="1"/>
  <c r="K915" i="2"/>
  <c r="L915" i="2" s="1"/>
  <c r="J915" i="2"/>
  <c r="K914" i="2"/>
  <c r="L914" i="2" s="1"/>
  <c r="J914" i="2"/>
  <c r="L913" i="2"/>
  <c r="J913" i="2"/>
  <c r="K913" i="2" s="1"/>
  <c r="J912" i="2"/>
  <c r="K912" i="2" s="1"/>
  <c r="L912" i="2" s="1"/>
  <c r="K911" i="2"/>
  <c r="L911" i="2" s="1"/>
  <c r="J911" i="2"/>
  <c r="L910" i="2"/>
  <c r="J910" i="2"/>
  <c r="K910" i="2" s="1"/>
  <c r="J909" i="2"/>
  <c r="K909" i="2" s="1"/>
  <c r="L909" i="2" s="1"/>
  <c r="J908" i="2"/>
  <c r="K908" i="2" s="1"/>
  <c r="L908" i="2" s="1"/>
  <c r="J907" i="2"/>
  <c r="K907" i="2" s="1"/>
  <c r="L907" i="2" s="1"/>
  <c r="K906" i="2"/>
  <c r="L906" i="2" s="1"/>
  <c r="J906" i="2"/>
  <c r="J905" i="2"/>
  <c r="K905" i="2" s="1"/>
  <c r="L905" i="2" s="1"/>
  <c r="L904" i="2"/>
  <c r="J904" i="2"/>
  <c r="K904" i="2" s="1"/>
  <c r="L903" i="2"/>
  <c r="J903" i="2"/>
  <c r="K903" i="2" s="1"/>
  <c r="K902" i="2"/>
  <c r="L902" i="2" s="1"/>
  <c r="J902" i="2"/>
  <c r="K901" i="2"/>
  <c r="L901" i="2" s="1"/>
  <c r="J901" i="2"/>
  <c r="J900" i="2"/>
  <c r="K900" i="2" s="1"/>
  <c r="L900" i="2" s="1"/>
  <c r="J899" i="2"/>
  <c r="K899" i="2" s="1"/>
  <c r="L899" i="2" s="1"/>
  <c r="J898" i="2"/>
  <c r="K898" i="2" s="1"/>
  <c r="L898" i="2" s="1"/>
  <c r="J897" i="2"/>
  <c r="K897" i="2" s="1"/>
  <c r="L897" i="2" s="1"/>
  <c r="J896" i="2"/>
  <c r="K896" i="2" s="1"/>
  <c r="L896" i="2" s="1"/>
  <c r="J895" i="2"/>
  <c r="K895" i="2" s="1"/>
  <c r="L895" i="2" s="1"/>
  <c r="J894" i="2"/>
  <c r="K894" i="2" s="1"/>
  <c r="L894" i="2" s="1"/>
  <c r="K893" i="2"/>
  <c r="L893" i="2" s="1"/>
  <c r="J893" i="2"/>
  <c r="L892" i="2"/>
  <c r="K892" i="2"/>
  <c r="J892" i="2"/>
  <c r="K891" i="2"/>
  <c r="L891" i="2" s="1"/>
  <c r="J891" i="2"/>
  <c r="J890" i="2"/>
  <c r="K890" i="2" s="1"/>
  <c r="L890" i="2" s="1"/>
  <c r="L889" i="2"/>
  <c r="J889" i="2"/>
  <c r="K889" i="2" s="1"/>
  <c r="J888" i="2"/>
  <c r="K888" i="2" s="1"/>
  <c r="L888" i="2" s="1"/>
  <c r="K887" i="2"/>
  <c r="L887" i="2" s="1"/>
  <c r="J887" i="2"/>
  <c r="J886" i="2"/>
  <c r="K886" i="2" s="1"/>
  <c r="L886" i="2" s="1"/>
  <c r="J885" i="2"/>
  <c r="K885" i="2" s="1"/>
  <c r="L885" i="2" s="1"/>
  <c r="J884" i="2"/>
  <c r="K884" i="2" s="1"/>
  <c r="L884" i="2" s="1"/>
  <c r="K883" i="2"/>
  <c r="L883" i="2" s="1"/>
  <c r="J883" i="2"/>
  <c r="K882" i="2"/>
  <c r="L882" i="2" s="1"/>
  <c r="J882" i="2"/>
  <c r="L881" i="2"/>
  <c r="K881" i="2"/>
  <c r="J881" i="2"/>
  <c r="J880" i="2"/>
  <c r="K880" i="2" s="1"/>
  <c r="L880" i="2" s="1"/>
  <c r="K879" i="2"/>
  <c r="L879" i="2" s="1"/>
  <c r="J879" i="2"/>
  <c r="K878" i="2"/>
  <c r="L878" i="2" s="1"/>
  <c r="J878" i="2"/>
  <c r="J877" i="2"/>
  <c r="K877" i="2" s="1"/>
  <c r="L877" i="2" s="1"/>
  <c r="J876" i="2"/>
  <c r="K876" i="2" s="1"/>
  <c r="L876" i="2" s="1"/>
  <c r="J875" i="2"/>
  <c r="K875" i="2" s="1"/>
  <c r="L875" i="2" s="1"/>
  <c r="K874" i="2"/>
  <c r="L874" i="2" s="1"/>
  <c r="J874" i="2"/>
  <c r="L873" i="2"/>
  <c r="K873" i="2"/>
  <c r="J873" i="2"/>
  <c r="J872" i="2"/>
  <c r="K872" i="2" s="1"/>
  <c r="L872" i="2" s="1"/>
  <c r="J871" i="2"/>
  <c r="K871" i="2" s="1"/>
  <c r="L871" i="2" s="1"/>
  <c r="J870" i="2"/>
  <c r="K870" i="2" s="1"/>
  <c r="L870" i="2" s="1"/>
  <c r="K869" i="2"/>
  <c r="L869" i="2" s="1"/>
  <c r="J869" i="2"/>
  <c r="J868" i="2"/>
  <c r="K868" i="2" s="1"/>
  <c r="L868" i="2" s="1"/>
  <c r="J867" i="2"/>
  <c r="K867" i="2" s="1"/>
  <c r="L867" i="2" s="1"/>
  <c r="K866" i="2"/>
  <c r="L866" i="2" s="1"/>
  <c r="J866" i="2"/>
  <c r="L865" i="2"/>
  <c r="K865" i="2"/>
  <c r="J865" i="2"/>
  <c r="J864" i="2"/>
  <c r="K864" i="2" s="1"/>
  <c r="L864" i="2" s="1"/>
  <c r="J863" i="2"/>
  <c r="K863" i="2" s="1"/>
  <c r="L863" i="2" s="1"/>
  <c r="J862" i="2"/>
  <c r="K862" i="2" s="1"/>
  <c r="L862" i="2" s="1"/>
  <c r="J861" i="2"/>
  <c r="K861" i="2" s="1"/>
  <c r="L861" i="2" s="1"/>
  <c r="L860" i="2"/>
  <c r="K860" i="2"/>
  <c r="J860" i="2"/>
  <c r="J859" i="2"/>
  <c r="K859" i="2" s="1"/>
  <c r="L859" i="2" s="1"/>
  <c r="J858" i="2"/>
  <c r="K858" i="2" s="1"/>
  <c r="L858" i="2" s="1"/>
  <c r="L857" i="2"/>
  <c r="K857" i="2"/>
  <c r="J857" i="2"/>
  <c r="J856" i="2"/>
  <c r="K856" i="2" s="1"/>
  <c r="L856" i="2" s="1"/>
  <c r="J855" i="2"/>
  <c r="K855" i="2" s="1"/>
  <c r="L855" i="2" s="1"/>
  <c r="J854" i="2"/>
  <c r="K854" i="2" s="1"/>
  <c r="L854" i="2" s="1"/>
  <c r="K853" i="2"/>
  <c r="L853" i="2" s="1"/>
  <c r="J853" i="2"/>
  <c r="J852" i="2"/>
  <c r="K852" i="2" s="1"/>
  <c r="L852" i="2" s="1"/>
  <c r="J851" i="2"/>
  <c r="K851" i="2" s="1"/>
  <c r="L851" i="2" s="1"/>
  <c r="L850" i="2"/>
  <c r="K850" i="2"/>
  <c r="J850" i="2"/>
  <c r="L849" i="2"/>
  <c r="K849" i="2"/>
  <c r="J849" i="2"/>
  <c r="K848" i="2"/>
  <c r="L848" i="2" s="1"/>
  <c r="J848" i="2"/>
  <c r="K847" i="2"/>
  <c r="L847" i="2" s="1"/>
  <c r="J847" i="2"/>
  <c r="J846" i="2"/>
  <c r="K846" i="2" s="1"/>
  <c r="L846" i="2" s="1"/>
  <c r="K845" i="2"/>
  <c r="L845" i="2" s="1"/>
  <c r="J845" i="2"/>
  <c r="K844" i="2"/>
  <c r="L844" i="2" s="1"/>
  <c r="J844" i="2"/>
  <c r="J843" i="2"/>
  <c r="K843" i="2" s="1"/>
  <c r="L843" i="2" s="1"/>
  <c r="J842" i="2"/>
  <c r="K842" i="2" s="1"/>
  <c r="L842" i="2" s="1"/>
  <c r="L841" i="2"/>
  <c r="K841" i="2"/>
  <c r="J841" i="2"/>
  <c r="L840" i="2"/>
  <c r="K840" i="2"/>
  <c r="J840" i="2"/>
  <c r="J839" i="2"/>
  <c r="K839" i="2" s="1"/>
  <c r="L839" i="2" s="1"/>
  <c r="L838" i="2"/>
  <c r="K838" i="2"/>
  <c r="J838" i="2"/>
  <c r="K837" i="2"/>
  <c r="L837" i="2" s="1"/>
  <c r="J837" i="2"/>
  <c r="K836" i="2"/>
  <c r="L836" i="2" s="1"/>
  <c r="J836" i="2"/>
  <c r="J835" i="2"/>
  <c r="K835" i="2" s="1"/>
  <c r="L835" i="2" s="1"/>
  <c r="J834" i="2"/>
  <c r="K834" i="2" s="1"/>
  <c r="L834" i="2" s="1"/>
  <c r="L833" i="2"/>
  <c r="K833" i="2"/>
  <c r="J833" i="2"/>
  <c r="J832" i="2"/>
  <c r="K832" i="2" s="1"/>
  <c r="L832" i="2" s="1"/>
  <c r="J831" i="2"/>
  <c r="K831" i="2" s="1"/>
  <c r="L831" i="2" s="1"/>
  <c r="J830" i="2"/>
  <c r="K830" i="2" s="1"/>
  <c r="L830" i="2" s="1"/>
  <c r="J829" i="2"/>
  <c r="K829" i="2" s="1"/>
  <c r="L829" i="2" s="1"/>
  <c r="J828" i="2"/>
  <c r="K828" i="2" s="1"/>
  <c r="L828" i="2" s="1"/>
  <c r="J827" i="2"/>
  <c r="K827" i="2" s="1"/>
  <c r="L827" i="2" s="1"/>
  <c r="J826" i="2"/>
  <c r="K826" i="2" s="1"/>
  <c r="L826" i="2" s="1"/>
  <c r="L825" i="2"/>
  <c r="J825" i="2"/>
  <c r="K825" i="2" s="1"/>
  <c r="J824" i="2"/>
  <c r="K824" i="2" s="1"/>
  <c r="L824" i="2" s="1"/>
  <c r="K823" i="2"/>
  <c r="L823" i="2" s="1"/>
  <c r="J823" i="2"/>
  <c r="J822" i="2"/>
  <c r="K822" i="2" s="1"/>
  <c r="L822" i="2" s="1"/>
  <c r="J821" i="2"/>
  <c r="K821" i="2" s="1"/>
  <c r="L821" i="2" s="1"/>
  <c r="J820" i="2"/>
  <c r="K820" i="2" s="1"/>
  <c r="L820" i="2" s="1"/>
  <c r="J819" i="2"/>
  <c r="K819" i="2" s="1"/>
  <c r="L819" i="2" s="1"/>
  <c r="K818" i="2"/>
  <c r="L818" i="2" s="1"/>
  <c r="J818" i="2"/>
  <c r="L817" i="2"/>
  <c r="J817" i="2"/>
  <c r="K817" i="2" s="1"/>
  <c r="K816" i="2"/>
  <c r="L816" i="2" s="1"/>
  <c r="J816" i="2"/>
  <c r="J815" i="2"/>
  <c r="K815" i="2" s="1"/>
  <c r="L815" i="2" s="1"/>
  <c r="K814" i="2"/>
  <c r="L814" i="2" s="1"/>
  <c r="J814" i="2"/>
  <c r="J813" i="2"/>
  <c r="K813" i="2" s="1"/>
  <c r="L813" i="2" s="1"/>
  <c r="J812" i="2"/>
  <c r="K812" i="2" s="1"/>
  <c r="L812" i="2" s="1"/>
  <c r="K811" i="2"/>
  <c r="L811" i="2" s="1"/>
  <c r="J811" i="2"/>
  <c r="J810" i="2"/>
  <c r="K810" i="2" s="1"/>
  <c r="L810" i="2" s="1"/>
  <c r="J809" i="2"/>
  <c r="K809" i="2" s="1"/>
  <c r="L809" i="2" s="1"/>
  <c r="L808" i="2"/>
  <c r="K808" i="2"/>
  <c r="J808" i="2"/>
  <c r="J807" i="2"/>
  <c r="K807" i="2" s="1"/>
  <c r="L807" i="2" s="1"/>
  <c r="J806" i="2"/>
  <c r="K806" i="2" s="1"/>
  <c r="L806" i="2" s="1"/>
  <c r="K805" i="2"/>
  <c r="L805" i="2" s="1"/>
  <c r="J805" i="2"/>
  <c r="K804" i="2"/>
  <c r="L804" i="2" s="1"/>
  <c r="J804" i="2"/>
  <c r="K803" i="2"/>
  <c r="L803" i="2" s="1"/>
  <c r="J803" i="2"/>
  <c r="J802" i="2"/>
  <c r="K802" i="2" s="1"/>
  <c r="L802" i="2" s="1"/>
  <c r="J801" i="2"/>
  <c r="K801" i="2" s="1"/>
  <c r="L801" i="2" s="1"/>
  <c r="J800" i="2"/>
  <c r="K800" i="2" s="1"/>
  <c r="L800" i="2" s="1"/>
  <c r="J799" i="2"/>
  <c r="K799" i="2" s="1"/>
  <c r="L799" i="2" s="1"/>
  <c r="K798" i="2"/>
  <c r="L798" i="2" s="1"/>
  <c r="J798" i="2"/>
  <c r="J797" i="2"/>
  <c r="K797" i="2" s="1"/>
  <c r="L797" i="2" s="1"/>
  <c r="L796" i="2"/>
  <c r="J796" i="2"/>
  <c r="K796" i="2" s="1"/>
  <c r="J795" i="2"/>
  <c r="K795" i="2" s="1"/>
  <c r="L795" i="2" s="1"/>
  <c r="K794" i="2"/>
  <c r="L794" i="2" s="1"/>
  <c r="J794" i="2"/>
  <c r="J793" i="2"/>
  <c r="K793" i="2" s="1"/>
  <c r="L793" i="2" s="1"/>
  <c r="K792" i="2"/>
  <c r="L792" i="2" s="1"/>
  <c r="J792" i="2"/>
  <c r="K791" i="2"/>
  <c r="L791" i="2" s="1"/>
  <c r="J791" i="2"/>
  <c r="J790" i="2"/>
  <c r="K790" i="2" s="1"/>
  <c r="L790" i="2" s="1"/>
  <c r="J789" i="2"/>
  <c r="K789" i="2" s="1"/>
  <c r="L789" i="2" s="1"/>
  <c r="J788" i="2"/>
  <c r="K788" i="2" s="1"/>
  <c r="L788" i="2" s="1"/>
  <c r="J787" i="2"/>
  <c r="K787" i="2" s="1"/>
  <c r="L787" i="2" s="1"/>
  <c r="J786" i="2"/>
  <c r="K786" i="2" s="1"/>
  <c r="L786" i="2" s="1"/>
  <c r="J785" i="2"/>
  <c r="K785" i="2" s="1"/>
  <c r="L785" i="2" s="1"/>
  <c r="J784" i="2"/>
  <c r="K784" i="2" s="1"/>
  <c r="L784" i="2" s="1"/>
  <c r="K783" i="2"/>
  <c r="L783" i="2" s="1"/>
  <c r="J783" i="2"/>
  <c r="J782" i="2"/>
  <c r="K782" i="2" s="1"/>
  <c r="L782" i="2" s="1"/>
  <c r="J781" i="2"/>
  <c r="K781" i="2" s="1"/>
  <c r="L781" i="2" s="1"/>
  <c r="K780" i="2"/>
  <c r="L780" i="2" s="1"/>
  <c r="J780" i="2"/>
  <c r="J779" i="2"/>
  <c r="K779" i="2" s="1"/>
  <c r="L779" i="2" s="1"/>
  <c r="K778" i="2"/>
  <c r="L778" i="2" s="1"/>
  <c r="J778" i="2"/>
  <c r="J777" i="2"/>
  <c r="K777" i="2" s="1"/>
  <c r="L777" i="2" s="1"/>
  <c r="K776" i="2"/>
  <c r="L776" i="2" s="1"/>
  <c r="J776" i="2"/>
  <c r="J775" i="2"/>
  <c r="K775" i="2" s="1"/>
  <c r="L775" i="2" s="1"/>
  <c r="J774" i="2"/>
  <c r="K774" i="2" s="1"/>
  <c r="L774" i="2" s="1"/>
  <c r="J773" i="2"/>
  <c r="K773" i="2" s="1"/>
  <c r="L773" i="2" s="1"/>
  <c r="K772" i="2"/>
  <c r="L772" i="2" s="1"/>
  <c r="J772" i="2"/>
  <c r="K771" i="2"/>
  <c r="L771" i="2" s="1"/>
  <c r="J771" i="2"/>
  <c r="J770" i="2"/>
  <c r="K770" i="2" s="1"/>
  <c r="L770" i="2" s="1"/>
  <c r="L769" i="2"/>
  <c r="K769" i="2"/>
  <c r="J769" i="2"/>
  <c r="J768" i="2"/>
  <c r="K768" i="2" s="1"/>
  <c r="L768" i="2" s="1"/>
  <c r="L767" i="2"/>
  <c r="K767" i="2"/>
  <c r="J767" i="2"/>
  <c r="J766" i="2"/>
  <c r="K766" i="2" s="1"/>
  <c r="L766" i="2" s="1"/>
  <c r="J765" i="2"/>
  <c r="K765" i="2" s="1"/>
  <c r="L765" i="2" s="1"/>
  <c r="J764" i="2"/>
  <c r="K764" i="2" s="1"/>
  <c r="L764" i="2" s="1"/>
  <c r="J763" i="2"/>
  <c r="K763" i="2" s="1"/>
  <c r="L763" i="2" s="1"/>
  <c r="K762" i="2"/>
  <c r="L762" i="2" s="1"/>
  <c r="J762" i="2"/>
  <c r="J761" i="2"/>
  <c r="K761" i="2" s="1"/>
  <c r="L761" i="2" s="1"/>
  <c r="K760" i="2"/>
  <c r="L760" i="2" s="1"/>
  <c r="J760" i="2"/>
  <c r="J759" i="2"/>
  <c r="K759" i="2" s="1"/>
  <c r="L759" i="2" s="1"/>
  <c r="K758" i="2"/>
  <c r="L758" i="2" s="1"/>
  <c r="J758" i="2"/>
  <c r="K757" i="2"/>
  <c r="L757" i="2" s="1"/>
  <c r="J757" i="2"/>
  <c r="K756" i="2"/>
  <c r="L756" i="2" s="1"/>
  <c r="J756" i="2"/>
  <c r="K755" i="2"/>
  <c r="L755" i="2" s="1"/>
  <c r="J755" i="2"/>
  <c r="J754" i="2"/>
  <c r="K754" i="2" s="1"/>
  <c r="L754" i="2" s="1"/>
  <c r="J753" i="2"/>
  <c r="K753" i="2" s="1"/>
  <c r="L753" i="2" s="1"/>
  <c r="J752" i="2"/>
  <c r="K752" i="2" s="1"/>
  <c r="L752" i="2" s="1"/>
  <c r="J751" i="2"/>
  <c r="K751" i="2" s="1"/>
  <c r="L751" i="2" s="1"/>
  <c r="J750" i="2"/>
  <c r="K750" i="2" s="1"/>
  <c r="L750" i="2" s="1"/>
  <c r="J749" i="2"/>
  <c r="K749" i="2" s="1"/>
  <c r="L749" i="2" s="1"/>
  <c r="J748" i="2"/>
  <c r="K748" i="2" s="1"/>
  <c r="L748" i="2" s="1"/>
  <c r="K747" i="2"/>
  <c r="L747" i="2" s="1"/>
  <c r="J747" i="2"/>
  <c r="J746" i="2"/>
  <c r="K746" i="2" s="1"/>
  <c r="L746" i="2" s="1"/>
  <c r="L745" i="2"/>
  <c r="J745" i="2"/>
  <c r="K745" i="2" s="1"/>
  <c r="K744" i="2"/>
  <c r="L744" i="2" s="1"/>
  <c r="J744" i="2"/>
  <c r="L743" i="2"/>
  <c r="K743" i="2"/>
  <c r="J743" i="2"/>
  <c r="J742" i="2"/>
  <c r="K742" i="2" s="1"/>
  <c r="L742" i="2" s="1"/>
  <c r="J741" i="2"/>
  <c r="K741" i="2" s="1"/>
  <c r="L741" i="2" s="1"/>
  <c r="K740" i="2"/>
  <c r="L740" i="2" s="1"/>
  <c r="J740" i="2"/>
  <c r="J739" i="2"/>
  <c r="K739" i="2" s="1"/>
  <c r="L739" i="2" s="1"/>
  <c r="J738" i="2"/>
  <c r="K738" i="2" s="1"/>
  <c r="L738" i="2" s="1"/>
  <c r="L737" i="2"/>
  <c r="J737" i="2"/>
  <c r="K737" i="2" s="1"/>
  <c r="J736" i="2"/>
  <c r="K736" i="2" s="1"/>
  <c r="L736" i="2" s="1"/>
  <c r="K735" i="2"/>
  <c r="L735" i="2" s="1"/>
  <c r="J735" i="2"/>
  <c r="J734" i="2"/>
  <c r="K734" i="2" s="1"/>
  <c r="L734" i="2" s="1"/>
  <c r="K733" i="2"/>
  <c r="L733" i="2" s="1"/>
  <c r="J733" i="2"/>
  <c r="J732" i="2"/>
  <c r="K732" i="2" s="1"/>
  <c r="L732" i="2" s="1"/>
  <c r="J731" i="2"/>
  <c r="K731" i="2" s="1"/>
  <c r="L731" i="2" s="1"/>
  <c r="J730" i="2"/>
  <c r="K730" i="2" s="1"/>
  <c r="L730" i="2" s="1"/>
  <c r="L729" i="2"/>
  <c r="J729" i="2"/>
  <c r="K729" i="2" s="1"/>
  <c r="J728" i="2"/>
  <c r="K728" i="2" s="1"/>
  <c r="L728" i="2" s="1"/>
  <c r="J727" i="2"/>
  <c r="K727" i="2" s="1"/>
  <c r="L727" i="2" s="1"/>
  <c r="J726" i="2"/>
  <c r="K726" i="2" s="1"/>
  <c r="L726" i="2" s="1"/>
  <c r="J725" i="2"/>
  <c r="K725" i="2" s="1"/>
  <c r="L725" i="2" s="1"/>
  <c r="K724" i="2"/>
  <c r="L724" i="2" s="1"/>
  <c r="J724" i="2"/>
  <c r="J723" i="2"/>
  <c r="K723" i="2" s="1"/>
  <c r="L723" i="2" s="1"/>
  <c r="K722" i="2"/>
  <c r="L722" i="2" s="1"/>
  <c r="J722" i="2"/>
  <c r="L721" i="2"/>
  <c r="J721" i="2"/>
  <c r="K721" i="2" s="1"/>
  <c r="L720" i="2"/>
  <c r="K720" i="2"/>
  <c r="J720" i="2"/>
  <c r="J719" i="2"/>
  <c r="K719" i="2" s="1"/>
  <c r="L719" i="2" s="1"/>
  <c r="K718" i="2"/>
  <c r="L718" i="2" s="1"/>
  <c r="J718" i="2"/>
  <c r="J717" i="2"/>
  <c r="K717" i="2" s="1"/>
  <c r="L717" i="2" s="1"/>
  <c r="J716" i="2"/>
  <c r="K716" i="2" s="1"/>
  <c r="L716" i="2" s="1"/>
  <c r="J715" i="2"/>
  <c r="K715" i="2" s="1"/>
  <c r="L715" i="2" s="1"/>
  <c r="J714" i="2"/>
  <c r="K714" i="2" s="1"/>
  <c r="L714" i="2" s="1"/>
  <c r="J713" i="2"/>
  <c r="K713" i="2" s="1"/>
  <c r="L713" i="2" s="1"/>
  <c r="K712" i="2"/>
  <c r="L712" i="2" s="1"/>
  <c r="J712" i="2"/>
  <c r="K711" i="2"/>
  <c r="L711" i="2" s="1"/>
  <c r="J711" i="2"/>
  <c r="K710" i="2"/>
  <c r="L710" i="2" s="1"/>
  <c r="J710" i="2"/>
  <c r="J709" i="2"/>
  <c r="K709" i="2" s="1"/>
  <c r="L709" i="2" s="1"/>
  <c r="J708" i="2"/>
  <c r="K708" i="2" s="1"/>
  <c r="L708" i="2" s="1"/>
  <c r="J707" i="2"/>
  <c r="K707" i="2" s="1"/>
  <c r="L707" i="2" s="1"/>
  <c r="K706" i="2"/>
  <c r="L706" i="2" s="1"/>
  <c r="J706" i="2"/>
  <c r="L705" i="2"/>
  <c r="J705" i="2"/>
  <c r="K705" i="2" s="1"/>
  <c r="J704" i="2"/>
  <c r="K704" i="2" s="1"/>
  <c r="L704" i="2" s="1"/>
  <c r="L703" i="2"/>
  <c r="K703" i="2"/>
  <c r="J703" i="2"/>
  <c r="K702" i="2"/>
  <c r="L702" i="2" s="1"/>
  <c r="J702" i="2"/>
  <c r="J701" i="2"/>
  <c r="K701" i="2" s="1"/>
  <c r="L701" i="2" s="1"/>
  <c r="J700" i="2"/>
  <c r="K700" i="2" s="1"/>
  <c r="L700" i="2" s="1"/>
  <c r="J699" i="2"/>
  <c r="K699" i="2" s="1"/>
  <c r="L699" i="2" s="1"/>
  <c r="J698" i="2"/>
  <c r="K698" i="2" s="1"/>
  <c r="L698" i="2" s="1"/>
  <c r="L697" i="2"/>
  <c r="J697" i="2"/>
  <c r="K697" i="2" s="1"/>
  <c r="K696" i="2"/>
  <c r="L696" i="2" s="1"/>
  <c r="J696" i="2"/>
  <c r="J695" i="2"/>
  <c r="K695" i="2" s="1"/>
  <c r="L695" i="2" s="1"/>
  <c r="K694" i="2"/>
  <c r="L694" i="2" s="1"/>
  <c r="J694" i="2"/>
  <c r="J693" i="2"/>
  <c r="K693" i="2" s="1"/>
  <c r="L693" i="2" s="1"/>
  <c r="K692" i="2"/>
  <c r="L692" i="2" s="1"/>
  <c r="J692" i="2"/>
  <c r="J691" i="2"/>
  <c r="K691" i="2" s="1"/>
  <c r="L691" i="2" s="1"/>
  <c r="J690" i="2"/>
  <c r="K690" i="2" s="1"/>
  <c r="L690" i="2" s="1"/>
  <c r="L689" i="2"/>
  <c r="K689" i="2"/>
  <c r="J689" i="2"/>
  <c r="J688" i="2"/>
  <c r="K688" i="2" s="1"/>
  <c r="L688" i="2" s="1"/>
  <c r="K687" i="2"/>
  <c r="L687" i="2" s="1"/>
  <c r="J687" i="2"/>
  <c r="J686" i="2"/>
  <c r="K686" i="2" s="1"/>
  <c r="L686" i="2" s="1"/>
  <c r="K685" i="2"/>
  <c r="L685" i="2" s="1"/>
  <c r="J685" i="2"/>
  <c r="K684" i="2"/>
  <c r="L684" i="2" s="1"/>
  <c r="J684" i="2"/>
  <c r="K683" i="2"/>
  <c r="L683" i="2" s="1"/>
  <c r="J683" i="2"/>
  <c r="K682" i="2"/>
  <c r="L682" i="2" s="1"/>
  <c r="J682" i="2"/>
  <c r="J681" i="2"/>
  <c r="K681" i="2" s="1"/>
  <c r="L681" i="2" s="1"/>
  <c r="J680" i="2"/>
  <c r="K680" i="2" s="1"/>
  <c r="L680" i="2" s="1"/>
  <c r="J679" i="2"/>
  <c r="K679" i="2" s="1"/>
  <c r="L679" i="2" s="1"/>
  <c r="K678" i="2"/>
  <c r="L678" i="2" s="1"/>
  <c r="J678" i="2"/>
  <c r="J677" i="2"/>
  <c r="K677" i="2" s="1"/>
  <c r="L677" i="2" s="1"/>
  <c r="K676" i="2"/>
  <c r="L676" i="2" s="1"/>
  <c r="J676" i="2"/>
  <c r="J675" i="2"/>
  <c r="K675" i="2" s="1"/>
  <c r="L675" i="2" s="1"/>
  <c r="J674" i="2"/>
  <c r="K674" i="2" s="1"/>
  <c r="L674" i="2" s="1"/>
  <c r="J673" i="2"/>
  <c r="K673" i="2" s="1"/>
  <c r="L673" i="2" s="1"/>
  <c r="L672" i="2"/>
  <c r="J672" i="2"/>
  <c r="K672" i="2" s="1"/>
  <c r="J671" i="2"/>
  <c r="K671" i="2" s="1"/>
  <c r="L671" i="2" s="1"/>
  <c r="J670" i="2"/>
  <c r="K670" i="2" s="1"/>
  <c r="L670" i="2" s="1"/>
  <c r="J669" i="2"/>
  <c r="K669" i="2" s="1"/>
  <c r="L669" i="2" s="1"/>
  <c r="L668" i="2"/>
  <c r="J668" i="2"/>
  <c r="K668" i="2" s="1"/>
  <c r="J667" i="2"/>
  <c r="K667" i="2" s="1"/>
  <c r="L667" i="2" s="1"/>
  <c r="J666" i="2"/>
  <c r="K666" i="2" s="1"/>
  <c r="L666" i="2" s="1"/>
  <c r="L665" i="2"/>
  <c r="J665" i="2"/>
  <c r="K665" i="2" s="1"/>
  <c r="J664" i="2"/>
  <c r="K664" i="2" s="1"/>
  <c r="L664" i="2" s="1"/>
  <c r="K663" i="2"/>
  <c r="L663" i="2" s="1"/>
  <c r="J663" i="2"/>
  <c r="J662" i="2"/>
  <c r="K662" i="2" s="1"/>
  <c r="L662" i="2" s="1"/>
  <c r="J661" i="2"/>
  <c r="K661" i="2" s="1"/>
  <c r="L661" i="2" s="1"/>
  <c r="L660" i="2"/>
  <c r="J660" i="2"/>
  <c r="K660" i="2" s="1"/>
  <c r="J659" i="2"/>
  <c r="K659" i="2" s="1"/>
  <c r="L659" i="2" s="1"/>
  <c r="J658" i="2"/>
  <c r="K658" i="2" s="1"/>
  <c r="L658" i="2" s="1"/>
  <c r="J657" i="2"/>
  <c r="K657" i="2" s="1"/>
  <c r="L657" i="2" s="1"/>
  <c r="J656" i="2"/>
  <c r="K656" i="2" s="1"/>
  <c r="L656" i="2" s="1"/>
  <c r="K655" i="2"/>
  <c r="L655" i="2" s="1"/>
  <c r="J655" i="2"/>
  <c r="J654" i="2"/>
  <c r="K654" i="2" s="1"/>
  <c r="L654" i="2" s="1"/>
  <c r="K653" i="2"/>
  <c r="L653" i="2" s="1"/>
  <c r="J653" i="2"/>
  <c r="L652" i="2"/>
  <c r="K652" i="2"/>
  <c r="J652" i="2"/>
  <c r="J651" i="2"/>
  <c r="K651" i="2" s="1"/>
  <c r="L651" i="2" s="1"/>
  <c r="K650" i="2"/>
  <c r="L650" i="2" s="1"/>
  <c r="J650" i="2"/>
  <c r="L649" i="2"/>
  <c r="K649" i="2"/>
  <c r="J649" i="2"/>
  <c r="J648" i="2"/>
  <c r="K648" i="2" s="1"/>
  <c r="L648" i="2" s="1"/>
  <c r="J647" i="2"/>
  <c r="K647" i="2" s="1"/>
  <c r="L647" i="2" s="1"/>
  <c r="J646" i="2"/>
  <c r="K646" i="2" s="1"/>
  <c r="L646" i="2" s="1"/>
  <c r="K645" i="2"/>
  <c r="L645" i="2" s="1"/>
  <c r="J645" i="2"/>
  <c r="J644" i="2"/>
  <c r="K644" i="2" s="1"/>
  <c r="L644" i="2" s="1"/>
  <c r="J643" i="2"/>
  <c r="K643" i="2" s="1"/>
  <c r="L643" i="2" s="1"/>
  <c r="J642" i="2"/>
  <c r="K642" i="2" s="1"/>
  <c r="L642" i="2" s="1"/>
  <c r="L641" i="2"/>
  <c r="K641" i="2"/>
  <c r="J641" i="2"/>
  <c r="K640" i="2"/>
  <c r="L640" i="2" s="1"/>
  <c r="J640" i="2"/>
  <c r="J639" i="2"/>
  <c r="K639" i="2" s="1"/>
  <c r="L639" i="2" s="1"/>
  <c r="L638" i="2"/>
  <c r="K638" i="2"/>
  <c r="J638" i="2"/>
  <c r="J637" i="2"/>
  <c r="K637" i="2" s="1"/>
  <c r="L637" i="2" s="1"/>
  <c r="L636" i="2"/>
  <c r="J636" i="2"/>
  <c r="K636" i="2" s="1"/>
  <c r="K635" i="2"/>
  <c r="L635" i="2" s="1"/>
  <c r="J635" i="2"/>
  <c r="J634" i="2"/>
  <c r="K634" i="2" s="1"/>
  <c r="L634" i="2" s="1"/>
  <c r="L633" i="2"/>
  <c r="K633" i="2"/>
  <c r="J633" i="2"/>
  <c r="J632" i="2"/>
  <c r="K632" i="2" s="1"/>
  <c r="L632" i="2" s="1"/>
  <c r="J631" i="2"/>
  <c r="K631" i="2" s="1"/>
  <c r="L631" i="2" s="1"/>
  <c r="J630" i="2"/>
  <c r="K630" i="2" s="1"/>
  <c r="L630" i="2" s="1"/>
  <c r="J629" i="2"/>
  <c r="K629" i="2" s="1"/>
  <c r="L629" i="2" s="1"/>
  <c r="J628" i="2"/>
  <c r="K628" i="2" s="1"/>
  <c r="L628" i="2" s="1"/>
  <c r="J627" i="2"/>
  <c r="K627" i="2" s="1"/>
  <c r="L627" i="2" s="1"/>
  <c r="J626" i="2"/>
  <c r="K626" i="2" s="1"/>
  <c r="L626" i="2" s="1"/>
  <c r="L625" i="2"/>
  <c r="J625" i="2"/>
  <c r="K625" i="2" s="1"/>
  <c r="J624" i="2"/>
  <c r="K624" i="2" s="1"/>
  <c r="L624" i="2" s="1"/>
  <c r="J623" i="2"/>
  <c r="K623" i="2" s="1"/>
  <c r="L623" i="2" s="1"/>
  <c r="L622" i="2"/>
  <c r="J622" i="2"/>
  <c r="K622" i="2" s="1"/>
  <c r="J621" i="2"/>
  <c r="K621" i="2" s="1"/>
  <c r="L621" i="2" s="1"/>
  <c r="J620" i="2"/>
  <c r="K620" i="2" s="1"/>
  <c r="L620" i="2" s="1"/>
  <c r="K619" i="2"/>
  <c r="L619" i="2" s="1"/>
  <c r="J619" i="2"/>
  <c r="K618" i="2"/>
  <c r="L618" i="2" s="1"/>
  <c r="J618" i="2"/>
  <c r="J617" i="2"/>
  <c r="K617" i="2" s="1"/>
  <c r="L617" i="2" s="1"/>
  <c r="J616" i="2"/>
  <c r="K616" i="2" s="1"/>
  <c r="L616" i="2" s="1"/>
  <c r="J615" i="2"/>
  <c r="K615" i="2" s="1"/>
  <c r="L615" i="2" s="1"/>
  <c r="K614" i="2"/>
  <c r="L614" i="2" s="1"/>
  <c r="J614" i="2"/>
  <c r="K613" i="2"/>
  <c r="L613" i="2" s="1"/>
  <c r="J613" i="2"/>
  <c r="J612" i="2"/>
  <c r="K612" i="2" s="1"/>
  <c r="L612" i="2" s="1"/>
  <c r="J611" i="2"/>
  <c r="K611" i="2" s="1"/>
  <c r="L611" i="2" s="1"/>
  <c r="K610" i="2"/>
  <c r="L610" i="2" s="1"/>
  <c r="J610" i="2"/>
  <c r="J609" i="2"/>
  <c r="K609" i="2" s="1"/>
  <c r="L609" i="2" s="1"/>
  <c r="J608" i="2"/>
  <c r="K608" i="2" s="1"/>
  <c r="L608" i="2" s="1"/>
  <c r="J607" i="2"/>
  <c r="K607" i="2" s="1"/>
  <c r="L607" i="2" s="1"/>
  <c r="K606" i="2"/>
  <c r="L606" i="2" s="1"/>
  <c r="J606" i="2"/>
  <c r="J605" i="2"/>
  <c r="K605" i="2" s="1"/>
  <c r="L605" i="2" s="1"/>
  <c r="J604" i="2"/>
  <c r="K604" i="2" s="1"/>
  <c r="L604" i="2" s="1"/>
  <c r="J603" i="2"/>
  <c r="K603" i="2" s="1"/>
  <c r="L603" i="2" s="1"/>
  <c r="J602" i="2"/>
  <c r="K602" i="2" s="1"/>
  <c r="L602" i="2" s="1"/>
  <c r="L601" i="2"/>
  <c r="J601" i="2"/>
  <c r="K601" i="2" s="1"/>
  <c r="J600" i="2"/>
  <c r="K600" i="2" s="1"/>
  <c r="L600" i="2" s="1"/>
  <c r="L599" i="2"/>
  <c r="K599" i="2"/>
  <c r="J599" i="2"/>
  <c r="L598" i="2"/>
  <c r="K598" i="2"/>
  <c r="J598" i="2"/>
  <c r="J597" i="2"/>
  <c r="K597" i="2" s="1"/>
  <c r="L597" i="2" s="1"/>
  <c r="J596" i="2"/>
  <c r="K596" i="2" s="1"/>
  <c r="L596" i="2" s="1"/>
  <c r="J595" i="2"/>
  <c r="K595" i="2" s="1"/>
  <c r="L595" i="2" s="1"/>
  <c r="L594" i="2"/>
  <c r="K594" i="2"/>
  <c r="J594" i="2"/>
  <c r="K593" i="2"/>
  <c r="L593" i="2" s="1"/>
  <c r="J593" i="2"/>
  <c r="J592" i="2"/>
  <c r="K592" i="2" s="1"/>
  <c r="L592" i="2" s="1"/>
  <c r="J591" i="2"/>
  <c r="K591" i="2" s="1"/>
  <c r="L591" i="2" s="1"/>
  <c r="L590" i="2"/>
  <c r="J590" i="2"/>
  <c r="K590" i="2" s="1"/>
  <c r="K589" i="2"/>
  <c r="L589" i="2" s="1"/>
  <c r="J589" i="2"/>
  <c r="J588" i="2"/>
  <c r="K588" i="2" s="1"/>
  <c r="L588" i="2" s="1"/>
  <c r="K587" i="2"/>
  <c r="L587" i="2" s="1"/>
  <c r="J587" i="2"/>
  <c r="J586" i="2"/>
  <c r="K586" i="2" s="1"/>
  <c r="L586" i="2" s="1"/>
  <c r="J585" i="2"/>
  <c r="K585" i="2" s="1"/>
  <c r="L585" i="2" s="1"/>
  <c r="J584" i="2"/>
  <c r="K584" i="2" s="1"/>
  <c r="L584" i="2" s="1"/>
  <c r="J583" i="2"/>
  <c r="K583" i="2" s="1"/>
  <c r="L583" i="2" s="1"/>
  <c r="J582" i="2"/>
  <c r="K582" i="2" s="1"/>
  <c r="L582" i="2" s="1"/>
  <c r="K581" i="2"/>
  <c r="L581" i="2" s="1"/>
  <c r="J581" i="2"/>
  <c r="J580" i="2"/>
  <c r="K580" i="2" s="1"/>
  <c r="L580" i="2" s="1"/>
  <c r="J579" i="2"/>
  <c r="K579" i="2" s="1"/>
  <c r="L579" i="2" s="1"/>
  <c r="L578" i="2"/>
  <c r="J578" i="2"/>
  <c r="K578" i="2" s="1"/>
  <c r="K577" i="2"/>
  <c r="L577" i="2" s="1"/>
  <c r="J577" i="2"/>
  <c r="J576" i="2"/>
  <c r="K576" i="2" s="1"/>
  <c r="L576" i="2" s="1"/>
  <c r="J575" i="2"/>
  <c r="K575" i="2" s="1"/>
  <c r="L575" i="2" s="1"/>
  <c r="K574" i="2"/>
  <c r="L574" i="2" s="1"/>
  <c r="J574" i="2"/>
  <c r="J573" i="2"/>
  <c r="K573" i="2" s="1"/>
  <c r="L573" i="2" s="1"/>
  <c r="L572" i="2"/>
  <c r="J572" i="2"/>
  <c r="K572" i="2" s="1"/>
  <c r="J571" i="2"/>
  <c r="K571" i="2" s="1"/>
  <c r="L571" i="2" s="1"/>
  <c r="L570" i="2"/>
  <c r="J570" i="2"/>
  <c r="K570" i="2" s="1"/>
  <c r="J569" i="2"/>
  <c r="K569" i="2" s="1"/>
  <c r="L569" i="2" s="1"/>
  <c r="L568" i="2"/>
  <c r="K568" i="2"/>
  <c r="J568" i="2"/>
  <c r="J567" i="2"/>
  <c r="K567" i="2" s="1"/>
  <c r="L567" i="2" s="1"/>
  <c r="J566" i="2"/>
  <c r="K566" i="2" s="1"/>
  <c r="L566" i="2" s="1"/>
  <c r="K565" i="2"/>
  <c r="L565" i="2" s="1"/>
  <c r="J565" i="2"/>
  <c r="J564" i="2"/>
  <c r="K564" i="2" s="1"/>
  <c r="L564" i="2" s="1"/>
  <c r="K563" i="2"/>
  <c r="L563" i="2" s="1"/>
  <c r="J563" i="2"/>
  <c r="J562" i="2"/>
  <c r="K562" i="2" s="1"/>
  <c r="L562" i="2" s="1"/>
  <c r="L561" i="2"/>
  <c r="J561" i="2"/>
  <c r="K561" i="2" s="1"/>
  <c r="K560" i="2"/>
  <c r="L560" i="2" s="1"/>
  <c r="J560" i="2"/>
  <c r="J559" i="2"/>
  <c r="K559" i="2" s="1"/>
  <c r="L559" i="2" s="1"/>
  <c r="J558" i="2"/>
  <c r="K558" i="2" s="1"/>
  <c r="L558" i="2" s="1"/>
  <c r="J557" i="2"/>
  <c r="K557" i="2" s="1"/>
  <c r="L557" i="2" s="1"/>
  <c r="J556" i="2"/>
  <c r="K556" i="2" s="1"/>
  <c r="L556" i="2" s="1"/>
  <c r="K555" i="2"/>
  <c r="L555" i="2" s="1"/>
  <c r="J555" i="2"/>
  <c r="J554" i="2"/>
  <c r="K554" i="2" s="1"/>
  <c r="L554" i="2" s="1"/>
  <c r="K553" i="2"/>
  <c r="L553" i="2" s="1"/>
  <c r="J553" i="2"/>
  <c r="J552" i="2"/>
  <c r="K552" i="2" s="1"/>
  <c r="L552" i="2" s="1"/>
  <c r="L551" i="2"/>
  <c r="J551" i="2"/>
  <c r="K551" i="2" s="1"/>
  <c r="J550" i="2"/>
  <c r="K550" i="2" s="1"/>
  <c r="L550" i="2" s="1"/>
  <c r="J549" i="2"/>
  <c r="K549" i="2" s="1"/>
  <c r="L549" i="2" s="1"/>
  <c r="L548" i="2"/>
  <c r="J548" i="2"/>
  <c r="K548" i="2" s="1"/>
  <c r="J547" i="2"/>
  <c r="K547" i="2" s="1"/>
  <c r="L547" i="2" s="1"/>
  <c r="L546" i="2"/>
  <c r="J546" i="2"/>
  <c r="K546" i="2" s="1"/>
  <c r="J545" i="2"/>
  <c r="K545" i="2" s="1"/>
  <c r="L545" i="2" s="1"/>
  <c r="J544" i="2"/>
  <c r="K544" i="2" s="1"/>
  <c r="L544" i="2" s="1"/>
  <c r="K543" i="2"/>
  <c r="L543" i="2" s="1"/>
  <c r="J543" i="2"/>
  <c r="J542" i="2"/>
  <c r="K542" i="2" s="1"/>
  <c r="L542" i="2" s="1"/>
  <c r="K541" i="2"/>
  <c r="L541" i="2" s="1"/>
  <c r="J541" i="2"/>
  <c r="J540" i="2"/>
  <c r="K540" i="2" s="1"/>
  <c r="L540" i="2" s="1"/>
  <c r="J539" i="2"/>
  <c r="K539" i="2" s="1"/>
  <c r="L539" i="2" s="1"/>
  <c r="L538" i="2"/>
  <c r="K538" i="2"/>
  <c r="J538" i="2"/>
  <c r="J537" i="2"/>
  <c r="K537" i="2" s="1"/>
  <c r="L537" i="2" s="1"/>
  <c r="J536" i="2"/>
  <c r="K536" i="2" s="1"/>
  <c r="L536" i="2" s="1"/>
  <c r="J535" i="2"/>
  <c r="K535" i="2" s="1"/>
  <c r="L535" i="2" s="1"/>
  <c r="K534" i="2"/>
  <c r="L534" i="2" s="1"/>
  <c r="J534" i="2"/>
  <c r="J533" i="2"/>
  <c r="K533" i="2" s="1"/>
  <c r="L533" i="2" s="1"/>
  <c r="J532" i="2"/>
  <c r="K532" i="2" s="1"/>
  <c r="L532" i="2" s="1"/>
  <c r="J531" i="2"/>
  <c r="K531" i="2" s="1"/>
  <c r="L531" i="2" s="1"/>
  <c r="J530" i="2"/>
  <c r="K530" i="2" s="1"/>
  <c r="L530" i="2" s="1"/>
  <c r="J529" i="2"/>
  <c r="K529" i="2" s="1"/>
  <c r="L529" i="2" s="1"/>
  <c r="J528" i="2"/>
  <c r="K528" i="2" s="1"/>
  <c r="L528" i="2" s="1"/>
  <c r="J527" i="2"/>
  <c r="K527" i="2" s="1"/>
  <c r="L527" i="2" s="1"/>
  <c r="J526" i="2"/>
  <c r="K526" i="2" s="1"/>
  <c r="L526" i="2" s="1"/>
  <c r="J525" i="2"/>
  <c r="K525" i="2" s="1"/>
  <c r="L525" i="2" s="1"/>
  <c r="J524" i="2"/>
  <c r="K524" i="2" s="1"/>
  <c r="L524" i="2" s="1"/>
  <c r="J523" i="2"/>
  <c r="K523" i="2" s="1"/>
  <c r="L523" i="2" s="1"/>
  <c r="K522" i="2"/>
  <c r="L522" i="2" s="1"/>
  <c r="J522" i="2"/>
  <c r="J521" i="2"/>
  <c r="K521" i="2" s="1"/>
  <c r="L521" i="2" s="1"/>
  <c r="J520" i="2"/>
  <c r="K520" i="2" s="1"/>
  <c r="L520" i="2" s="1"/>
  <c r="K519" i="2"/>
  <c r="L519" i="2" s="1"/>
  <c r="J519" i="2"/>
  <c r="K518" i="2"/>
  <c r="L518" i="2" s="1"/>
  <c r="J518" i="2"/>
  <c r="K517" i="2"/>
  <c r="L517" i="2" s="1"/>
  <c r="J517" i="2"/>
  <c r="J516" i="2"/>
  <c r="K516" i="2" s="1"/>
  <c r="L516" i="2" s="1"/>
  <c r="K515" i="2"/>
  <c r="L515" i="2" s="1"/>
  <c r="J515" i="2"/>
  <c r="J514" i="2"/>
  <c r="K514" i="2" s="1"/>
  <c r="L514" i="2" s="1"/>
  <c r="J513" i="2"/>
  <c r="K513" i="2" s="1"/>
  <c r="L513" i="2" s="1"/>
  <c r="J512" i="2"/>
  <c r="K512" i="2" s="1"/>
  <c r="L512" i="2" s="1"/>
  <c r="J511" i="2"/>
  <c r="K511" i="2" s="1"/>
  <c r="L511" i="2" s="1"/>
  <c r="K510" i="2"/>
  <c r="L510" i="2" s="1"/>
  <c r="J510" i="2"/>
  <c r="J509" i="2"/>
  <c r="K509" i="2" s="1"/>
  <c r="L509" i="2" s="1"/>
  <c r="L508" i="2"/>
  <c r="J508" i="2"/>
  <c r="K508" i="2" s="1"/>
  <c r="J507" i="2"/>
  <c r="K507" i="2" s="1"/>
  <c r="L507" i="2" s="1"/>
  <c r="J506" i="2"/>
  <c r="K506" i="2" s="1"/>
  <c r="L506" i="2" s="1"/>
  <c r="J505" i="2"/>
  <c r="K505" i="2" s="1"/>
  <c r="L505" i="2" s="1"/>
  <c r="K504" i="2"/>
  <c r="L504" i="2" s="1"/>
  <c r="J504" i="2"/>
  <c r="J503" i="2"/>
  <c r="K503" i="2" s="1"/>
  <c r="L503" i="2" s="1"/>
  <c r="J502" i="2"/>
  <c r="K502" i="2" s="1"/>
  <c r="L502" i="2" s="1"/>
  <c r="J501" i="2"/>
  <c r="K501" i="2" s="1"/>
  <c r="L501" i="2" s="1"/>
  <c r="L500" i="2"/>
  <c r="J500" i="2"/>
  <c r="K500" i="2" s="1"/>
  <c r="J499" i="2"/>
  <c r="K499" i="2" s="1"/>
  <c r="L499" i="2" s="1"/>
  <c r="J498" i="2"/>
  <c r="K498" i="2" s="1"/>
  <c r="L498" i="2" s="1"/>
  <c r="K497" i="2"/>
  <c r="L497" i="2" s="1"/>
  <c r="J497" i="2"/>
  <c r="J496" i="2"/>
  <c r="K496" i="2" s="1"/>
  <c r="L496" i="2" s="1"/>
  <c r="K495" i="2"/>
  <c r="L495" i="2" s="1"/>
  <c r="J495" i="2"/>
  <c r="L494" i="2"/>
  <c r="J494" i="2"/>
  <c r="K494" i="2" s="1"/>
  <c r="K493" i="2"/>
  <c r="L493" i="2" s="1"/>
  <c r="J493" i="2"/>
  <c r="J492" i="2"/>
  <c r="K492" i="2" s="1"/>
  <c r="L492" i="2" s="1"/>
  <c r="K491" i="2"/>
  <c r="L491" i="2" s="1"/>
  <c r="J491" i="2"/>
  <c r="J490" i="2"/>
  <c r="K490" i="2" s="1"/>
  <c r="L490" i="2" s="1"/>
  <c r="J489" i="2"/>
  <c r="K489" i="2" s="1"/>
  <c r="L489" i="2" s="1"/>
  <c r="J488" i="2"/>
  <c r="K488" i="2" s="1"/>
  <c r="L488" i="2" s="1"/>
  <c r="K487" i="2"/>
  <c r="L487" i="2" s="1"/>
  <c r="J487" i="2"/>
  <c r="J486" i="2"/>
  <c r="K486" i="2" s="1"/>
  <c r="L486" i="2" s="1"/>
  <c r="K485" i="2"/>
  <c r="L485" i="2" s="1"/>
  <c r="J485" i="2"/>
  <c r="J484" i="2"/>
  <c r="K484" i="2" s="1"/>
  <c r="L484" i="2" s="1"/>
  <c r="J483" i="2"/>
  <c r="K483" i="2" s="1"/>
  <c r="L483" i="2" s="1"/>
  <c r="J482" i="2"/>
  <c r="K482" i="2" s="1"/>
  <c r="L482" i="2" s="1"/>
  <c r="J481" i="2"/>
  <c r="K481" i="2" s="1"/>
  <c r="L481" i="2" s="1"/>
  <c r="L480" i="2"/>
  <c r="J480" i="2"/>
  <c r="K480" i="2" s="1"/>
  <c r="J479" i="2"/>
  <c r="K479" i="2" s="1"/>
  <c r="L479" i="2" s="1"/>
  <c r="L478" i="2"/>
  <c r="K478" i="2"/>
  <c r="J478" i="2"/>
  <c r="J477" i="2"/>
  <c r="K477" i="2" s="1"/>
  <c r="L477" i="2" s="1"/>
  <c r="L476" i="2"/>
  <c r="J476" i="2"/>
  <c r="K476" i="2" s="1"/>
  <c r="J475" i="2"/>
  <c r="K475" i="2" s="1"/>
  <c r="L475" i="2" s="1"/>
  <c r="K474" i="2"/>
  <c r="L474" i="2" s="1"/>
  <c r="J474" i="2"/>
  <c r="J473" i="2"/>
  <c r="K473" i="2" s="1"/>
  <c r="L473" i="2" s="1"/>
  <c r="J472" i="2"/>
  <c r="K472" i="2" s="1"/>
  <c r="L472" i="2" s="1"/>
  <c r="J471" i="2"/>
  <c r="K471" i="2" s="1"/>
  <c r="L471" i="2" s="1"/>
  <c r="J470" i="2"/>
  <c r="K470" i="2" s="1"/>
  <c r="L470" i="2" s="1"/>
  <c r="J469" i="2"/>
  <c r="K469" i="2" s="1"/>
  <c r="L469" i="2" s="1"/>
  <c r="J468" i="2"/>
  <c r="K468" i="2" s="1"/>
  <c r="L468" i="2" s="1"/>
  <c r="J467" i="2"/>
  <c r="K467" i="2" s="1"/>
  <c r="L467" i="2" s="1"/>
  <c r="K466" i="2"/>
  <c r="L466" i="2" s="1"/>
  <c r="J466" i="2"/>
  <c r="J465" i="2"/>
  <c r="K465" i="2" s="1"/>
  <c r="L465" i="2" s="1"/>
  <c r="J464" i="2"/>
  <c r="K464" i="2" s="1"/>
  <c r="L464" i="2" s="1"/>
  <c r="J463" i="2"/>
  <c r="K463" i="2" s="1"/>
  <c r="L463" i="2" s="1"/>
  <c r="K462" i="2"/>
  <c r="L462" i="2" s="1"/>
  <c r="J462" i="2"/>
  <c r="K461" i="2"/>
  <c r="L461" i="2" s="1"/>
  <c r="J461" i="2"/>
  <c r="J460" i="2"/>
  <c r="K460" i="2" s="1"/>
  <c r="L460" i="2" s="1"/>
  <c r="J459" i="2"/>
  <c r="K459" i="2" s="1"/>
  <c r="L459" i="2" s="1"/>
  <c r="J458" i="2"/>
  <c r="K458" i="2" s="1"/>
  <c r="L458" i="2" s="1"/>
  <c r="L457" i="2"/>
  <c r="J457" i="2"/>
  <c r="K457" i="2" s="1"/>
  <c r="J456" i="2"/>
  <c r="K456" i="2" s="1"/>
  <c r="L456" i="2" s="1"/>
  <c r="J455" i="2"/>
  <c r="K455" i="2" s="1"/>
  <c r="L455" i="2" s="1"/>
  <c r="J454" i="2"/>
  <c r="K454" i="2" s="1"/>
  <c r="L454" i="2" s="1"/>
  <c r="J453" i="2"/>
  <c r="K453" i="2" s="1"/>
  <c r="L453" i="2" s="1"/>
  <c r="L452" i="2"/>
  <c r="J452" i="2"/>
  <c r="K452" i="2" s="1"/>
  <c r="K451" i="2"/>
  <c r="L451" i="2" s="1"/>
  <c r="J451" i="2"/>
  <c r="K450" i="2"/>
  <c r="L450" i="2" s="1"/>
  <c r="J450" i="2"/>
  <c r="J449" i="2"/>
  <c r="K449" i="2" s="1"/>
  <c r="L449" i="2" s="1"/>
  <c r="J448" i="2"/>
  <c r="K448" i="2" s="1"/>
  <c r="L448" i="2" s="1"/>
  <c r="K447" i="2"/>
  <c r="L447" i="2" s="1"/>
  <c r="J447" i="2"/>
  <c r="J446" i="2"/>
  <c r="K446" i="2" s="1"/>
  <c r="L446" i="2" s="1"/>
  <c r="L445" i="2"/>
  <c r="K445" i="2"/>
  <c r="J445" i="2"/>
  <c r="J444" i="2"/>
  <c r="K444" i="2" s="1"/>
  <c r="L444" i="2" s="1"/>
  <c r="J443" i="2"/>
  <c r="K443" i="2" s="1"/>
  <c r="L443" i="2" s="1"/>
  <c r="J442" i="2"/>
  <c r="K442" i="2" s="1"/>
  <c r="L442" i="2" s="1"/>
  <c r="J441" i="2"/>
  <c r="K441" i="2" s="1"/>
  <c r="L441" i="2" s="1"/>
  <c r="J440" i="2"/>
  <c r="K440" i="2" s="1"/>
  <c r="L440" i="2" s="1"/>
  <c r="J439" i="2"/>
  <c r="K439" i="2" s="1"/>
  <c r="L439" i="2" s="1"/>
  <c r="J438" i="2"/>
  <c r="K438" i="2" s="1"/>
  <c r="L438" i="2" s="1"/>
  <c r="K437" i="2"/>
  <c r="L437" i="2" s="1"/>
  <c r="J437" i="2"/>
  <c r="L436" i="2"/>
  <c r="J436" i="2"/>
  <c r="K436" i="2" s="1"/>
  <c r="K435" i="2"/>
  <c r="L435" i="2" s="1"/>
  <c r="J435" i="2"/>
  <c r="L434" i="2"/>
  <c r="J434" i="2"/>
  <c r="K434" i="2" s="1"/>
  <c r="K433" i="2"/>
  <c r="L433" i="2" s="1"/>
  <c r="J433" i="2"/>
  <c r="J432" i="2"/>
  <c r="K432" i="2" s="1"/>
  <c r="L432" i="2" s="1"/>
  <c r="K431" i="2"/>
  <c r="L431" i="2" s="1"/>
  <c r="J431" i="2"/>
  <c r="J430" i="2"/>
  <c r="K430" i="2" s="1"/>
  <c r="L430" i="2" s="1"/>
  <c r="J429" i="2"/>
  <c r="K429" i="2" s="1"/>
  <c r="L429" i="2" s="1"/>
  <c r="J428" i="2"/>
  <c r="K428" i="2" s="1"/>
  <c r="L428" i="2" s="1"/>
  <c r="J427" i="2"/>
  <c r="K427" i="2" s="1"/>
  <c r="L427" i="2" s="1"/>
  <c r="L426" i="2"/>
  <c r="K426" i="2"/>
  <c r="J426" i="2"/>
  <c r="J425" i="2"/>
  <c r="K425" i="2" s="1"/>
  <c r="L425" i="2" s="1"/>
  <c r="K424" i="2"/>
  <c r="L424" i="2" s="1"/>
  <c r="J424" i="2"/>
  <c r="J423" i="2"/>
  <c r="K423" i="2" s="1"/>
  <c r="L423" i="2" s="1"/>
  <c r="J422" i="2"/>
  <c r="K422" i="2" s="1"/>
  <c r="L422" i="2" s="1"/>
  <c r="J421" i="2"/>
  <c r="K421" i="2" s="1"/>
  <c r="L421" i="2" s="1"/>
  <c r="J420" i="2"/>
  <c r="K420" i="2" s="1"/>
  <c r="L420" i="2" s="1"/>
  <c r="J419" i="2"/>
  <c r="K419" i="2" s="1"/>
  <c r="L419" i="2" s="1"/>
  <c r="L418" i="2"/>
  <c r="K418" i="2"/>
  <c r="J418" i="2"/>
  <c r="J417" i="2"/>
  <c r="K417" i="2" s="1"/>
  <c r="L417" i="2" s="1"/>
  <c r="J416" i="2"/>
  <c r="K416" i="2" s="1"/>
  <c r="L416" i="2" s="1"/>
  <c r="J415" i="2"/>
  <c r="K415" i="2" s="1"/>
  <c r="L415" i="2" s="1"/>
  <c r="K414" i="2"/>
  <c r="L414" i="2" s="1"/>
  <c r="J414" i="2"/>
  <c r="J413" i="2"/>
  <c r="K413" i="2" s="1"/>
  <c r="L413" i="2" s="1"/>
  <c r="J412" i="2"/>
  <c r="K412" i="2" s="1"/>
  <c r="L412" i="2" s="1"/>
  <c r="J411" i="2"/>
  <c r="K411" i="2" s="1"/>
  <c r="L411" i="2" s="1"/>
  <c r="K410" i="2"/>
  <c r="L410" i="2" s="1"/>
  <c r="J410" i="2"/>
  <c r="L409" i="2"/>
  <c r="J409" i="2"/>
  <c r="K409" i="2" s="1"/>
  <c r="J408" i="2"/>
  <c r="K408" i="2" s="1"/>
  <c r="L408" i="2" s="1"/>
  <c r="K407" i="2"/>
  <c r="L407" i="2" s="1"/>
  <c r="J407" i="2"/>
  <c r="J406" i="2"/>
  <c r="K406" i="2" s="1"/>
  <c r="L406" i="2" s="1"/>
  <c r="L405" i="2"/>
  <c r="J405" i="2"/>
  <c r="K405" i="2" s="1"/>
  <c r="J404" i="2"/>
  <c r="K404" i="2" s="1"/>
  <c r="L404" i="2" s="1"/>
  <c r="K403" i="2"/>
  <c r="L403" i="2" s="1"/>
  <c r="J403" i="2"/>
  <c r="J402" i="2"/>
  <c r="K402" i="2" s="1"/>
  <c r="L402" i="2" s="1"/>
  <c r="K401" i="2"/>
  <c r="L401" i="2" s="1"/>
  <c r="J401" i="2"/>
  <c r="J400" i="2"/>
  <c r="K400" i="2" s="1"/>
  <c r="L400" i="2" s="1"/>
  <c r="J399" i="2"/>
  <c r="K399" i="2" s="1"/>
  <c r="L399" i="2" s="1"/>
  <c r="J398" i="2"/>
  <c r="K398" i="2" s="1"/>
  <c r="L398" i="2" s="1"/>
  <c r="L397" i="2"/>
  <c r="K397" i="2"/>
  <c r="J397" i="2"/>
  <c r="J396" i="2"/>
  <c r="K396" i="2" s="1"/>
  <c r="L396" i="2" s="1"/>
  <c r="J395" i="2"/>
  <c r="K395" i="2" s="1"/>
  <c r="L395" i="2" s="1"/>
  <c r="J394" i="2"/>
  <c r="K394" i="2" s="1"/>
  <c r="L394" i="2" s="1"/>
  <c r="J393" i="2"/>
  <c r="K393" i="2" s="1"/>
  <c r="L393" i="2" s="1"/>
  <c r="K392" i="2"/>
  <c r="L392" i="2" s="1"/>
  <c r="J392" i="2"/>
  <c r="K391" i="2"/>
  <c r="L391" i="2" s="1"/>
  <c r="J391" i="2"/>
  <c r="J390" i="2"/>
  <c r="K390" i="2" s="1"/>
  <c r="L390" i="2" s="1"/>
  <c r="J389" i="2"/>
  <c r="K389" i="2" s="1"/>
  <c r="L389" i="2" s="1"/>
  <c r="L388" i="2"/>
  <c r="J388" i="2"/>
  <c r="K388" i="2" s="1"/>
  <c r="J387" i="2"/>
  <c r="K387" i="2" s="1"/>
  <c r="L387" i="2" s="1"/>
  <c r="K386" i="2"/>
  <c r="L386" i="2" s="1"/>
  <c r="J386" i="2"/>
  <c r="J385" i="2"/>
  <c r="K385" i="2" s="1"/>
  <c r="L385" i="2" s="1"/>
  <c r="J384" i="2"/>
  <c r="K384" i="2" s="1"/>
  <c r="L384" i="2" s="1"/>
  <c r="J383" i="2"/>
  <c r="K383" i="2" s="1"/>
  <c r="L383" i="2" s="1"/>
  <c r="J382" i="2"/>
  <c r="K382" i="2" s="1"/>
  <c r="L382" i="2" s="1"/>
  <c r="J381" i="2"/>
  <c r="K381" i="2" s="1"/>
  <c r="L381" i="2" s="1"/>
  <c r="J380" i="2"/>
  <c r="K380" i="2" s="1"/>
  <c r="L380" i="2" s="1"/>
  <c r="J379" i="2"/>
  <c r="K379" i="2" s="1"/>
  <c r="L379" i="2" s="1"/>
  <c r="J378" i="2"/>
  <c r="K378" i="2" s="1"/>
  <c r="L378" i="2" s="1"/>
  <c r="J377" i="2"/>
  <c r="K377" i="2" s="1"/>
  <c r="L377" i="2" s="1"/>
  <c r="L376" i="2"/>
  <c r="K376" i="2"/>
  <c r="J376" i="2"/>
  <c r="K375" i="2"/>
  <c r="L375" i="2" s="1"/>
  <c r="J375" i="2"/>
  <c r="K374" i="2"/>
  <c r="L374" i="2" s="1"/>
  <c r="J374" i="2"/>
  <c r="J373" i="2"/>
  <c r="K373" i="2" s="1"/>
  <c r="L373" i="2" s="1"/>
  <c r="J372" i="2"/>
  <c r="K372" i="2" s="1"/>
  <c r="L372" i="2" s="1"/>
  <c r="L371" i="2"/>
  <c r="K371" i="2"/>
  <c r="J371" i="2"/>
  <c r="J370" i="2"/>
  <c r="K370" i="2" s="1"/>
  <c r="L370" i="2" s="1"/>
  <c r="J369" i="2"/>
  <c r="K369" i="2" s="1"/>
  <c r="L369" i="2" s="1"/>
  <c r="J368" i="2"/>
  <c r="K368" i="2" s="1"/>
  <c r="L368" i="2" s="1"/>
  <c r="K367" i="2"/>
  <c r="L367" i="2" s="1"/>
  <c r="J367" i="2"/>
  <c r="J366" i="2"/>
  <c r="K366" i="2" s="1"/>
  <c r="L366" i="2" s="1"/>
  <c r="J365" i="2"/>
  <c r="K365" i="2" s="1"/>
  <c r="L365" i="2" s="1"/>
  <c r="J364" i="2"/>
  <c r="K364" i="2" s="1"/>
  <c r="L364" i="2" s="1"/>
  <c r="J363" i="2"/>
  <c r="K363" i="2" s="1"/>
  <c r="L363" i="2" s="1"/>
  <c r="J362" i="2"/>
  <c r="K362" i="2" s="1"/>
  <c r="L362" i="2" s="1"/>
  <c r="K361" i="2"/>
  <c r="L361" i="2" s="1"/>
  <c r="J361" i="2"/>
  <c r="J360" i="2"/>
  <c r="K360" i="2" s="1"/>
  <c r="L360" i="2" s="1"/>
  <c r="J359" i="2"/>
  <c r="K359" i="2" s="1"/>
  <c r="L359" i="2" s="1"/>
  <c r="K358" i="2"/>
  <c r="L358" i="2" s="1"/>
  <c r="J358" i="2"/>
  <c r="K357" i="2"/>
  <c r="L357" i="2" s="1"/>
  <c r="J357" i="2"/>
  <c r="J356" i="2"/>
  <c r="K356" i="2" s="1"/>
  <c r="L356" i="2" s="1"/>
  <c r="K355" i="2"/>
  <c r="L355" i="2" s="1"/>
  <c r="J355" i="2"/>
  <c r="J354" i="2"/>
  <c r="K354" i="2" s="1"/>
  <c r="L354" i="2" s="1"/>
  <c r="J353" i="2"/>
  <c r="K353" i="2" s="1"/>
  <c r="L353" i="2" s="1"/>
  <c r="J352" i="2"/>
  <c r="K352" i="2" s="1"/>
  <c r="L352" i="2" s="1"/>
  <c r="L351" i="2"/>
  <c r="K351" i="2"/>
  <c r="J351" i="2"/>
  <c r="K350" i="2"/>
  <c r="L350" i="2" s="1"/>
  <c r="J350" i="2"/>
  <c r="J349" i="2"/>
  <c r="K349" i="2" s="1"/>
  <c r="L349" i="2" s="1"/>
  <c r="J348" i="2"/>
  <c r="K348" i="2" s="1"/>
  <c r="L348" i="2" s="1"/>
  <c r="J347" i="2"/>
  <c r="K347" i="2" s="1"/>
  <c r="L347" i="2" s="1"/>
  <c r="J346" i="2"/>
  <c r="K346" i="2" s="1"/>
  <c r="L346" i="2" s="1"/>
  <c r="J345" i="2"/>
  <c r="K345" i="2" s="1"/>
  <c r="L345" i="2" s="1"/>
  <c r="J344" i="2"/>
  <c r="K344" i="2" s="1"/>
  <c r="L344" i="2" s="1"/>
  <c r="K343" i="2"/>
  <c r="L343" i="2" s="1"/>
  <c r="J343" i="2"/>
  <c r="J342" i="2"/>
  <c r="K342" i="2" s="1"/>
  <c r="L342" i="2" s="1"/>
  <c r="J341" i="2"/>
  <c r="K341" i="2" s="1"/>
  <c r="L341" i="2" s="1"/>
  <c r="J340" i="2"/>
  <c r="K340" i="2" s="1"/>
  <c r="L340" i="2" s="1"/>
  <c r="J339" i="2"/>
  <c r="K339" i="2" s="1"/>
  <c r="L339" i="2" s="1"/>
  <c r="J338" i="2"/>
  <c r="K338" i="2" s="1"/>
  <c r="L338" i="2" s="1"/>
  <c r="J337" i="2"/>
  <c r="K337" i="2" s="1"/>
  <c r="L337" i="2" s="1"/>
  <c r="J336" i="2"/>
  <c r="K336" i="2" s="1"/>
  <c r="L336" i="2" s="1"/>
  <c r="J335" i="2"/>
  <c r="K335" i="2" s="1"/>
  <c r="L335" i="2" s="1"/>
  <c r="J334" i="2"/>
  <c r="K334" i="2" s="1"/>
  <c r="L334" i="2" s="1"/>
  <c r="K333" i="2"/>
  <c r="L333" i="2" s="1"/>
  <c r="J333" i="2"/>
  <c r="J332" i="2"/>
  <c r="K332" i="2" s="1"/>
  <c r="L332" i="2" s="1"/>
  <c r="J331" i="2"/>
  <c r="K331" i="2" s="1"/>
  <c r="L331" i="2" s="1"/>
  <c r="J330" i="2"/>
  <c r="K330" i="2" s="1"/>
  <c r="L330" i="2" s="1"/>
  <c r="K329" i="2"/>
  <c r="L329" i="2" s="1"/>
  <c r="J329" i="2"/>
  <c r="K328" i="2"/>
  <c r="L328" i="2" s="1"/>
  <c r="J328" i="2"/>
  <c r="J327" i="2"/>
  <c r="K327" i="2" s="1"/>
  <c r="L327" i="2" s="1"/>
  <c r="K326" i="2"/>
  <c r="L326" i="2" s="1"/>
  <c r="J326" i="2"/>
  <c r="J325" i="2"/>
  <c r="K325" i="2" s="1"/>
  <c r="L325" i="2" s="1"/>
  <c r="J324" i="2"/>
  <c r="K324" i="2" s="1"/>
  <c r="L324" i="2" s="1"/>
  <c r="J323" i="2"/>
  <c r="K323" i="2" s="1"/>
  <c r="L323" i="2" s="1"/>
  <c r="K322" i="2"/>
  <c r="L322" i="2" s="1"/>
  <c r="J322" i="2"/>
  <c r="K321" i="2"/>
  <c r="L321" i="2" s="1"/>
  <c r="J321" i="2"/>
  <c r="J320" i="2"/>
  <c r="K320" i="2" s="1"/>
  <c r="L320" i="2" s="1"/>
  <c r="J319" i="2"/>
  <c r="K319" i="2" s="1"/>
  <c r="L319" i="2" s="1"/>
  <c r="K318" i="2"/>
  <c r="L318" i="2" s="1"/>
  <c r="J318" i="2"/>
  <c r="J317" i="2"/>
  <c r="K317" i="2" s="1"/>
  <c r="L317" i="2" s="1"/>
  <c r="J316" i="2"/>
  <c r="K316" i="2" s="1"/>
  <c r="L316" i="2" s="1"/>
  <c r="K315" i="2"/>
  <c r="L315" i="2" s="1"/>
  <c r="J315" i="2"/>
  <c r="J314" i="2"/>
  <c r="K314" i="2" s="1"/>
  <c r="L314" i="2" s="1"/>
  <c r="J313" i="2"/>
  <c r="K313" i="2" s="1"/>
  <c r="L313" i="2" s="1"/>
  <c r="J312" i="2"/>
  <c r="K312" i="2" s="1"/>
  <c r="L312" i="2" s="1"/>
  <c r="K311" i="2"/>
  <c r="L311" i="2" s="1"/>
  <c r="J311" i="2"/>
  <c r="J310" i="2"/>
  <c r="K310" i="2" s="1"/>
  <c r="L310" i="2" s="1"/>
  <c r="L309" i="2"/>
  <c r="J309" i="2"/>
  <c r="K309" i="2" s="1"/>
  <c r="J308" i="2"/>
  <c r="K308" i="2" s="1"/>
  <c r="L308" i="2" s="1"/>
  <c r="J307" i="2"/>
  <c r="K307" i="2" s="1"/>
  <c r="L307" i="2" s="1"/>
  <c r="K306" i="2"/>
  <c r="L306" i="2" s="1"/>
  <c r="J306" i="2"/>
  <c r="K305" i="2"/>
  <c r="L305" i="2" s="1"/>
  <c r="J305" i="2"/>
  <c r="J304" i="2"/>
  <c r="K304" i="2" s="1"/>
  <c r="L304" i="2" s="1"/>
  <c r="K303" i="2"/>
  <c r="L303" i="2" s="1"/>
  <c r="J303" i="2"/>
  <c r="J302" i="2"/>
  <c r="K302" i="2" s="1"/>
  <c r="L302" i="2" s="1"/>
  <c r="K301" i="2"/>
  <c r="L301" i="2" s="1"/>
  <c r="J301" i="2"/>
  <c r="J300" i="2"/>
  <c r="K300" i="2" s="1"/>
  <c r="L300" i="2" s="1"/>
  <c r="J299" i="2"/>
  <c r="K299" i="2" s="1"/>
  <c r="L299" i="2" s="1"/>
  <c r="J298" i="2"/>
  <c r="K298" i="2" s="1"/>
  <c r="L298" i="2" s="1"/>
  <c r="K297" i="2"/>
  <c r="L297" i="2" s="1"/>
  <c r="J297" i="2"/>
  <c r="J296" i="2"/>
  <c r="K296" i="2" s="1"/>
  <c r="L296" i="2" s="1"/>
  <c r="J295" i="2"/>
  <c r="K295" i="2" s="1"/>
  <c r="L295" i="2" s="1"/>
  <c r="L294" i="2"/>
  <c r="K294" i="2"/>
  <c r="J294" i="2"/>
  <c r="J293" i="2"/>
  <c r="K293" i="2" s="1"/>
  <c r="L293" i="2" s="1"/>
  <c r="J292" i="2"/>
  <c r="K292" i="2" s="1"/>
  <c r="L292" i="2" s="1"/>
  <c r="J291" i="2"/>
  <c r="K291" i="2" s="1"/>
  <c r="L291" i="2" s="1"/>
  <c r="K290" i="2"/>
  <c r="L290" i="2" s="1"/>
  <c r="J290" i="2"/>
  <c r="K289" i="2"/>
  <c r="L289" i="2" s="1"/>
  <c r="J289" i="2"/>
  <c r="J288" i="2"/>
  <c r="K288" i="2" s="1"/>
  <c r="L288" i="2" s="1"/>
  <c r="K287" i="2"/>
  <c r="L287" i="2" s="1"/>
  <c r="J287" i="2"/>
  <c r="J286" i="2"/>
  <c r="K286" i="2" s="1"/>
  <c r="L286" i="2" s="1"/>
  <c r="J285" i="2"/>
  <c r="K285" i="2" s="1"/>
  <c r="L285" i="2" s="1"/>
  <c r="L284" i="2"/>
  <c r="J284" i="2"/>
  <c r="K284" i="2" s="1"/>
  <c r="J283" i="2"/>
  <c r="K283" i="2" s="1"/>
  <c r="L283" i="2" s="1"/>
  <c r="K282" i="2"/>
  <c r="L282" i="2" s="1"/>
  <c r="J282" i="2"/>
  <c r="J281" i="2"/>
  <c r="K281" i="2" s="1"/>
  <c r="L281" i="2" s="1"/>
  <c r="K280" i="2"/>
  <c r="L280" i="2" s="1"/>
  <c r="J280" i="2"/>
  <c r="J279" i="2"/>
  <c r="K279" i="2" s="1"/>
  <c r="L279" i="2" s="1"/>
  <c r="J278" i="2"/>
  <c r="K278" i="2" s="1"/>
  <c r="L278" i="2" s="1"/>
  <c r="L277" i="2"/>
  <c r="K277" i="2"/>
  <c r="J277" i="2"/>
  <c r="J276" i="2"/>
  <c r="K276" i="2" s="1"/>
  <c r="L276" i="2" s="1"/>
  <c r="J275" i="2"/>
  <c r="K275" i="2" s="1"/>
  <c r="L275" i="2" s="1"/>
  <c r="J274" i="2"/>
  <c r="K274" i="2" s="1"/>
  <c r="L274" i="2" s="1"/>
  <c r="K273" i="2"/>
  <c r="L273" i="2" s="1"/>
  <c r="J273" i="2"/>
  <c r="K272" i="2"/>
  <c r="L272" i="2" s="1"/>
  <c r="J272" i="2"/>
  <c r="L271" i="2"/>
  <c r="K271" i="2"/>
  <c r="J271" i="2"/>
  <c r="J270" i="2"/>
  <c r="K270" i="2" s="1"/>
  <c r="L270" i="2" s="1"/>
  <c r="J269" i="2"/>
  <c r="K269" i="2" s="1"/>
  <c r="L269" i="2" s="1"/>
  <c r="L268" i="2"/>
  <c r="J268" i="2"/>
  <c r="K268" i="2" s="1"/>
  <c r="J267" i="2"/>
  <c r="K267" i="2" s="1"/>
  <c r="L267" i="2" s="1"/>
  <c r="K266" i="2"/>
  <c r="L266" i="2" s="1"/>
  <c r="J266" i="2"/>
  <c r="J265" i="2"/>
  <c r="K265" i="2" s="1"/>
  <c r="L265" i="2" s="1"/>
  <c r="J264" i="2"/>
  <c r="K264" i="2" s="1"/>
  <c r="L264" i="2" s="1"/>
  <c r="J263" i="2"/>
  <c r="K263" i="2" s="1"/>
  <c r="L263" i="2" s="1"/>
  <c r="J262" i="2"/>
  <c r="K262" i="2" s="1"/>
  <c r="L262" i="2" s="1"/>
  <c r="J261" i="2"/>
  <c r="K261" i="2" s="1"/>
  <c r="L261" i="2" s="1"/>
  <c r="J260" i="2"/>
  <c r="K260" i="2" s="1"/>
  <c r="L260" i="2" s="1"/>
  <c r="L259" i="2"/>
  <c r="K259" i="2"/>
  <c r="J259" i="2"/>
  <c r="J258" i="2"/>
  <c r="K258" i="2" s="1"/>
  <c r="L258" i="2" s="1"/>
  <c r="J257" i="2"/>
  <c r="K257" i="2" s="1"/>
  <c r="L257" i="2" s="1"/>
  <c r="L256" i="2"/>
  <c r="J256" i="2"/>
  <c r="K256" i="2" s="1"/>
  <c r="K255" i="2"/>
  <c r="L255" i="2" s="1"/>
  <c r="J255" i="2"/>
  <c r="J254" i="2"/>
  <c r="K254" i="2" s="1"/>
  <c r="L254" i="2" s="1"/>
  <c r="K253" i="2"/>
  <c r="L253" i="2" s="1"/>
  <c r="J253" i="2"/>
  <c r="J252" i="2"/>
  <c r="K252" i="2" s="1"/>
  <c r="L252" i="2" s="1"/>
  <c r="K251" i="2"/>
  <c r="L251" i="2" s="1"/>
  <c r="J251" i="2"/>
  <c r="J250" i="2"/>
  <c r="K250" i="2" s="1"/>
  <c r="L250" i="2" s="1"/>
  <c r="J249" i="2"/>
  <c r="K249" i="2" s="1"/>
  <c r="L249" i="2" s="1"/>
  <c r="J248" i="2"/>
  <c r="K248" i="2" s="1"/>
  <c r="L248" i="2" s="1"/>
  <c r="J247" i="2"/>
  <c r="K247" i="2" s="1"/>
  <c r="L247" i="2" s="1"/>
  <c r="J246" i="2"/>
  <c r="K246" i="2" s="1"/>
  <c r="L246" i="2" s="1"/>
  <c r="J245" i="2"/>
  <c r="K245" i="2" s="1"/>
  <c r="L245" i="2" s="1"/>
  <c r="J244" i="2"/>
  <c r="K244" i="2" s="1"/>
  <c r="L244" i="2" s="1"/>
  <c r="J243" i="2"/>
  <c r="K243" i="2" s="1"/>
  <c r="L243" i="2" s="1"/>
  <c r="J242" i="2"/>
  <c r="K242" i="2" s="1"/>
  <c r="L242" i="2" s="1"/>
  <c r="J241" i="2"/>
  <c r="K241" i="2" s="1"/>
  <c r="L241" i="2" s="1"/>
  <c r="J240" i="2"/>
  <c r="K240" i="2" s="1"/>
  <c r="L240" i="2" s="1"/>
  <c r="J239" i="2"/>
  <c r="K239" i="2" s="1"/>
  <c r="L239" i="2" s="1"/>
  <c r="K238" i="2"/>
  <c r="L238" i="2" s="1"/>
  <c r="J238" i="2"/>
  <c r="J237" i="2"/>
  <c r="K237" i="2" s="1"/>
  <c r="L237" i="2" s="1"/>
  <c r="K236" i="2"/>
  <c r="L236" i="2" s="1"/>
  <c r="J236" i="2"/>
  <c r="J235" i="2"/>
  <c r="K235" i="2" s="1"/>
  <c r="L235" i="2" s="1"/>
  <c r="K234" i="2"/>
  <c r="L234" i="2" s="1"/>
  <c r="J234" i="2"/>
  <c r="J233" i="2"/>
  <c r="K233" i="2" s="1"/>
  <c r="L233" i="2" s="1"/>
  <c r="J232" i="2"/>
  <c r="K232" i="2" s="1"/>
  <c r="L232" i="2" s="1"/>
  <c r="K231" i="2"/>
  <c r="L231" i="2" s="1"/>
  <c r="J231" i="2"/>
  <c r="J230" i="2"/>
  <c r="K230" i="2" s="1"/>
  <c r="L230" i="2" s="1"/>
  <c r="K229" i="2"/>
  <c r="L229" i="2" s="1"/>
  <c r="J229" i="2"/>
  <c r="J228" i="2"/>
  <c r="K228" i="2" s="1"/>
  <c r="L228" i="2" s="1"/>
  <c r="J227" i="2"/>
  <c r="K227" i="2" s="1"/>
  <c r="L227" i="2" s="1"/>
  <c r="K226" i="2"/>
  <c r="L226" i="2" s="1"/>
  <c r="J226" i="2"/>
  <c r="J225" i="2"/>
  <c r="K225" i="2" s="1"/>
  <c r="L225" i="2" s="1"/>
  <c r="J224" i="2"/>
  <c r="K224" i="2" s="1"/>
  <c r="L224" i="2" s="1"/>
  <c r="J223" i="2"/>
  <c r="K223" i="2" s="1"/>
  <c r="L223" i="2" s="1"/>
  <c r="K222" i="2"/>
  <c r="L222" i="2" s="1"/>
  <c r="J222" i="2"/>
  <c r="J221" i="2"/>
  <c r="K221" i="2" s="1"/>
  <c r="L221" i="2" s="1"/>
  <c r="K220" i="2"/>
  <c r="L220" i="2" s="1"/>
  <c r="J220" i="2"/>
  <c r="J219" i="2"/>
  <c r="K219" i="2" s="1"/>
  <c r="L219" i="2" s="1"/>
  <c r="J218" i="2"/>
  <c r="K218" i="2" s="1"/>
  <c r="L218" i="2" s="1"/>
  <c r="J217" i="2"/>
  <c r="K217" i="2" s="1"/>
  <c r="L217" i="2" s="1"/>
  <c r="J216" i="2"/>
  <c r="K216" i="2" s="1"/>
  <c r="L216" i="2" s="1"/>
  <c r="K215" i="2"/>
  <c r="L215" i="2" s="1"/>
  <c r="J215" i="2"/>
  <c r="J214" i="2"/>
  <c r="K214" i="2" s="1"/>
  <c r="L214" i="2" s="1"/>
  <c r="K213" i="2"/>
  <c r="L213" i="2" s="1"/>
  <c r="J213" i="2"/>
  <c r="J212" i="2"/>
  <c r="K212" i="2" s="1"/>
  <c r="L212" i="2" s="1"/>
  <c r="J211" i="2"/>
  <c r="K211" i="2" s="1"/>
  <c r="L211" i="2" s="1"/>
  <c r="K210" i="2"/>
  <c r="L210" i="2" s="1"/>
  <c r="J210" i="2"/>
  <c r="L209" i="2"/>
  <c r="K209" i="2"/>
  <c r="J209" i="2"/>
  <c r="J208" i="2"/>
  <c r="K208" i="2" s="1"/>
  <c r="L208" i="2" s="1"/>
  <c r="J207" i="2"/>
  <c r="K207" i="2" s="1"/>
  <c r="L207" i="2" s="1"/>
  <c r="K206" i="2"/>
  <c r="L206" i="2" s="1"/>
  <c r="J206" i="2"/>
  <c r="J205" i="2"/>
  <c r="K205" i="2" s="1"/>
  <c r="L205" i="2" s="1"/>
  <c r="J204" i="2"/>
  <c r="K204" i="2" s="1"/>
  <c r="L204" i="2" s="1"/>
  <c r="J203" i="2"/>
  <c r="K203" i="2" s="1"/>
  <c r="L203" i="2" s="1"/>
  <c r="J202" i="2"/>
  <c r="K202" i="2" s="1"/>
  <c r="L202" i="2" s="1"/>
  <c r="J201" i="2"/>
  <c r="K201" i="2" s="1"/>
  <c r="L201" i="2" s="1"/>
  <c r="J200" i="2"/>
  <c r="K200" i="2" s="1"/>
  <c r="L200" i="2" s="1"/>
  <c r="J199" i="2"/>
  <c r="K199" i="2" s="1"/>
  <c r="L199" i="2" s="1"/>
  <c r="J198" i="2"/>
  <c r="K198" i="2" s="1"/>
  <c r="L198" i="2" s="1"/>
  <c r="J197" i="2"/>
  <c r="K197" i="2" s="1"/>
  <c r="L197" i="2" s="1"/>
  <c r="J196" i="2"/>
  <c r="K196" i="2" s="1"/>
  <c r="L196" i="2" s="1"/>
  <c r="K195" i="2"/>
  <c r="L195" i="2" s="1"/>
  <c r="J195" i="2"/>
  <c r="K194" i="2"/>
  <c r="L194" i="2" s="1"/>
  <c r="J194" i="2"/>
  <c r="J193" i="2"/>
  <c r="K193" i="2" s="1"/>
  <c r="L193" i="2" s="1"/>
  <c r="J192" i="2"/>
  <c r="K192" i="2" s="1"/>
  <c r="L192" i="2" s="1"/>
  <c r="K191" i="2"/>
  <c r="L191" i="2" s="1"/>
  <c r="J191" i="2"/>
  <c r="J190" i="2"/>
  <c r="K190" i="2" s="1"/>
  <c r="L190" i="2" s="1"/>
  <c r="J189" i="2"/>
  <c r="K189" i="2" s="1"/>
  <c r="L189" i="2" s="1"/>
  <c r="K188" i="2"/>
  <c r="L188" i="2" s="1"/>
  <c r="J188" i="2"/>
  <c r="J187" i="2"/>
  <c r="K187" i="2" s="1"/>
  <c r="L187" i="2" s="1"/>
  <c r="J186" i="2"/>
  <c r="K186" i="2" s="1"/>
  <c r="L186" i="2" s="1"/>
  <c r="J185" i="2"/>
  <c r="K185" i="2" s="1"/>
  <c r="L185" i="2" s="1"/>
  <c r="K184" i="2"/>
  <c r="L184" i="2" s="1"/>
  <c r="J184" i="2"/>
  <c r="J183" i="2"/>
  <c r="K183" i="2" s="1"/>
  <c r="L183" i="2" s="1"/>
  <c r="J182" i="2"/>
  <c r="K182" i="2" s="1"/>
  <c r="L182" i="2" s="1"/>
  <c r="J181" i="2"/>
  <c r="K181" i="2" s="1"/>
  <c r="L181" i="2" s="1"/>
  <c r="J180" i="2"/>
  <c r="K180" i="2" s="1"/>
  <c r="L180" i="2" s="1"/>
  <c r="J179" i="2"/>
  <c r="K179" i="2" s="1"/>
  <c r="L179" i="2" s="1"/>
  <c r="J178" i="2"/>
  <c r="K178" i="2" s="1"/>
  <c r="L178" i="2" s="1"/>
  <c r="J177" i="2"/>
  <c r="K177" i="2" s="1"/>
  <c r="L177" i="2" s="1"/>
  <c r="J176" i="2"/>
  <c r="K176" i="2" s="1"/>
  <c r="L176" i="2" s="1"/>
  <c r="J175" i="2"/>
  <c r="K175" i="2" s="1"/>
  <c r="L175" i="2" s="1"/>
  <c r="K174" i="2"/>
  <c r="L174" i="2" s="1"/>
  <c r="J174" i="2"/>
  <c r="K173" i="2"/>
  <c r="L173" i="2" s="1"/>
  <c r="J173" i="2"/>
  <c r="J172" i="2"/>
  <c r="K172" i="2" s="1"/>
  <c r="L172" i="2" s="1"/>
  <c r="L171" i="2"/>
  <c r="J171" i="2"/>
  <c r="K171" i="2" s="1"/>
  <c r="J170" i="2"/>
  <c r="K170" i="2" s="1"/>
  <c r="L170" i="2" s="1"/>
  <c r="J169" i="2"/>
  <c r="K169" i="2" s="1"/>
  <c r="L169" i="2" s="1"/>
  <c r="J168" i="2"/>
  <c r="K168" i="2" s="1"/>
  <c r="L168" i="2" s="1"/>
  <c r="J167" i="2"/>
  <c r="K167" i="2" s="1"/>
  <c r="L167" i="2" s="1"/>
  <c r="K166" i="2"/>
  <c r="L166" i="2" s="1"/>
  <c r="J166" i="2"/>
  <c r="J165" i="2"/>
  <c r="K165" i="2" s="1"/>
  <c r="L165" i="2" s="1"/>
  <c r="J164" i="2"/>
  <c r="K164" i="2" s="1"/>
  <c r="L164" i="2" s="1"/>
  <c r="K163" i="2"/>
  <c r="L163" i="2" s="1"/>
  <c r="J163" i="2"/>
  <c r="J162" i="2"/>
  <c r="K162" i="2" s="1"/>
  <c r="L162" i="2" s="1"/>
  <c r="J161" i="2"/>
  <c r="K161" i="2" s="1"/>
  <c r="L161" i="2" s="1"/>
  <c r="K160" i="2"/>
  <c r="L160" i="2" s="1"/>
  <c r="J160" i="2"/>
  <c r="L159" i="2"/>
  <c r="K159" i="2"/>
  <c r="J159" i="2"/>
  <c r="J158" i="2"/>
  <c r="K158" i="2" s="1"/>
  <c r="L158" i="2" s="1"/>
  <c r="J157" i="2"/>
  <c r="K157" i="2" s="1"/>
  <c r="L157" i="2" s="1"/>
  <c r="J156" i="2"/>
  <c r="K156" i="2" s="1"/>
  <c r="L156" i="2" s="1"/>
  <c r="J155" i="2"/>
  <c r="K155" i="2" s="1"/>
  <c r="L155" i="2" s="1"/>
  <c r="J154" i="2"/>
  <c r="K154" i="2" s="1"/>
  <c r="L154" i="2" s="1"/>
  <c r="J153" i="2"/>
  <c r="K153" i="2" s="1"/>
  <c r="L153" i="2" s="1"/>
  <c r="J152" i="2"/>
  <c r="K152" i="2" s="1"/>
  <c r="L152" i="2" s="1"/>
  <c r="J151" i="2"/>
  <c r="K151" i="2" s="1"/>
  <c r="L151" i="2" s="1"/>
  <c r="J150" i="2"/>
  <c r="K150" i="2" s="1"/>
  <c r="L150" i="2" s="1"/>
  <c r="L149" i="2"/>
  <c r="J149" i="2"/>
  <c r="K149" i="2" s="1"/>
  <c r="J148" i="2"/>
  <c r="K148" i="2" s="1"/>
  <c r="L148" i="2" s="1"/>
  <c r="J147" i="2"/>
  <c r="K147" i="2" s="1"/>
  <c r="L147" i="2" s="1"/>
  <c r="K146" i="2"/>
  <c r="L146" i="2" s="1"/>
  <c r="J146" i="2"/>
  <c r="K145" i="2"/>
  <c r="L145" i="2" s="1"/>
  <c r="J145" i="2"/>
  <c r="J144" i="2"/>
  <c r="K144" i="2" s="1"/>
  <c r="L144" i="2" s="1"/>
  <c r="J143" i="2"/>
  <c r="K143" i="2" s="1"/>
  <c r="L143" i="2" s="1"/>
  <c r="J142" i="2"/>
  <c r="K142" i="2" s="1"/>
  <c r="L142" i="2" s="1"/>
  <c r="J141" i="2"/>
  <c r="K141" i="2" s="1"/>
  <c r="L141" i="2" s="1"/>
  <c r="J140" i="2"/>
  <c r="K140" i="2" s="1"/>
  <c r="L140" i="2" s="1"/>
  <c r="J139" i="2"/>
  <c r="K139" i="2" s="1"/>
  <c r="L139" i="2" s="1"/>
  <c r="J138" i="2"/>
  <c r="K138" i="2" s="1"/>
  <c r="L138" i="2" s="1"/>
  <c r="J137" i="2"/>
  <c r="K137" i="2" s="1"/>
  <c r="L137" i="2" s="1"/>
  <c r="J136" i="2"/>
  <c r="K136" i="2" s="1"/>
  <c r="L136" i="2" s="1"/>
  <c r="K135" i="2"/>
  <c r="L135" i="2" s="1"/>
  <c r="J135" i="2"/>
  <c r="K134" i="2"/>
  <c r="L134" i="2" s="1"/>
  <c r="J134" i="2"/>
  <c r="J133" i="2"/>
  <c r="K133" i="2" s="1"/>
  <c r="L133" i="2" s="1"/>
  <c r="K132" i="2"/>
  <c r="L132" i="2" s="1"/>
  <c r="J132" i="2"/>
  <c r="K131" i="2"/>
  <c r="L131" i="2" s="1"/>
  <c r="J131" i="2"/>
  <c r="J130" i="2"/>
  <c r="K130" i="2" s="1"/>
  <c r="L130" i="2" s="1"/>
  <c r="J129" i="2"/>
  <c r="K129" i="2" s="1"/>
  <c r="L129" i="2" s="1"/>
  <c r="L128" i="2"/>
  <c r="J128" i="2"/>
  <c r="K128" i="2" s="1"/>
  <c r="J127" i="2"/>
  <c r="K127" i="2" s="1"/>
  <c r="L127" i="2" s="1"/>
  <c r="J126" i="2"/>
  <c r="K126" i="2" s="1"/>
  <c r="L126" i="2" s="1"/>
  <c r="J125" i="2"/>
  <c r="K125" i="2" s="1"/>
  <c r="L125" i="2" s="1"/>
  <c r="J124" i="2"/>
  <c r="K124" i="2" s="1"/>
  <c r="L124" i="2" s="1"/>
  <c r="K123" i="2"/>
  <c r="L123" i="2" s="1"/>
  <c r="J123" i="2"/>
  <c r="K122" i="2"/>
  <c r="L122" i="2" s="1"/>
  <c r="J122" i="2"/>
  <c r="L121" i="2"/>
  <c r="K121" i="2"/>
  <c r="J121" i="2"/>
  <c r="J120" i="2"/>
  <c r="K120" i="2" s="1"/>
  <c r="L120" i="2" s="1"/>
  <c r="K119" i="2"/>
  <c r="L119" i="2" s="1"/>
  <c r="J119" i="2"/>
  <c r="J118" i="2"/>
  <c r="K118" i="2" s="1"/>
  <c r="L118" i="2" s="1"/>
  <c r="J117" i="2"/>
  <c r="K117" i="2" s="1"/>
  <c r="L117" i="2" s="1"/>
  <c r="K116" i="2"/>
  <c r="L116" i="2" s="1"/>
  <c r="J116" i="2"/>
  <c r="J115" i="2"/>
  <c r="K115" i="2" s="1"/>
  <c r="L115" i="2" s="1"/>
  <c r="J114" i="2"/>
  <c r="K114" i="2" s="1"/>
  <c r="L114" i="2" s="1"/>
  <c r="K113" i="2"/>
  <c r="L113" i="2" s="1"/>
  <c r="J113" i="2"/>
  <c r="K112" i="2"/>
  <c r="L112" i="2" s="1"/>
  <c r="J112" i="2"/>
  <c r="J111" i="2"/>
  <c r="K111" i="2" s="1"/>
  <c r="L111" i="2" s="1"/>
  <c r="J110" i="2"/>
  <c r="K110" i="2" s="1"/>
  <c r="L110" i="2" s="1"/>
  <c r="K109" i="2"/>
  <c r="L109" i="2" s="1"/>
  <c r="J109" i="2"/>
  <c r="J108" i="2"/>
  <c r="K108" i="2" s="1"/>
  <c r="L108" i="2" s="1"/>
  <c r="J107" i="2"/>
  <c r="K107" i="2" s="1"/>
  <c r="L107" i="2" s="1"/>
  <c r="J106" i="2"/>
  <c r="K106" i="2" s="1"/>
  <c r="L106" i="2" s="1"/>
  <c r="J105" i="2"/>
  <c r="K105" i="2" s="1"/>
  <c r="L105" i="2" s="1"/>
  <c r="J104" i="2"/>
  <c r="K104" i="2" s="1"/>
  <c r="L104" i="2" s="1"/>
  <c r="K103" i="2"/>
  <c r="L103" i="2" s="1"/>
  <c r="J103" i="2"/>
  <c r="J102" i="2"/>
  <c r="K102" i="2" s="1"/>
  <c r="L102" i="2" s="1"/>
  <c r="J101" i="2"/>
  <c r="K101" i="2" s="1"/>
  <c r="L101" i="2" s="1"/>
  <c r="K100" i="2"/>
  <c r="L100" i="2" s="1"/>
  <c r="J100" i="2"/>
  <c r="J99" i="2"/>
  <c r="K99" i="2" s="1"/>
  <c r="L99" i="2" s="1"/>
  <c r="K98" i="2"/>
  <c r="L98" i="2" s="1"/>
  <c r="J98" i="2"/>
  <c r="J97" i="2"/>
  <c r="K97" i="2" s="1"/>
  <c r="L97" i="2" s="1"/>
  <c r="L96" i="2"/>
  <c r="K96" i="2"/>
  <c r="J96" i="2"/>
  <c r="J95" i="2"/>
  <c r="K95" i="2" s="1"/>
  <c r="L95" i="2" s="1"/>
  <c r="K94" i="2"/>
  <c r="L94" i="2" s="1"/>
  <c r="J94" i="2"/>
  <c r="J93" i="2"/>
  <c r="K93" i="2" s="1"/>
  <c r="L93" i="2" s="1"/>
  <c r="L92" i="2"/>
  <c r="J92" i="2"/>
  <c r="K92" i="2" s="1"/>
  <c r="J91" i="2"/>
  <c r="K91" i="2" s="1"/>
  <c r="L91" i="2" s="1"/>
  <c r="J90" i="2"/>
  <c r="K90" i="2" s="1"/>
  <c r="L90" i="2" s="1"/>
  <c r="J89" i="2"/>
  <c r="K89" i="2" s="1"/>
  <c r="L89" i="2" s="1"/>
  <c r="L88" i="2"/>
  <c r="J88" i="2"/>
  <c r="K88" i="2" s="1"/>
  <c r="J87" i="2"/>
  <c r="K87" i="2" s="1"/>
  <c r="L87" i="2" s="1"/>
  <c r="J86" i="2"/>
  <c r="K86" i="2" s="1"/>
  <c r="L86" i="2" s="1"/>
  <c r="J85" i="2"/>
  <c r="K85" i="2" s="1"/>
  <c r="L85" i="2" s="1"/>
  <c r="K84" i="2"/>
  <c r="L84" i="2" s="1"/>
  <c r="J84" i="2"/>
  <c r="J83" i="2"/>
  <c r="K83" i="2" s="1"/>
  <c r="L83" i="2" s="1"/>
  <c r="J82" i="2"/>
  <c r="K82" i="2" s="1"/>
  <c r="L82" i="2" s="1"/>
  <c r="K81" i="2"/>
  <c r="L81" i="2" s="1"/>
  <c r="J81" i="2"/>
  <c r="J80" i="2"/>
  <c r="K80" i="2" s="1"/>
  <c r="L80" i="2" s="1"/>
  <c r="J79" i="2"/>
  <c r="K79" i="2" s="1"/>
  <c r="L79" i="2" s="1"/>
  <c r="J78" i="2"/>
  <c r="K78" i="2" s="1"/>
  <c r="L78" i="2" s="1"/>
  <c r="J77" i="2"/>
  <c r="K77" i="2" s="1"/>
  <c r="L77" i="2" s="1"/>
  <c r="K76" i="2"/>
  <c r="L76" i="2" s="1"/>
  <c r="J76" i="2"/>
  <c r="J75" i="2"/>
  <c r="K75" i="2" s="1"/>
  <c r="L75" i="2" s="1"/>
  <c r="J74" i="2"/>
  <c r="K74" i="2" s="1"/>
  <c r="L74" i="2" s="1"/>
  <c r="J73" i="2"/>
  <c r="K73" i="2" s="1"/>
  <c r="L73" i="2" s="1"/>
  <c r="J72" i="2"/>
  <c r="K72" i="2" s="1"/>
  <c r="L72" i="2" s="1"/>
  <c r="K71" i="2"/>
  <c r="L71" i="2" s="1"/>
  <c r="J71" i="2"/>
  <c r="J70" i="2"/>
  <c r="K70" i="2" s="1"/>
  <c r="L70" i="2" s="1"/>
  <c r="J69" i="2"/>
  <c r="K69" i="2" s="1"/>
  <c r="L69" i="2" s="1"/>
  <c r="L68" i="2"/>
  <c r="K68" i="2"/>
  <c r="J68" i="2"/>
  <c r="J67" i="2"/>
  <c r="K67" i="2" s="1"/>
  <c r="L67" i="2" s="1"/>
  <c r="J66" i="2"/>
  <c r="K66" i="2" s="1"/>
  <c r="L66" i="2" s="1"/>
  <c r="J65" i="2"/>
  <c r="K65" i="2" s="1"/>
  <c r="L65" i="2" s="1"/>
  <c r="J64" i="2"/>
  <c r="K64" i="2" s="1"/>
  <c r="L64" i="2" s="1"/>
  <c r="K63" i="2"/>
  <c r="L63" i="2" s="1"/>
  <c r="J63" i="2"/>
  <c r="J62" i="2"/>
  <c r="K62" i="2" s="1"/>
  <c r="L62" i="2" s="1"/>
  <c r="K61" i="2"/>
  <c r="L61" i="2" s="1"/>
  <c r="J61" i="2"/>
  <c r="J60" i="2"/>
  <c r="K60" i="2" s="1"/>
  <c r="L60" i="2" s="1"/>
  <c r="K59" i="2"/>
  <c r="L59" i="2" s="1"/>
  <c r="J59" i="2"/>
  <c r="J58" i="2"/>
  <c r="K58" i="2" s="1"/>
  <c r="L58" i="2" s="1"/>
  <c r="J57" i="2"/>
  <c r="K57" i="2" s="1"/>
  <c r="L57" i="2" s="1"/>
  <c r="J56" i="2"/>
  <c r="K56" i="2" s="1"/>
  <c r="L56" i="2" s="1"/>
  <c r="J55" i="2"/>
  <c r="K55" i="2" s="1"/>
  <c r="L55" i="2" s="1"/>
  <c r="J54" i="2"/>
  <c r="K54" i="2" s="1"/>
  <c r="L54" i="2" s="1"/>
  <c r="J53" i="2"/>
  <c r="K53" i="2" s="1"/>
  <c r="L53" i="2" s="1"/>
  <c r="J52" i="2"/>
  <c r="K52" i="2" s="1"/>
  <c r="L52" i="2" s="1"/>
  <c r="L51" i="2"/>
  <c r="J51" i="2"/>
  <c r="K51" i="2" s="1"/>
  <c r="J50" i="2"/>
  <c r="K50" i="2" s="1"/>
  <c r="L50" i="2" s="1"/>
  <c r="J49" i="2"/>
  <c r="K49" i="2" s="1"/>
  <c r="L49" i="2" s="1"/>
  <c r="J48" i="2"/>
  <c r="K48" i="2" s="1"/>
  <c r="L48" i="2" s="1"/>
  <c r="L47" i="2"/>
  <c r="K47" i="2"/>
  <c r="J47" i="2"/>
  <c r="K46" i="2"/>
  <c r="L46" i="2" s="1"/>
  <c r="J46" i="2"/>
  <c r="J45" i="2"/>
  <c r="K45" i="2" s="1"/>
  <c r="L45" i="2" s="1"/>
  <c r="K44" i="2"/>
  <c r="L44" i="2" s="1"/>
  <c r="J44" i="2"/>
  <c r="J43" i="2"/>
  <c r="K43" i="2" s="1"/>
  <c r="L43" i="2" s="1"/>
  <c r="L42" i="2"/>
  <c r="J42" i="2"/>
  <c r="K42" i="2" s="1"/>
  <c r="K41" i="2"/>
  <c r="L41" i="2" s="1"/>
  <c r="J41" i="2"/>
  <c r="K40" i="2"/>
  <c r="L40" i="2" s="1"/>
  <c r="J40" i="2"/>
  <c r="J39" i="2"/>
  <c r="K39" i="2" s="1"/>
  <c r="L39" i="2" s="1"/>
  <c r="L38" i="2"/>
  <c r="K38" i="2"/>
  <c r="J38" i="2"/>
  <c r="J37" i="2"/>
  <c r="K37" i="2" s="1"/>
  <c r="L37" i="2" s="1"/>
  <c r="J36" i="2"/>
  <c r="K36" i="2" s="1"/>
  <c r="L36" i="2" s="1"/>
  <c r="J35" i="2"/>
  <c r="K35" i="2" s="1"/>
  <c r="L35" i="2" s="1"/>
  <c r="J34" i="2"/>
  <c r="K34" i="2" s="1"/>
  <c r="L34" i="2" s="1"/>
  <c r="K33" i="2"/>
  <c r="L33" i="2" s="1"/>
  <c r="J33" i="2"/>
  <c r="J32" i="2"/>
  <c r="K32" i="2" s="1"/>
  <c r="L32" i="2" s="1"/>
  <c r="K31" i="2"/>
  <c r="L31" i="2" s="1"/>
  <c r="J31" i="2"/>
  <c r="K30" i="2"/>
  <c r="L30" i="2" s="1"/>
  <c r="J30" i="2"/>
  <c r="J29" i="2"/>
  <c r="K29" i="2" s="1"/>
  <c r="L29" i="2" s="1"/>
  <c r="K28" i="2"/>
  <c r="L28" i="2" s="1"/>
  <c r="J28" i="2"/>
  <c r="J27" i="2"/>
  <c r="K27" i="2" s="1"/>
  <c r="L27" i="2" s="1"/>
  <c r="J26" i="2"/>
  <c r="K26" i="2" s="1"/>
  <c r="L26" i="2" s="1"/>
  <c r="J25" i="2"/>
  <c r="K25" i="2" s="1"/>
  <c r="L25" i="2" s="1"/>
  <c r="J24" i="2"/>
  <c r="K24" i="2" s="1"/>
  <c r="L24" i="2" s="1"/>
  <c r="J23" i="2"/>
  <c r="K23" i="2" s="1"/>
  <c r="L23" i="2" s="1"/>
  <c r="K22" i="2"/>
  <c r="L22" i="2" s="1"/>
  <c r="J22" i="2"/>
  <c r="K21" i="2"/>
  <c r="L21" i="2" s="1"/>
  <c r="J21" i="2"/>
  <c r="J20" i="2"/>
  <c r="K20" i="2" s="1"/>
  <c r="L20" i="2" s="1"/>
  <c r="J19" i="2"/>
  <c r="K19" i="2" s="1"/>
  <c r="L19" i="2" s="1"/>
  <c r="J18" i="2"/>
  <c r="K18" i="2" s="1"/>
  <c r="L18" i="2" s="1"/>
  <c r="J17" i="2"/>
  <c r="K17" i="2" s="1"/>
  <c r="L17" i="2" s="1"/>
  <c r="K16" i="2"/>
  <c r="L16" i="2" s="1"/>
  <c r="J16" i="2"/>
  <c r="J15" i="2"/>
  <c r="K15" i="2" s="1"/>
  <c r="L15" i="2" s="1"/>
  <c r="L14" i="2"/>
  <c r="K14" i="2"/>
  <c r="J14" i="2"/>
  <c r="K13" i="2"/>
  <c r="L13" i="2" s="1"/>
  <c r="J13" i="2"/>
  <c r="J12" i="2"/>
  <c r="K12" i="2" s="1"/>
  <c r="L12" i="2" s="1"/>
  <c r="J11" i="2"/>
  <c r="K11" i="2" s="1"/>
  <c r="L11" i="2" s="1"/>
  <c r="J10" i="2"/>
  <c r="K10" i="2" s="1"/>
  <c r="L10" i="2" s="1"/>
  <c r="J9" i="2"/>
  <c r="K9" i="2" s="1"/>
  <c r="L9" i="2" s="1"/>
  <c r="J8" i="2"/>
  <c r="K8" i="2" s="1"/>
  <c r="L8" i="2" s="1"/>
  <c r="L7" i="2"/>
  <c r="J7" i="2"/>
  <c r="K7" i="2" s="1"/>
  <c r="K6" i="2"/>
  <c r="L6" i="2" s="1"/>
  <c r="J6" i="2"/>
  <c r="J5" i="2"/>
  <c r="K5" i="2" s="1"/>
  <c r="L5" i="2" s="1"/>
  <c r="L4" i="2"/>
  <c r="K4" i="2"/>
  <c r="J4" i="2"/>
  <c r="J3" i="2"/>
  <c r="K3" i="2" s="1"/>
  <c r="L3" i="2" s="1"/>
  <c r="J2" i="2"/>
  <c r="K2" i="2" s="1"/>
  <c r="L2" i="2" s="1"/>
</calcChain>
</file>

<file path=xl/sharedStrings.xml><?xml version="1.0" encoding="utf-8"?>
<sst xmlns="http://schemas.openxmlformats.org/spreadsheetml/2006/main" count="19700" uniqueCount="3968">
  <si>
    <t>Depot-Look-through: Einzelaktien inklusive Fonds und ETFs</t>
  </si>
  <si>
    <t>Depotwerte: 17.07.2026 | Fonds-/ETF-Bestände: 10.–16.07.2026 | Unternehmen nach offensichtlichen Aktienklassen konsolidiert</t>
  </si>
  <si>
    <t>Kennzahl</t>
  </si>
  <si>
    <t>Wert</t>
  </si>
  <si>
    <t>Gesamtvermögen</t>
  </si>
  <si>
    <t>Direkte Einzelaktien</t>
  </si>
  <si>
    <t>Indirekt aufgelöste Einzelaktien</t>
  </si>
  <si>
    <t>Aufgelöste Aktienexposure gesamt</t>
  </si>
  <si>
    <t>Nicht aufgelöst / keine Einzelaktien</t>
  </si>
  <si>
    <t>Anzahl konsolidierter Unternehmen</t>
  </si>
  <si>
    <t>Rang</t>
  </si>
  <si>
    <t>Unternehmen</t>
  </si>
  <si>
    <t>Sektor</t>
  </si>
  <si>
    <t>Direkt (€)</t>
  </si>
  <si>
    <t>Indirekt (€)</t>
  </si>
  <si>
    <t>Gesamt-Exposure (€)</t>
  </si>
  <si>
    <t>Anteil Gesamtvermögen</t>
  </si>
  <si>
    <t>Aktienfonds (€)</t>
  </si>
  <si>
    <t>Global Titans (€)</t>
  </si>
  <si>
    <t>Technologiefonds 60% (€)</t>
  </si>
  <si>
    <t>MSCI World (€)</t>
  </si>
  <si>
    <t>World Value (€)</t>
  </si>
  <si>
    <t>Berkshire Hathaway</t>
  </si>
  <si>
    <t>Financials</t>
  </si>
  <si>
    <t>Nvidia</t>
  </si>
  <si>
    <t>Information Technology</t>
  </si>
  <si>
    <t>Alphabet</t>
  </si>
  <si>
    <t>Communication</t>
  </si>
  <si>
    <t>Allianz</t>
  </si>
  <si>
    <t>AMD</t>
  </si>
  <si>
    <t>Microsoft</t>
  </si>
  <si>
    <t>Apple</t>
  </si>
  <si>
    <t>Eli Lilly</t>
  </si>
  <si>
    <t>Health Care</t>
  </si>
  <si>
    <t>TSMC</t>
  </si>
  <si>
    <t>Siemens</t>
  </si>
  <si>
    <t>HSBC</t>
  </si>
  <si>
    <t>Amazon</t>
  </si>
  <si>
    <t>Consumer Discretionary</t>
  </si>
  <si>
    <t>Micron Technology</t>
  </si>
  <si>
    <t>Linde</t>
  </si>
  <si>
    <t>Materials</t>
  </si>
  <si>
    <t>ASML</t>
  </si>
  <si>
    <t>Broadcom</t>
  </si>
  <si>
    <t>Visa</t>
  </si>
  <si>
    <t>Netflix</t>
  </si>
  <si>
    <t>Mastercard</t>
  </si>
  <si>
    <t>SAP</t>
  </si>
  <si>
    <t>T-Mobile US</t>
  </si>
  <si>
    <t>Caterpillar</t>
  </si>
  <si>
    <t>Industrials</t>
  </si>
  <si>
    <t>McDonald's</t>
  </si>
  <si>
    <t>Booking Holdings</t>
  </si>
  <si>
    <t>Nasdaq Inc.</t>
  </si>
  <si>
    <t>Wichtige Abgrenzung: Beim boerse.de-Technologiefonds sind nur die öffentlich vollständig aufgeführten 60% des Basisportfolios auf Unternehmen verteilt. Das 40%-Darwin-Portfolio mit mehr als 500 Technologieaktien ist nicht vollständig öffentlich auflösbar. Die dort enthaltenen Unternehmensanteile fehlen daher in den Einzelwerten.</t>
  </si>
  <si>
    <t>Direktbestand (€)</t>
  </si>
  <si>
    <t>boerse.de-Aktienfonds (€)</t>
  </si>
  <si>
    <t>Global Titans 50 (€)</t>
  </si>
  <si>
    <t>boerse.de-Technologiefonds – öffentl. 60% (€)</t>
  </si>
  <si>
    <t>Indirekt gesamt (€)</t>
  </si>
  <si>
    <t>Enthalten in</t>
  </si>
  <si>
    <t>Quellen</t>
  </si>
  <si>
    <t>Direkt; boerse.de-Aktienfonds; MSCI World</t>
  </si>
  <si>
    <t>Nutzerangaben im Chat; https://www.boerse-aktienfonds.de/; https://www.ishares.com/ch/individual/en/products/251882/ishares-msci-world-ucits-etf-acc-fund</t>
  </si>
  <si>
    <t>Direkt; boerse.de-Aktienfonds; Global Titans 50; boerse.de-Technologiefonds (60% offengelegt); MSCI World</t>
  </si>
  <si>
    <t>Nutzerangaben im Chat; https://www.boerse-aktienfonds.de/; https://www.ishares.com/ch/professionals/en/products/251769/ishares-dow-jones-global-titans-50-ucits-etf-de-fund; https://www.boerse-technologiefonds.de/; https://www.ishares.com/ch/individual/en/products/251882/ishares-msci-world-ucits-etf-acc-fund</t>
  </si>
  <si>
    <t>Direkt; boerse.de-Aktienfonds; boerse.de-Technologiefonds (60% offengelegt); MSCI World</t>
  </si>
  <si>
    <t>Nutzerangaben im Chat; https://www.boerse-aktienfonds.de/; https://www.boerse-technologiefonds.de/; https://www.ishares.com/ch/individual/en/products/251882/ishares-msci-world-ucits-etf-acc-fund</t>
  </si>
  <si>
    <t>Direkt; boerse.de-Aktienfonds; Global Titans 50; MSCI World</t>
  </si>
  <si>
    <t>Nutzerangaben im Chat; https://www.boerse-aktienfonds.de/; https://www.ishares.com/ch/professionals/en/products/251769/ishares-dow-jones-global-titans-50-ucits-etf-de-fund; https://www.ishares.com/ch/individual/en/products/251882/ishares-msci-world-ucits-etf-acc-fund</t>
  </si>
  <si>
    <t>Direkt; boerse.de-Aktienfonds; Global Titans 50; boerse.de-Technologiefonds (60% offengelegt)</t>
  </si>
  <si>
    <t>Nutzerangaben im Chat; https://www.boerse-aktienfonds.de/; https://www.ishares.com/ch/professionals/en/products/251769/ishares-dow-jones-global-titans-50-ucits-etf-de-fund; https://www.boerse-technologiefonds.de/</t>
  </si>
  <si>
    <t>Direkt; boerse.de-Technologiefonds (60% offengelegt)</t>
  </si>
  <si>
    <t>Nutzerangaben im Chat; https://www.boerse-technologiefonds.de/</t>
  </si>
  <si>
    <t>Direkt; Global Titans 50; MSCI World; World Value</t>
  </si>
  <si>
    <t>Nutzerangaben im Chat; https://www.ishares.com/ch/professionals/en/products/251769/ishares-dow-jones-global-titans-50-ucits-etf-de-fund; https://www.ishares.com/ch/individual/en/products/251882/ishares-msci-world-ucits-etf-acc-fund; https://www.ishares.com/ch/individual/en/products/270048/ishares-msci-world-value-factor-ucits-etf</t>
  </si>
  <si>
    <t>boerse.de-Aktienfonds; Global Titans 50; boerse.de-Technologiefonds (60% offengelegt); MSCI World</t>
  </si>
  <si>
    <t>https://www.boerse-aktienfonds.de/; https://www.ishares.com/ch/professionals/en/products/251769/ishares-dow-jones-global-titans-50-ucits-etf-de-fund; https://www.boerse-technologiefonds.de/; https://www.ishares.com/ch/individual/en/products/251882/ishares-msci-world-ucits-etf-acc-fund</t>
  </si>
  <si>
    <t>Direkt; MSCI World; World Value</t>
  </si>
  <si>
    <t>Nutzerangaben im Chat; https://www.ishares.com/ch/individual/en/products/251882/ishares-msci-world-ucits-etf-acc-fund; https://www.ishares.com/ch/individual/en/products/270048/ishares-msci-world-value-factor-ucits-etf</t>
  </si>
  <si>
    <t>Direkt; Global Titans 50; MSCI World</t>
  </si>
  <si>
    <t>Nutzerangaben im Chat; https://www.ishares.com/ch/professionals/en/products/251769/ishares-dow-jones-global-titans-50-ucits-etf-de-fund; https://www.ishares.com/ch/individual/en/products/251882/ishares-msci-world-ucits-etf-acc-fund</t>
  </si>
  <si>
    <t>Global Titans 50; boerse.de-Technologiefonds (60% offengelegt); MSCI World</t>
  </si>
  <si>
    <t>https://www.ishares.com/ch/professionals/en/products/251769/ishares-dow-jones-global-titans-50-ucits-etf-de-fund; https://www.boerse-technologiefonds.de/; https://www.ishares.com/ch/individual/en/products/251882/ishares-msci-world-ucits-etf-acc-fund</t>
  </si>
  <si>
    <t>boerse.de-Aktienfonds; Global Titans 50; MSCI World</t>
  </si>
  <si>
    <t>https://www.boerse-aktienfonds.de/; https://www.ishares.com/ch/professionals/en/products/251769/ishares-dow-jones-global-titans-50-ucits-etf-de-fund; https://www.ishares.com/ch/individual/en/products/251882/ishares-msci-world-ucits-etf-acc-fund</t>
  </si>
  <si>
    <t>boerse.de-Aktienfonds; boerse.de-Technologiefonds (60% offengelegt)</t>
  </si>
  <si>
    <t>https://www.boerse-aktienfonds.de/; https://www.boerse-technologiefonds.de/</t>
  </si>
  <si>
    <t>boerse.de-Aktienfonds; boerse.de-Technologiefonds (60% offengelegt); MSCI World</t>
  </si>
  <si>
    <t>https://www.boerse-aktienfonds.de/; https://www.boerse-technologiefonds.de/; https://www.ishares.com/ch/individual/en/products/251882/ishares-msci-world-ucits-etf-acc-fund</t>
  </si>
  <si>
    <t>boerse.de-Aktienfonds; MSCI World</t>
  </si>
  <si>
    <t>https://www.boerse-aktienfonds.de/; https://www.ishares.com/ch/individual/en/products/251882/ishares-msci-world-ucits-etf-acc-fund</t>
  </si>
  <si>
    <t>Meta Platforms</t>
  </si>
  <si>
    <t>Global Titans 50; MSCI World</t>
  </si>
  <si>
    <t>https://www.ishares.com/ch/professionals/en/products/251769/ishares-dow-jones-global-titans-50-ucits-etf-de-fund; https://www.ishares.com/ch/individual/en/products/251882/ishares-msci-world-ucits-etf-acc-fund</t>
  </si>
  <si>
    <t>LVMH</t>
  </si>
  <si>
    <t>Amphenol</t>
  </si>
  <si>
    <t>BlackRock</t>
  </si>
  <si>
    <t>MSCI Inc.</t>
  </si>
  <si>
    <t>Cintas</t>
  </si>
  <si>
    <t>S&amp;P Global</t>
  </si>
  <si>
    <t>Waste Management</t>
  </si>
  <si>
    <t>Danaher</t>
  </si>
  <si>
    <t>Hannover Rück</t>
  </si>
  <si>
    <t>boerse.de-Aktienfonds</t>
  </si>
  <si>
    <t>https://www.boerse-aktienfonds.de/</t>
  </si>
  <si>
    <t>Deutsche Börse</t>
  </si>
  <si>
    <t>Walmart</t>
  </si>
  <si>
    <t>Consumer Staples</t>
  </si>
  <si>
    <t>Yum! Brands</t>
  </si>
  <si>
    <t>TJX Companies</t>
  </si>
  <si>
    <t>Home Depot</t>
  </si>
  <si>
    <t>Stryker</t>
  </si>
  <si>
    <t>Costco Wholesale</t>
  </si>
  <si>
    <t>L'Oréal</t>
  </si>
  <si>
    <t>Ecolab</t>
  </si>
  <si>
    <t>Lindt &amp; Sprüngli</t>
  </si>
  <si>
    <t>Autozone</t>
  </si>
  <si>
    <t>Tesla</t>
  </si>
  <si>
    <t>JPMorgan Chase</t>
  </si>
  <si>
    <t>Samsung Electronics Ltd</t>
  </si>
  <si>
    <t>Global Titans 50</t>
  </si>
  <si>
    <t>https://www.ishares.com/ch/professionals/en/products/251769/ishares-dow-jones-global-titans-50-ucits-etf-de-fund</t>
  </si>
  <si>
    <t>Exxonmobil Holdings Corp</t>
  </si>
  <si>
    <t>Energy</t>
  </si>
  <si>
    <t>Johnson &amp; Johnson</t>
  </si>
  <si>
    <t>Cisco Systems Inc</t>
  </si>
  <si>
    <t>Global Titans 50; MSCI World; World Value</t>
  </si>
  <si>
    <t>https://www.ishares.com/ch/professionals/en/products/251769/ishares-dow-jones-global-titans-50-ucits-etf-de-fund; https://www.ishares.com/ch/individual/en/products/251882/ishares-msci-world-ucits-etf-acc-fund; https://www.ishares.com/ch/individual/en/products/270048/ishares-msci-world-value-factor-ucits-etf</t>
  </si>
  <si>
    <t>Abbvie Inc</t>
  </si>
  <si>
    <t>Ge Aerospace</t>
  </si>
  <si>
    <t>Procter &amp; Gamble</t>
  </si>
  <si>
    <t>Chevron Corp</t>
  </si>
  <si>
    <t>Coca-Cola</t>
  </si>
  <si>
    <t>Goldman Sachs Group Inc</t>
  </si>
  <si>
    <t>Merck &amp; Co Inc</t>
  </si>
  <si>
    <t>Royal Bank Of Canada</t>
  </si>
  <si>
    <t>Philip Morris International Inc</t>
  </si>
  <si>
    <t>Roche Ps Par Ag</t>
  </si>
  <si>
    <t>Novartis Ag</t>
  </si>
  <si>
    <t>Shell Plc</t>
  </si>
  <si>
    <t>Nestle Sa</t>
  </si>
  <si>
    <t>Astrazeneca Plc</t>
  </si>
  <si>
    <t>Toyota Motor Corp</t>
  </si>
  <si>
    <t>Mercadolibre</t>
  </si>
  <si>
    <t>boerse.de-Technologiefonds (60% offengelegt)</t>
  </si>
  <si>
    <t>https://www.boerse-technologiefonds.de/</t>
  </si>
  <si>
    <t>Texas Instruments</t>
  </si>
  <si>
    <t>boerse.de-Technologiefonds (60% offengelegt); MSCI World</t>
  </si>
  <si>
    <t>https://www.boerse-technologiefonds.de/; https://www.ishares.com/ch/individual/en/products/251882/ishares-msci-world-ucits-etf-acc-fund</t>
  </si>
  <si>
    <t>Constellation Software</t>
  </si>
  <si>
    <t>Oracle Corp</t>
  </si>
  <si>
    <t>Arista Networks</t>
  </si>
  <si>
    <t>International Business Machines Co</t>
  </si>
  <si>
    <t>Mettler-Toledo</t>
  </si>
  <si>
    <t>Nemetschek</t>
  </si>
  <si>
    <t>FICO</t>
  </si>
  <si>
    <t>Atoss Software</t>
  </si>
  <si>
    <t>Thermo Fisher Scientific Inc</t>
  </si>
  <si>
    <t>Servicenow</t>
  </si>
  <si>
    <t>Elmos Semiconductor</t>
  </si>
  <si>
    <t>Motorola Solutions</t>
  </si>
  <si>
    <t>Cadence Design Systems</t>
  </si>
  <si>
    <t>Ametek</t>
  </si>
  <si>
    <t>Axon Enterprise</t>
  </si>
  <si>
    <t>Monolithic Power Systems</t>
  </si>
  <si>
    <t>Pepsico Inc</t>
  </si>
  <si>
    <t>Synopsys</t>
  </si>
  <si>
    <t>Jabil</t>
  </si>
  <si>
    <t>Lam Research</t>
  </si>
  <si>
    <t>Abbott Laboratories</t>
  </si>
  <si>
    <t>Pfizer Inc</t>
  </si>
  <si>
    <t>Novo Nordisk</t>
  </si>
  <si>
    <t>Salesforce Inc</t>
  </si>
  <si>
    <t>KLA</t>
  </si>
  <si>
    <t>Unilever Plc</t>
  </si>
  <si>
    <t>Accenture Plc</t>
  </si>
  <si>
    <t>Samsung Electronics Non Voting Pre</t>
  </si>
  <si>
    <t>Verizon Communications Inc</t>
  </si>
  <si>
    <t>MSCI World; World Value</t>
  </si>
  <si>
    <t>https://www.ishares.com/ch/individual/en/products/251882/ishares-msci-world-ucits-etf-acc-fund; https://www.ishares.com/ch/individual/en/products/270048/ishares-msci-world-value-factor-ucits-etf</t>
  </si>
  <si>
    <t>Qualcomm Inc</t>
  </si>
  <si>
    <t>At&amp;T Inc</t>
  </si>
  <si>
    <t>Comcast Corp</t>
  </si>
  <si>
    <t>Citigroup Inc</t>
  </si>
  <si>
    <t>British American Tobacco</t>
  </si>
  <si>
    <t>Applied Material Inc</t>
  </si>
  <si>
    <t>MSCI World</t>
  </si>
  <si>
    <t>https://www.ishares.com/ch/individual/en/products/251882/ishares-msci-world-ucits-etf-acc-fund</t>
  </si>
  <si>
    <t>Intel Corporation</t>
  </si>
  <si>
    <t>Banco Santander Sa</t>
  </si>
  <si>
    <t>Mitsubishi Ufj Financial Group Inc</t>
  </si>
  <si>
    <t>Cvs Health Corp</t>
  </si>
  <si>
    <t>Hewlett Packard Enterprise</t>
  </si>
  <si>
    <t>Bank Of America Corp</t>
  </si>
  <si>
    <t>General Motors</t>
  </si>
  <si>
    <t>Unitedhealth Group Inc</t>
  </si>
  <si>
    <t>Totalenergies</t>
  </si>
  <si>
    <t>Bnp Paribas Sa</t>
  </si>
  <si>
    <t>Bristol Myers Squibb</t>
  </si>
  <si>
    <t>Sanofi Sa</t>
  </si>
  <si>
    <t>Dell Technologies Inc</t>
  </si>
  <si>
    <t>Sumitomo Mitsui Financial Group In</t>
  </si>
  <si>
    <t>Gilead Sciences Inc</t>
  </si>
  <si>
    <t>Kioxia Holdings Corp</t>
  </si>
  <si>
    <t>Palantir Technologies Inc</t>
  </si>
  <si>
    <t>Banco Bilbao Vizcaya Argentaria Sa</t>
  </si>
  <si>
    <t>Murata Manufacturing Ltd</t>
  </si>
  <si>
    <t>Palo Alto Networks Inc</t>
  </si>
  <si>
    <t>Capital One Financial Corp</t>
  </si>
  <si>
    <t>Ge Vernova Inc</t>
  </si>
  <si>
    <t>Barclays Plc</t>
  </si>
  <si>
    <t>Unicredit</t>
  </si>
  <si>
    <t>Wells Fargo</t>
  </si>
  <si>
    <t>Mitsubishi Corp</t>
  </si>
  <si>
    <t>Glaxosmithkline</t>
  </si>
  <si>
    <t>Nokia</t>
  </si>
  <si>
    <t>Rtx Corp</t>
  </si>
  <si>
    <t>Morgan Stanley</t>
  </si>
  <si>
    <t>Mitsui Ltd</t>
  </si>
  <si>
    <t>Renesas Electronics Corp</t>
  </si>
  <si>
    <t>Cigna</t>
  </si>
  <si>
    <t>Rio Tinto Plc</t>
  </si>
  <si>
    <t>Mizuho Financial Group Inc</t>
  </si>
  <si>
    <t>Ford Motor Co</t>
  </si>
  <si>
    <t>Siemens N Ag</t>
  </si>
  <si>
    <t>Panasonic Holdings Corp</t>
  </si>
  <si>
    <t>Adobe Inc</t>
  </si>
  <si>
    <t>Mercedes-Benz Group N Ag</t>
  </si>
  <si>
    <t>Itochu Corp</t>
  </si>
  <si>
    <t>Bp Plc</t>
  </si>
  <si>
    <t>Vinci Sa</t>
  </si>
  <si>
    <t>Bhp Group Ltd</t>
  </si>
  <si>
    <t>Toronto Dominion</t>
  </si>
  <si>
    <t>Commonwealth Bank Of Australia</t>
  </si>
  <si>
    <t>Honda Motor Ltd</t>
  </si>
  <si>
    <t>Bayer Ag</t>
  </si>
  <si>
    <t>Elevance Health Inc</t>
  </si>
  <si>
    <t>Medtronic Plc</t>
  </si>
  <si>
    <t>Ing Groep Nv</t>
  </si>
  <si>
    <t>Amgen Inc</t>
  </si>
  <si>
    <t>Crowdstrike Holdings Inc</t>
  </si>
  <si>
    <t>Vodafone Group Plc</t>
  </si>
  <si>
    <t>Deutsche Post Ag</t>
  </si>
  <si>
    <t>Sumitomo Corp</t>
  </si>
  <si>
    <t>Stmicroelectronics Nv</t>
  </si>
  <si>
    <t>Intesa Sanpaolo</t>
  </si>
  <si>
    <t>Deutsche Bank Ag</t>
  </si>
  <si>
    <t>Lloyds Banking Group Plc</t>
  </si>
  <si>
    <t>American Express</t>
  </si>
  <si>
    <t>Tokyo Electron Ltd</t>
  </si>
  <si>
    <t>Analog Devices Inc</t>
  </si>
  <si>
    <t>Nextera Energy Inc</t>
  </si>
  <si>
    <t>Utilities</t>
  </si>
  <si>
    <t>Us Bancorp</t>
  </si>
  <si>
    <t>Bank Of Nova Scotia</t>
  </si>
  <si>
    <t>Kddi Corp</t>
  </si>
  <si>
    <t>Fedex Corp</t>
  </si>
  <si>
    <t>Enel</t>
  </si>
  <si>
    <t>Walt Disney</t>
  </si>
  <si>
    <t>Union Pacific Corp</t>
  </si>
  <si>
    <t>Natwest Group Plc</t>
  </si>
  <si>
    <t>Simon Property Group Reit Inc</t>
  </si>
  <si>
    <t>Real Estate</t>
  </si>
  <si>
    <t>Ubs Group Ag</t>
  </si>
  <si>
    <t>Welltower Inc</t>
  </si>
  <si>
    <t>Charles Schwab Corp</t>
  </si>
  <si>
    <t>Societe Generale Sa</t>
  </si>
  <si>
    <t>Ck Hutchison Holdings Ltd</t>
  </si>
  <si>
    <t>Seagate Technology Holdings Plc</t>
  </si>
  <si>
    <t>Schneider Electric</t>
  </si>
  <si>
    <t>Western Digital Corp</t>
  </si>
  <si>
    <t>Marvell Technology Inc</t>
  </si>
  <si>
    <t>Boeing</t>
  </si>
  <si>
    <t>Marubeni Corp</t>
  </si>
  <si>
    <t>Canon Inc</t>
  </si>
  <si>
    <t>Kyocera Corp</t>
  </si>
  <si>
    <t>Fujifilm Holdings Corp</t>
  </si>
  <si>
    <t>Eaton Plc</t>
  </si>
  <si>
    <t>Rolls-Royce Holdings Plc</t>
  </si>
  <si>
    <t>Abb Ltd</t>
  </si>
  <si>
    <t>Deere</t>
  </si>
  <si>
    <t>Shopify Subordinate Voting Inc Cla</t>
  </si>
  <si>
    <t>Truist Financial Corp</t>
  </si>
  <si>
    <t>Compagnie De Saint Gobain Sa</t>
  </si>
  <si>
    <t>Tdk Corp</t>
  </si>
  <si>
    <t>Nxp Semiconductors Nv</t>
  </si>
  <si>
    <t>National Grid Plc</t>
  </si>
  <si>
    <t>Iberdrola Sa</t>
  </si>
  <si>
    <t>Intuitive Surgical Inc</t>
  </si>
  <si>
    <t>Prologis Reit Inc</t>
  </si>
  <si>
    <t>Kraft Heinz</t>
  </si>
  <si>
    <t>Bmw Ag</t>
  </si>
  <si>
    <t>Archer Daniels Midland</t>
  </si>
  <si>
    <t>Engie Sa</t>
  </si>
  <si>
    <t>Manulife Financial Corp</t>
  </si>
  <si>
    <t>Advantest Corp</t>
  </si>
  <si>
    <t>Conocophillips</t>
  </si>
  <si>
    <t>Softbank Group Corp</t>
  </si>
  <si>
    <t>Uber Technologies Inc</t>
  </si>
  <si>
    <t>Hitachi Ltd</t>
  </si>
  <si>
    <t>Safran Sa</t>
  </si>
  <si>
    <t>Arcelormittal Sa</t>
  </si>
  <si>
    <t>Prudential Financial Inc</t>
  </si>
  <si>
    <t>Komatsu Ltd</t>
  </si>
  <si>
    <t>Volkswagen Non-Voting Pref Ag</t>
  </si>
  <si>
    <t>Aercap Holdings Nv</t>
  </si>
  <si>
    <t>Hp Inc</t>
  </si>
  <si>
    <t>Orange Sa</t>
  </si>
  <si>
    <t>Compagnie Financiere Richemont Sa</t>
  </si>
  <si>
    <t>Siemens Energy N Ag</t>
  </si>
  <si>
    <t>Airbus Group</t>
  </si>
  <si>
    <t>Bank Of Montreal</t>
  </si>
  <si>
    <t>Sony Group Corp</t>
  </si>
  <si>
    <t>Corning Inc</t>
  </si>
  <si>
    <t>Lair Liquide Societe Anonyme Pour</t>
  </si>
  <si>
    <t>Starbucks Corp</t>
  </si>
  <si>
    <t>Enbridge Inc</t>
  </si>
  <si>
    <t>Lowes Companies Inc</t>
  </si>
  <si>
    <t>Metlife Inc</t>
  </si>
  <si>
    <t>D R Horton Inc</t>
  </si>
  <si>
    <t>Pg&amp;E Corp</t>
  </si>
  <si>
    <t>Fujitsu Ltd</t>
  </si>
  <si>
    <t>Nec Corp</t>
  </si>
  <si>
    <t>Keurig Dr Pepper Inc</t>
  </si>
  <si>
    <t>Ericsson B</t>
  </si>
  <si>
    <t>Repsol Sa</t>
  </si>
  <si>
    <t>Standard Chartered Plc</t>
  </si>
  <si>
    <t>Altria Group Inc</t>
  </si>
  <si>
    <t>Vertex Pharmaceuticals Inc</t>
  </si>
  <si>
    <t>Parker-Hannifin Corp</t>
  </si>
  <si>
    <t>Chubb</t>
  </si>
  <si>
    <t>Progressive Corp</t>
  </si>
  <si>
    <t>Bank Of New York Mellon Corp</t>
  </si>
  <si>
    <t>Dbs Group Holdings Ltd</t>
  </si>
  <si>
    <t>Canadian Imperial Bank Of Commerce</t>
  </si>
  <si>
    <t>Roche Holding Ag</t>
  </si>
  <si>
    <t>Ntt Inc</t>
  </si>
  <si>
    <t>Takeda Pharmaceutical Ltd</t>
  </si>
  <si>
    <t>Basf N</t>
  </si>
  <si>
    <t>Strategy Inc</t>
  </si>
  <si>
    <t>3I Group Plc</t>
  </si>
  <si>
    <t>Becton Dickinson</t>
  </si>
  <si>
    <t>Tesco Plc</t>
  </si>
  <si>
    <t>Nordea Bank</t>
  </si>
  <si>
    <t>First Solar Inc</t>
  </si>
  <si>
    <t>Cognizant Technology Solutions Cor</t>
  </si>
  <si>
    <t>Central Japan Railway</t>
  </si>
  <si>
    <t>Imperial Brands Plc</t>
  </si>
  <si>
    <t>Koninklijke Ahold Delhaize Nv</t>
  </si>
  <si>
    <t>Twilio Inc</t>
  </si>
  <si>
    <t>Zurich Insurance Group Ag</t>
  </si>
  <si>
    <t>Howmet Aerospace Inc</t>
  </si>
  <si>
    <t>Vertiv Holdings</t>
  </si>
  <si>
    <t>Southern</t>
  </si>
  <si>
    <t>ServiceNow</t>
  </si>
  <si>
    <t>Mckesson Corp</t>
  </si>
  <si>
    <t>Lockheed Martin Corp</t>
  </si>
  <si>
    <t>Recruit Holdings Ltd</t>
  </si>
  <si>
    <t>Deutsche Telekom N Ag</t>
  </si>
  <si>
    <t>Pnc Financial Services Group Inc</t>
  </si>
  <si>
    <t>Netapp Inc</t>
  </si>
  <si>
    <t>Japan Tobacco Inc</t>
  </si>
  <si>
    <t>Eni</t>
  </si>
  <si>
    <t>Allstate Corp</t>
  </si>
  <si>
    <t>Michelin</t>
  </si>
  <si>
    <t>Sun Hung Kai Properties Ltd</t>
  </si>
  <si>
    <t>Roper Technologies Inc</t>
  </si>
  <si>
    <t>Centene Corp</t>
  </si>
  <si>
    <t>Devon Energy Corp</t>
  </si>
  <si>
    <t>American International Group Inc</t>
  </si>
  <si>
    <t>Automatic Data Processing Inc</t>
  </si>
  <si>
    <t>Fortinet Inc</t>
  </si>
  <si>
    <t>Trane Technologies Plc</t>
  </si>
  <si>
    <t>Aia Group Ltd</t>
  </si>
  <si>
    <t>Equinix Reit Inc</t>
  </si>
  <si>
    <t>Applovin Corp</t>
  </si>
  <si>
    <t>Duke Energy Corp</t>
  </si>
  <si>
    <t>Newmont</t>
  </si>
  <si>
    <t>Blackstone Inc</t>
  </si>
  <si>
    <t>Csx Corp</t>
  </si>
  <si>
    <t>T Mobile Us Inc</t>
  </si>
  <si>
    <t>Valero Energy Corp</t>
  </si>
  <si>
    <t>Quanta Services Inc</t>
  </si>
  <si>
    <t>Capgemini</t>
  </si>
  <si>
    <t>Omnicom Group Inc</t>
  </si>
  <si>
    <t>Rwe Ag</t>
  </si>
  <si>
    <t>Daimler Truck Holding E Ag</t>
  </si>
  <si>
    <t>Toyota Tsusho Corp</t>
  </si>
  <si>
    <t>Teva Pharmaceutical Industries Adr</t>
  </si>
  <si>
    <t>Bridgestone Corp</t>
  </si>
  <si>
    <t>Nutrien Ltd</t>
  </si>
  <si>
    <t>Orix Corp</t>
  </si>
  <si>
    <t>State Street Corp</t>
  </si>
  <si>
    <t>Caixabank Sa</t>
  </si>
  <si>
    <t>Infineon Technologies Ag</t>
  </si>
  <si>
    <t>Fast Retailing Ltd</t>
  </si>
  <si>
    <t>Williams Inc</t>
  </si>
  <si>
    <t>Marathon Petroleum Corp</t>
  </si>
  <si>
    <t>Snowflake Inc</t>
  </si>
  <si>
    <t>Brookfield Corp</t>
  </si>
  <si>
    <t>Cummins Inc</t>
  </si>
  <si>
    <t>Westpac Banking Corporation</t>
  </si>
  <si>
    <t>Canadian Natural Resources Ltd</t>
  </si>
  <si>
    <t>Cme Group Inc</t>
  </si>
  <si>
    <t>Marsh Inc</t>
  </si>
  <si>
    <t>Keyence Corp</t>
  </si>
  <si>
    <t>3M</t>
  </si>
  <si>
    <t>Biogen Inc</t>
  </si>
  <si>
    <t>Publicis Groupe Sa</t>
  </si>
  <si>
    <t>Zoom Communications Inc</t>
  </si>
  <si>
    <t>Nippon Steel Corp</t>
  </si>
  <si>
    <t>Mitsubishi Estate Co Ltd</t>
  </si>
  <si>
    <t>Pultegroup Inc</t>
  </si>
  <si>
    <t>Teledyne Technologies Inc</t>
  </si>
  <si>
    <t>Denso Corp</t>
  </si>
  <si>
    <t>United Overseas Bank Ltd</t>
  </si>
  <si>
    <t>Stellantis Nv</t>
  </si>
  <si>
    <t>Gen Digital Inc</t>
  </si>
  <si>
    <t>Nippon Yusen</t>
  </si>
  <si>
    <t>Edison International</t>
  </si>
  <si>
    <t>F5 Inc</t>
  </si>
  <si>
    <t>Exelon Corp</t>
  </si>
  <si>
    <t>M&amp;T Bank Corp</t>
  </si>
  <si>
    <t>Marriott International Inc</t>
  </si>
  <si>
    <t>United Parcel Service Inc</t>
  </si>
  <si>
    <t>Johnson Controls International Plc</t>
  </si>
  <si>
    <t>Cloudflare Inc</t>
  </si>
  <si>
    <t>Tokio Marine Holdings Inc</t>
  </si>
  <si>
    <t>Canadian Pacific Kansas City Ltd</t>
  </si>
  <si>
    <t>Freeport Mcmoran Inc</t>
  </si>
  <si>
    <t>Axa Sa</t>
  </si>
  <si>
    <t>National Australia Bank Ltd</t>
  </si>
  <si>
    <t>General Dynamics Corp</t>
  </si>
  <si>
    <t>MercadoLibre</t>
  </si>
  <si>
    <t>Moodys Corp</t>
  </si>
  <si>
    <t>Datadog Inc</t>
  </si>
  <si>
    <t>Intuit Inc</t>
  </si>
  <si>
    <t>American Tower Reit Corp</t>
  </si>
  <si>
    <t>Mondelez International Inc</t>
  </si>
  <si>
    <t>Phillips 66</t>
  </si>
  <si>
    <t>Intercontinental Exchange Inc</t>
  </si>
  <si>
    <t>Constellation Energy Corp</t>
  </si>
  <si>
    <t>Sherwin Williams</t>
  </si>
  <si>
    <t>Eog Resources Inc</t>
  </si>
  <si>
    <t>Illinois Tool Inc</t>
  </si>
  <si>
    <t>Hilton Worldwide Holdings Inc</t>
  </si>
  <si>
    <t>Atlas Copco</t>
  </si>
  <si>
    <t>Suzuki Motor Corp</t>
  </si>
  <si>
    <t>Erste Group Bank Ag</t>
  </si>
  <si>
    <t>Magna International Inc</t>
  </si>
  <si>
    <t>Csl Ltd</t>
  </si>
  <si>
    <t>Sse Plc</t>
  </si>
  <si>
    <t>Seven &amp; I Holdings Ltd</t>
  </si>
  <si>
    <t>East Japan Railway</t>
  </si>
  <si>
    <t>Kubota Corp</t>
  </si>
  <si>
    <t>Japan Post Holdings Ltd</t>
  </si>
  <si>
    <t>Royalty Pharma Plc</t>
  </si>
  <si>
    <t>Nn Group Nv</t>
  </si>
  <si>
    <t>Sompo Holdings Inc</t>
  </si>
  <si>
    <t>Japan Post Bank Ltd</t>
  </si>
  <si>
    <t>Bank Leumi Le Israel</t>
  </si>
  <si>
    <t>Emerson Electric</t>
  </si>
  <si>
    <t>Muenchener Rueckversicherungs-Gese</t>
  </si>
  <si>
    <t>Robinhood Markets Inc</t>
  </si>
  <si>
    <t>Shin Etsu Chemical Ltd</t>
  </si>
  <si>
    <t>Royal Caribbean Group Ltd</t>
  </si>
  <si>
    <t>Mitsubishi Heavy Industries Ltd</t>
  </si>
  <si>
    <t>Ross Stores Inc</t>
  </si>
  <si>
    <t>Anz Group Holdings Ltd</t>
  </si>
  <si>
    <t>Oreilly Automotive Inc</t>
  </si>
  <si>
    <t>Norfolk Southern Corp</t>
  </si>
  <si>
    <t>Investor</t>
  </si>
  <si>
    <t>Travelers Companies Inc</t>
  </si>
  <si>
    <t>Anheuser-Busch Inbev Sa</t>
  </si>
  <si>
    <t>Spotify Technology Sa</t>
  </si>
  <si>
    <t>Oversea-Chinese Banking Ltd</t>
  </si>
  <si>
    <t>Suncor Energy Inc</t>
  </si>
  <si>
    <t>Honeywell International Inc</t>
  </si>
  <si>
    <t>Tc Energy Corp</t>
  </si>
  <si>
    <t>Colgate-Palmolive</t>
  </si>
  <si>
    <t>Northrop Grumman Corp</t>
  </si>
  <si>
    <t>Aon Plc</t>
  </si>
  <si>
    <t>Slb Nv</t>
  </si>
  <si>
    <t>Bae Systems Plc</t>
  </si>
  <si>
    <t>Wesfarmers Ltd</t>
  </si>
  <si>
    <t>Crh Public Limited Plc</t>
  </si>
  <si>
    <t>Doordash Inc</t>
  </si>
  <si>
    <t>Regeneron Pharmaceuticals Inc</t>
  </si>
  <si>
    <t>American Electric Power Inc</t>
  </si>
  <si>
    <t>Monster Beverage Corp</t>
  </si>
  <si>
    <t>Industria De Diseno Textil Sa</t>
  </si>
  <si>
    <t>Agnico Eagle Mines Ltd</t>
  </si>
  <si>
    <t>Space Exploration Technologies Cor</t>
  </si>
  <si>
    <t>United Rentals Inc</t>
  </si>
  <si>
    <t>Canadian National Railway</t>
  </si>
  <si>
    <t>Mitsui Osk Lines Ltd</t>
  </si>
  <si>
    <t>Bt Group Plc</t>
  </si>
  <si>
    <t>Fox Corp</t>
  </si>
  <si>
    <t>Mitsui Fudosan Ltd</t>
  </si>
  <si>
    <t>Woodside Energy Group Ltd</t>
  </si>
  <si>
    <t>Huntington Bancshares Inc</t>
  </si>
  <si>
    <t>Danske Bank</t>
  </si>
  <si>
    <t>Diamondback Energy Inc</t>
  </si>
  <si>
    <t>Commerzbank Ag</t>
  </si>
  <si>
    <t>Fairfax Financial Holdings Sub Vot</t>
  </si>
  <si>
    <t>Charter Communications Inc</t>
  </si>
  <si>
    <t>Workday Inc</t>
  </si>
  <si>
    <t>Fiserv Inc</t>
  </si>
  <si>
    <t>Nomura Holdings Inc</t>
  </si>
  <si>
    <t>Ms&amp;Ad Insurance Group Holdings Inc</t>
  </si>
  <si>
    <t>Global Payments Inc</t>
  </si>
  <si>
    <t>Lennar A Corp</t>
  </si>
  <si>
    <t>Daiwa House Industry Ltd</t>
  </si>
  <si>
    <t>Heidelberg Materials Ag</t>
  </si>
  <si>
    <t>Abn Amro Bank Nv</t>
  </si>
  <si>
    <t>Warner Bros. Discovery Inc Series</t>
  </si>
  <si>
    <t>Transdigm Group Inc</t>
  </si>
  <si>
    <t>Honeywell Aerospace Inc</t>
  </si>
  <si>
    <t>Macquarie Group Ltd Def</t>
  </si>
  <si>
    <t>Glencore Plc</t>
  </si>
  <si>
    <t>Boston Scientific Corp</t>
  </si>
  <si>
    <t>Arthur J Gallagher</t>
  </si>
  <si>
    <t>Kkr And Co Inc</t>
  </si>
  <si>
    <t>Paccar Inc</t>
  </si>
  <si>
    <t>National Bank Of Canada</t>
  </si>
  <si>
    <t>Mitsubishi Electric Corp</t>
  </si>
  <si>
    <t>Airbnb Inc</t>
  </si>
  <si>
    <t>Dominion Energy Inc</t>
  </si>
  <si>
    <t>Kinder Morgan Inc</t>
  </si>
  <si>
    <t>Ww Grainger Inc</t>
  </si>
  <si>
    <t>Air Products And Chemicals Inc</t>
  </si>
  <si>
    <t>Target Corp</t>
  </si>
  <si>
    <t>Hca Healthcare Inc</t>
  </si>
  <si>
    <t>Te Connectivity Plc</t>
  </si>
  <si>
    <t>Prosus Nv</t>
  </si>
  <si>
    <t>Relx Plc</t>
  </si>
  <si>
    <t>Corteva Inc</t>
  </si>
  <si>
    <t>Realty Income Reit Corp</t>
  </si>
  <si>
    <t>Asahi Group Holdings Ltd</t>
  </si>
  <si>
    <t>Carrefour Sa</t>
  </si>
  <si>
    <t>Jardine Matheson Holdings Ltd</t>
  </si>
  <si>
    <t>Credit Agricole Sa</t>
  </si>
  <si>
    <t>Fresenius Se And Co Kgaa</t>
  </si>
  <si>
    <t>Tyson Foods Inc</t>
  </si>
  <si>
    <t>Bunge Global Sa</t>
  </si>
  <si>
    <t>Kansai Electric Power Inc</t>
  </si>
  <si>
    <t>Pernod Ricard Sa</t>
  </si>
  <si>
    <t>Citizens Financial Group Inc</t>
  </si>
  <si>
    <t>Synchrony Financial</t>
  </si>
  <si>
    <t>Otsuka Holdings Ltd</t>
  </si>
  <si>
    <t>Eversource Energy</t>
  </si>
  <si>
    <t>Equinor</t>
  </si>
  <si>
    <t>Power Corporation Of Canada</t>
  </si>
  <si>
    <t>Swedbank</t>
  </si>
  <si>
    <t>Smurfit Westrock Plc</t>
  </si>
  <si>
    <t>Amcor Plc</t>
  </si>
  <si>
    <t>Zimmer Biomet Holdings Inc</t>
  </si>
  <si>
    <t>Henkel &amp; Kgaa Pref Ag</t>
  </si>
  <si>
    <t>Kirin Holdings Ltd</t>
  </si>
  <si>
    <t>Banca Monte Dei Paschi Di Siena Sp</t>
  </si>
  <si>
    <t>Labcorp Holdings Inc</t>
  </si>
  <si>
    <t>Sumitomo Mitsui Trust Group Inc</t>
  </si>
  <si>
    <t>Screen Holdings Ltd</t>
  </si>
  <si>
    <t>Delta Air Lines Inc</t>
  </si>
  <si>
    <t>Eneos Holdings Inc</t>
  </si>
  <si>
    <t>Telefonica Sa</t>
  </si>
  <si>
    <t>Ss And C Technologies Holdings Inc</t>
  </si>
  <si>
    <t>W. P. Carey Reit Inc</t>
  </si>
  <si>
    <t>Cgi Inc</t>
  </si>
  <si>
    <t>Regions Financial Corp</t>
  </si>
  <si>
    <t>Bank Hapoalim Bm</t>
  </si>
  <si>
    <t>Ge Healthcare Technologies Inc</t>
  </si>
  <si>
    <t>Okta Inc</t>
  </si>
  <si>
    <t>Essilorluxottica Sa</t>
  </si>
  <si>
    <t>Comfort Systems Usa Inc</t>
  </si>
  <si>
    <t>Digital Realty Trust Reit Inc</t>
  </si>
  <si>
    <t>Sempra</t>
  </si>
  <si>
    <t>Aflac Inc</t>
  </si>
  <si>
    <t>Barrick Mining Corp</t>
  </si>
  <si>
    <t>London Stock Exchange Group Plc</t>
  </si>
  <si>
    <t>Cheniere Energy Inc</t>
  </si>
  <si>
    <t>Targa Resources Corp</t>
  </si>
  <si>
    <t>Oneok Inc</t>
  </si>
  <si>
    <t>Bloom Energy Class A Corp</t>
  </si>
  <si>
    <t>Volvo</t>
  </si>
  <si>
    <t>Hoya Corp</t>
  </si>
  <si>
    <t>Baker Hughes</t>
  </si>
  <si>
    <t>L3Harris Technologies Inc</t>
  </si>
  <si>
    <t>Ciena Corp</t>
  </si>
  <si>
    <t>Keysight Technologies Inc</t>
  </si>
  <si>
    <t>Cencora Inc</t>
  </si>
  <si>
    <t>Carrier Global Corp</t>
  </si>
  <si>
    <t>Apollo Global Management Inc</t>
  </si>
  <si>
    <t>Cardinal Health Inc</t>
  </si>
  <si>
    <t>Danone Sa</t>
  </si>
  <si>
    <t>Vistra Corp</t>
  </si>
  <si>
    <t>Argenx</t>
  </si>
  <si>
    <t>Hong Kong Exchanges And Clearing L</t>
  </si>
  <si>
    <t>Fifth Third Bancorp</t>
  </si>
  <si>
    <t>Nucor Corp</t>
  </si>
  <si>
    <t>Lonza Group Ag</t>
  </si>
  <si>
    <t>AutoZone</t>
  </si>
  <si>
    <t>Nike Inc</t>
  </si>
  <si>
    <t>Rockwell Automation Inc</t>
  </si>
  <si>
    <t>Teradyne Inc</t>
  </si>
  <si>
    <t>Fastenal</t>
  </si>
  <si>
    <t>Coherent Corp</t>
  </si>
  <si>
    <t>Xcel Energy Inc</t>
  </si>
  <si>
    <t>Dsv</t>
  </si>
  <si>
    <t>Entergy Corp</t>
  </si>
  <si>
    <t>Hermes International</t>
  </si>
  <si>
    <t>Paypal Holdings Inc</t>
  </si>
  <si>
    <t>Compass Group Plc</t>
  </si>
  <si>
    <t>Rheinmetall Ag</t>
  </si>
  <si>
    <t>Ebay Inc</t>
  </si>
  <si>
    <t>Asm International Nv</t>
  </si>
  <si>
    <t>Chubu Electric Power Inc</t>
  </si>
  <si>
    <t>Inpex Corp</t>
  </si>
  <si>
    <t>Informa Plc</t>
  </si>
  <si>
    <t>Asahi Kasei Corp</t>
  </si>
  <si>
    <t>Rogers Communications Non-Voting I</t>
  </si>
  <si>
    <t>Principal Financial Group Inc</t>
  </si>
  <si>
    <t>Dnb Bank</t>
  </si>
  <si>
    <t>Boc Hong Kong Holdings Ltd</t>
  </si>
  <si>
    <t>Super Micro Computer Inc</t>
  </si>
  <si>
    <t>Subaru Corp</t>
  </si>
  <si>
    <t>Merck</t>
  </si>
  <si>
    <t>Textron Inc</t>
  </si>
  <si>
    <t>Everest Group Ltd</t>
  </si>
  <si>
    <t>Kajima Corp</t>
  </si>
  <si>
    <t>Nidec Corp</t>
  </si>
  <si>
    <t>Resona Holdings Inc</t>
  </si>
  <si>
    <t>Astellas Pharma Inc</t>
  </si>
  <si>
    <t>Bper Banca</t>
  </si>
  <si>
    <t>Ck Asset Holdings Ltd</t>
  </si>
  <si>
    <t>Sekisui House Ltd</t>
  </si>
  <si>
    <t>A P Moller Maersk B</t>
  </si>
  <si>
    <t>Bouygues Sa</t>
  </si>
  <si>
    <t>Deutsche Lufthansa Ag</t>
  </si>
  <si>
    <t>Wh Group Ltd</t>
  </si>
  <si>
    <t>Fortescue Ltd</t>
  </si>
  <si>
    <t>General Mills Inc</t>
  </si>
  <si>
    <t>Aib Group Plc</t>
  </si>
  <si>
    <t>Koninklijke Philips Nv</t>
  </si>
  <si>
    <t>International Paper</t>
  </si>
  <si>
    <t>Boliden</t>
  </si>
  <si>
    <t>Annaly Capital Management Reit Inc</t>
  </si>
  <si>
    <t>Lumentum Holdings Inc</t>
  </si>
  <si>
    <t>Edwards Lifesciences Corp</t>
  </si>
  <si>
    <t>Swiss Re Ag</t>
  </si>
  <si>
    <t>E.On N</t>
  </si>
  <si>
    <t>Electronic Arts Inc</t>
  </si>
  <si>
    <t>Public Storage Reit</t>
  </si>
  <si>
    <t>Anglo American Plc</t>
  </si>
  <si>
    <t>Carvana</t>
  </si>
  <si>
    <t>Ferrari Nv</t>
  </si>
  <si>
    <t>Ameriprise Finance Inc</t>
  </si>
  <si>
    <t>Republic Services Inc</t>
  </si>
  <si>
    <t>Alimentation Couche Tard Inc</t>
  </si>
  <si>
    <t>Ferguson Enterprises Inc</t>
  </si>
  <si>
    <t>Wheaton Precious Metals Corp</t>
  </si>
  <si>
    <t>Idexx Laboratories Inc</t>
  </si>
  <si>
    <t>Nintendo Ltd</t>
  </si>
  <si>
    <t>Holcim Ltd Ag</t>
  </si>
  <si>
    <t>Diageo Plc</t>
  </si>
  <si>
    <t>Chipotle Mexican Grill Inc</t>
  </si>
  <si>
    <t>Westinghouse Air Brake Technologie</t>
  </si>
  <si>
    <t>Autodesk Inc</t>
  </si>
  <si>
    <t>Haleon Plc</t>
  </si>
  <si>
    <t>Flex Ltd</t>
  </si>
  <si>
    <t>Humana Inc</t>
  </si>
  <si>
    <t>Daikin Industries Ltd</t>
  </si>
  <si>
    <t>Ventas Reit Inc</t>
  </si>
  <si>
    <t>Old Dominion Freight Line Inc</t>
  </si>
  <si>
    <t>Rio Tinto Ltd</t>
  </si>
  <si>
    <t>Block Inc</t>
  </si>
  <si>
    <t>Take Two Interactive Software Inc</t>
  </si>
  <si>
    <t>Waste Connections Inc</t>
  </si>
  <si>
    <t>Fujikura Ltd</t>
  </si>
  <si>
    <t>Sun Life Financial Inc</t>
  </si>
  <si>
    <t>Sea Ads Representing Ltd</t>
  </si>
  <si>
    <t>Cbre Group Inc</t>
  </si>
  <si>
    <t>Reckitt Benckiser Group Plc</t>
  </si>
  <si>
    <t>Microchip Technology Inc</t>
  </si>
  <si>
    <t>Astera Labs Inc</t>
  </si>
  <si>
    <t>Sumitomo Electric Industries Ltd</t>
  </si>
  <si>
    <t>Daiichi Life Group Inc</t>
  </si>
  <si>
    <t>Sysco Corp</t>
  </si>
  <si>
    <t>Garmin Ltd</t>
  </si>
  <si>
    <t>Hartford Insurance Group Inc</t>
  </si>
  <si>
    <t>Assicurazioni Generali</t>
  </si>
  <si>
    <t>United Airlines Holdings Inc</t>
  </si>
  <si>
    <t>Agc Inc</t>
  </si>
  <si>
    <t>Renault Sa</t>
  </si>
  <si>
    <t>Dsm Firmenich Ag</t>
  </si>
  <si>
    <t>Incyte Corp</t>
  </si>
  <si>
    <t>Fedex Freight Holding Company Inc</t>
  </si>
  <si>
    <t>Mid America Apartment Communities</t>
  </si>
  <si>
    <t>Santos Ltd</t>
  </si>
  <si>
    <t>Shionogi Ltd</t>
  </si>
  <si>
    <t>Telecom Italia</t>
  </si>
  <si>
    <t>Aptiv Plc</t>
  </si>
  <si>
    <t>Mitsubishi Chemical Group Corp</t>
  </si>
  <si>
    <t>Eiffage Sa</t>
  </si>
  <si>
    <t>International Airlines Group Sa</t>
  </si>
  <si>
    <t>Porsche Automobil Holding Pref</t>
  </si>
  <si>
    <t>Fidelity National Information Serv</t>
  </si>
  <si>
    <t>Keycorp</t>
  </si>
  <si>
    <t>Banco Bpm</t>
  </si>
  <si>
    <t>Bank Of Ireland Group Plc</t>
  </si>
  <si>
    <t>Banco De Sabadell</t>
  </si>
  <si>
    <t>South32 Ltd</t>
  </si>
  <si>
    <t>Obayashi Corp</t>
  </si>
  <si>
    <t>Keppel Ltd</t>
  </si>
  <si>
    <t>A P Moller Maersk</t>
  </si>
  <si>
    <t>Fresenius Medical Care Ag</t>
  </si>
  <si>
    <t>Associated British Foods Plc</t>
  </si>
  <si>
    <t>Henkel Ag</t>
  </si>
  <si>
    <t>Dai Nippon Printing Ltd</t>
  </si>
  <si>
    <t>Sainsbury(J) Plc</t>
  </si>
  <si>
    <t>Isuzu Motors Ltd</t>
  </si>
  <si>
    <t>Alstom Sa</t>
  </si>
  <si>
    <t>Nissan Motor Ltd</t>
  </si>
  <si>
    <t>Expand Energy Corp</t>
  </si>
  <si>
    <t>Svenska Handelsbanken-A Shs</t>
  </si>
  <si>
    <t>Cdw Corp</t>
  </si>
  <si>
    <t>Essity</t>
  </si>
  <si>
    <t>First Citizens Bancshares Inc Clas</t>
  </si>
  <si>
    <t>Coeur Mining Inc</t>
  </si>
  <si>
    <t>Edp Energias De Portugal Sa</t>
  </si>
  <si>
    <t>Aegon Ltd</t>
  </si>
  <si>
    <t>Lyondellbasell Industries</t>
  </si>
  <si>
    <t>Legrand Sa</t>
  </si>
  <si>
    <t>Goodman Group Units</t>
  </si>
  <si>
    <t>Sandvik</t>
  </si>
  <si>
    <t>Prysmian</t>
  </si>
  <si>
    <t>Agilent Technologies Inc</t>
  </si>
  <si>
    <t>Consolidated Edison Inc</t>
  </si>
  <si>
    <t>Disco Corp</t>
  </si>
  <si>
    <t>Franco Nevada Corp</t>
  </si>
  <si>
    <t>Prudential Plc</t>
  </si>
  <si>
    <t>Interactive Brokers Group Inc Clas</t>
  </si>
  <si>
    <t>Public Service Enterprise Group In</t>
  </si>
  <si>
    <t>Occidental Petroleum Corp</t>
  </si>
  <si>
    <t>Givaudan Sa</t>
  </si>
  <si>
    <t>Cenovus Energy</t>
  </si>
  <si>
    <t>Fanuc Corp</t>
  </si>
  <si>
    <t>Softbank Corp</t>
  </si>
  <si>
    <t>Iqvia Holdings Inc</t>
  </si>
  <si>
    <t>Cameco Corp</t>
  </si>
  <si>
    <t>Alnylam Pharmaceuticals Inc</t>
  </si>
  <si>
    <t>Galderma Group N Ag</t>
  </si>
  <si>
    <t>Ucb Sa</t>
  </si>
  <si>
    <t>Vulcan Materials</t>
  </si>
  <si>
    <t>Kroger</t>
  </si>
  <si>
    <t>Paychex Inc</t>
  </si>
  <si>
    <t>Intact Financial Corp</t>
  </si>
  <si>
    <t>Steel Dynamics Inc</t>
  </si>
  <si>
    <t>Expedia Group Inc</t>
  </si>
  <si>
    <t>Alcon Ag</t>
  </si>
  <si>
    <t>On Semiconductor Corp</t>
  </si>
  <si>
    <t>Nebius Nv</t>
  </si>
  <si>
    <t>Coinbase Global Inc</t>
  </si>
  <si>
    <t>Waters Corp</t>
  </si>
  <si>
    <t>Northern Trust Corp</t>
  </si>
  <si>
    <t>Rocket Lab Corp</t>
  </si>
  <si>
    <t>Kenvue Inc</t>
  </si>
  <si>
    <t>Arch Capital Group Ltd</t>
  </si>
  <si>
    <t>Martin Marietta Materials Inc</t>
  </si>
  <si>
    <t>Iron Mountain Inc</t>
  </si>
  <si>
    <t>Kimberly Clark Corp</t>
  </si>
  <si>
    <t>Adidas N Ag</t>
  </si>
  <si>
    <t>Dollarama Inc</t>
  </si>
  <si>
    <t>Carnival Corp Ltd</t>
  </si>
  <si>
    <t>Wec Energy Group Inc</t>
  </si>
  <si>
    <t>Celestica Inc</t>
  </si>
  <si>
    <t>Emcor Group Inc</t>
  </si>
  <si>
    <t>Ferrovial Nv</t>
  </si>
  <si>
    <t>Zoetis Inc</t>
  </si>
  <si>
    <t>Crown Castle Inc</t>
  </si>
  <si>
    <t>Skandinaviska Enskilda Banken</t>
  </si>
  <si>
    <t>Natera Inc</t>
  </si>
  <si>
    <t>Assa Abloy B</t>
  </si>
  <si>
    <t>Ingersoll Rand Inc</t>
  </si>
  <si>
    <t>Swiss Life Holding Ag</t>
  </si>
  <si>
    <t>Credo Technology Group Holding Ltd</t>
  </si>
  <si>
    <t>Ameren Corp</t>
  </si>
  <si>
    <t>Heico Corp</t>
  </si>
  <si>
    <t>Taisei Corp</t>
  </si>
  <si>
    <t>Sumitomo Metal Mining Ltd</t>
  </si>
  <si>
    <t>Rexel Sa</t>
  </si>
  <si>
    <t>Hankyu Hanshin Holdings Inc</t>
  </si>
  <si>
    <t>Skf B</t>
  </si>
  <si>
    <t>Singapore Airlines Ltd</t>
  </si>
  <si>
    <t>Continental Ag</t>
  </si>
  <si>
    <t>West Japan Railway</t>
  </si>
  <si>
    <t>Yangzijiang Shipbuilding (Holdings</t>
  </si>
  <si>
    <t>Jfe Holdings Inc</t>
  </si>
  <si>
    <t>Wilmar International Ltd</t>
  </si>
  <si>
    <t>Sino Land Ltd</t>
  </si>
  <si>
    <t>Pinnacle Financial Partners Inc</t>
  </si>
  <si>
    <t>Cooper Inc</t>
  </si>
  <si>
    <t>Dassault Systemes</t>
  </si>
  <si>
    <t>Osaka Gas Ltd</t>
  </si>
  <si>
    <t>Minebea Mitsumi Inc</t>
  </si>
  <si>
    <t>Toray Industries Inc</t>
  </si>
  <si>
    <t>Toppan Holdings Inc</t>
  </si>
  <si>
    <t>Mtr Corporation Corp Ltd</t>
  </si>
  <si>
    <t>Skanska B</t>
  </si>
  <si>
    <t>Yamaha Motor Ltd</t>
  </si>
  <si>
    <t>Securitas B</t>
  </si>
  <si>
    <t>Aisin Corp</t>
  </si>
  <si>
    <t>Kawasaki Kisen Ltd</t>
  </si>
  <si>
    <t>Daito Trust Construction Ltd</t>
  </si>
  <si>
    <t>Yokogawa Electric Corp</t>
  </si>
  <si>
    <t>Daiwa Securities Group Inc</t>
  </si>
  <si>
    <t>Arc Resources Ltd</t>
  </si>
  <si>
    <t>Siemens Healthineers Ag</t>
  </si>
  <si>
    <t>Ryanair Holdings Plc</t>
  </si>
  <si>
    <t>Norsk Hydro</t>
  </si>
  <si>
    <t>Tokyo Gas Ltd</t>
  </si>
  <si>
    <t>Israel Discount Bank Ltd</t>
  </si>
  <si>
    <t>Fuji Electric Ltd</t>
  </si>
  <si>
    <t>Cnh Industrial N.V. Nv</t>
  </si>
  <si>
    <t>Yara International</t>
  </si>
  <si>
    <t>Omv Ag</t>
  </si>
  <si>
    <t>Heineken Holding Nv</t>
  </si>
  <si>
    <t>Kingfisher Plc</t>
  </si>
  <si>
    <t>Corebridge Financial Inc</t>
  </si>
  <si>
    <t>Ly Corp</t>
  </si>
  <si>
    <t>Makita Corp</t>
  </si>
  <si>
    <t>Qantas Airways Ltd</t>
  </si>
  <si>
    <t>Hulic Ltd</t>
  </si>
  <si>
    <t>Epiroc</t>
  </si>
  <si>
    <t>Kbc Groep</t>
  </si>
  <si>
    <t>Dover Corp</t>
  </si>
  <si>
    <t>Sandoz Group Ag</t>
  </si>
  <si>
    <t>Experian Plc</t>
  </si>
  <si>
    <t>Woolworths Group Ltd</t>
  </si>
  <si>
    <t>Raymond James Inc</t>
  </si>
  <si>
    <t>Transurban Group Stapled Units</t>
  </si>
  <si>
    <t>Eqt Corp</t>
  </si>
  <si>
    <t>Caseys General Stores Inc</t>
  </si>
  <si>
    <t>Fortis Inc</t>
  </si>
  <si>
    <t>Dte Energy</t>
  </si>
  <si>
    <t>Veeva Systems Inc</t>
  </si>
  <si>
    <t>Roblox Corp</t>
  </si>
  <si>
    <t>Sika Ag</t>
  </si>
  <si>
    <t>Extra Space Storage Reit Inc</t>
  </si>
  <si>
    <t>Loblaw Companies Ltd</t>
  </si>
  <si>
    <t>Daiichi Sankyo Ltd</t>
  </si>
  <si>
    <t>Sunbelt Rentals Holdings Inc</t>
  </si>
  <si>
    <t>Chugai Pharmaceutical Ltd</t>
  </si>
  <si>
    <t>Illumina Inc</t>
  </si>
  <si>
    <t>Tapestry Inc</t>
  </si>
  <si>
    <t>Dexcom Inc</t>
  </si>
  <si>
    <t>Otis Worldwide Corp</t>
  </si>
  <si>
    <t>Qnity Electronics Inc</t>
  </si>
  <si>
    <t>Resmed Inc</t>
  </si>
  <si>
    <t>Technipfmc Plc</t>
  </si>
  <si>
    <t>Kinross Gold Corp</t>
  </si>
  <si>
    <t>Ajinomoto Inc</t>
  </si>
  <si>
    <t>Willis Towers Watson Plc</t>
  </si>
  <si>
    <t>Halliburton</t>
  </si>
  <si>
    <t>Verisk Analytics Inc</t>
  </si>
  <si>
    <t>Xylem Inc</t>
  </si>
  <si>
    <t>Pembina Pipeline Corp</t>
  </si>
  <si>
    <t>Vici Pptys Inc</t>
  </si>
  <si>
    <t>Firstenergy Corp</t>
  </si>
  <si>
    <t>Veolia Environ. Sa</t>
  </si>
  <si>
    <t>Live Nation Entertainment Inc</t>
  </si>
  <si>
    <t>Nrg Energy Inc</t>
  </si>
  <si>
    <t>Mongodb Inc</t>
  </si>
  <si>
    <t>Ch Robinson Worldwide Inc</t>
  </si>
  <si>
    <t>Lpl Financial Holdings Inc</t>
  </si>
  <si>
    <t>Cboe Global Markets Inc</t>
  </si>
  <si>
    <t>Dollar General Corp</t>
  </si>
  <si>
    <t>Tower Semiconductor Ltd</t>
  </si>
  <si>
    <t>Avalonbay Communities Reit Inc</t>
  </si>
  <si>
    <t>Vestas Wind Systems</t>
  </si>
  <si>
    <t>Ppg Industries Inc</t>
  </si>
  <si>
    <t>Williams Sonoma Inc</t>
  </si>
  <si>
    <t>Aristocrat Leisure Ltd</t>
  </si>
  <si>
    <t>Aviva Plc</t>
  </si>
  <si>
    <t>Ares Management Corp</t>
  </si>
  <si>
    <t>Amadeus It Group Sa</t>
  </si>
  <si>
    <t>Singapore Telecommunications Ltd</t>
  </si>
  <si>
    <t>West Pharmaceutical Services Inc</t>
  </si>
  <si>
    <t>Atmos Energy Corp</t>
  </si>
  <si>
    <t>Corpay Inc</t>
  </si>
  <si>
    <t>Dollar Tree Inc</t>
  </si>
  <si>
    <t>Techtronic Industries Ltd</t>
  </si>
  <si>
    <t>Curtiss Wright Corp</t>
  </si>
  <si>
    <t>Markel Group Inc</t>
  </si>
  <si>
    <t>Qbe Insurance Group Ltd</t>
  </si>
  <si>
    <t>Revolution Medicines Inc</t>
  </si>
  <si>
    <t>Centerpoint Energy Inc</t>
  </si>
  <si>
    <t>Ibiden Ltd</t>
  </si>
  <si>
    <t>Thales Sa</t>
  </si>
  <si>
    <t>Copart Inc</t>
  </si>
  <si>
    <t>Amrize Ag</t>
  </si>
  <si>
    <t>Cincinnati Financial Corp</t>
  </si>
  <si>
    <t>American Water Works Inc</t>
  </si>
  <si>
    <t>Xpo Inc</t>
  </si>
  <si>
    <t>Sampo</t>
  </si>
  <si>
    <t>Ppl Corp</t>
  </si>
  <si>
    <t>Intercontinental Hotels Group Plc</t>
  </si>
  <si>
    <t>Next Plc</t>
  </si>
  <si>
    <t>Jb Hunt Transport Services Inc</t>
  </si>
  <si>
    <t>Church And Dwight Inc</t>
  </si>
  <si>
    <t>Equity Residential Reit</t>
  </si>
  <si>
    <t>Teck Resources Subordinate Voting</t>
  </si>
  <si>
    <t>Hubbell Inc</t>
  </si>
  <si>
    <t>Coca Cola Europacific Partners Plc</t>
  </si>
  <si>
    <t>Adyen Nv</t>
  </si>
  <si>
    <t>Acs Actividades De Construccion Y</t>
  </si>
  <si>
    <t>Expeditors International Of Washin</t>
  </si>
  <si>
    <t>Smc (Japan) Corp</t>
  </si>
  <si>
    <t>Heineken Nv</t>
  </si>
  <si>
    <t>Hershey Foods</t>
  </si>
  <si>
    <t>Texas Pacific Land Corp</t>
  </si>
  <si>
    <t>Quest Diagnostics Inc</t>
  </si>
  <si>
    <t>Darden Restaurants Inc</t>
  </si>
  <si>
    <t>Aena Sme Sa</t>
  </si>
  <si>
    <t>Verisign Inc</t>
  </si>
  <si>
    <t>Universal Music Group Nv</t>
  </si>
  <si>
    <t>United Therapeutics Corp</t>
  </si>
  <si>
    <t>Veralto Corp</t>
  </si>
  <si>
    <t>T Rowe Price Group Inc</t>
  </si>
  <si>
    <t>Whitecap Resources Inc</t>
  </si>
  <si>
    <t>Check Point Software Technologies</t>
  </si>
  <si>
    <t>Centrica Plc</t>
  </si>
  <si>
    <t>Smith And Nephew Plc</t>
  </si>
  <si>
    <t>Marks And Spencer Group Plc</t>
  </si>
  <si>
    <t>Mowi</t>
  </si>
  <si>
    <t>Endeavour Mining</t>
  </si>
  <si>
    <t>Brenntag</t>
  </si>
  <si>
    <t>Raiffeisen Bank International Ag</t>
  </si>
  <si>
    <t>Canadian Tire Ltd</t>
  </si>
  <si>
    <t>The Swatch Group Ag</t>
  </si>
  <si>
    <t>Stora Enso</t>
  </si>
  <si>
    <t>Swire Pacific Ltd A</t>
  </si>
  <si>
    <t>World Value</t>
  </si>
  <si>
    <t>https://www.ishares.com/ch/individual/en/products/270048/ishares-msci-world-value-factor-ucits-etf</t>
  </si>
  <si>
    <t>Ageas Sa</t>
  </si>
  <si>
    <t>Orsted A/S</t>
  </si>
  <si>
    <t>Sbi Holdings Inc</t>
  </si>
  <si>
    <t>Altagas Ltd</t>
  </si>
  <si>
    <t>Trelleborg B</t>
  </si>
  <si>
    <t>Sonic Healthcare Ltd</t>
  </si>
  <si>
    <t>Idemitsu Kosan Ltd</t>
  </si>
  <si>
    <t>Bce Inc</t>
  </si>
  <si>
    <t>Syensqo Nv</t>
  </si>
  <si>
    <t>Nippon Building Fund Reit Inc</t>
  </si>
  <si>
    <t>Evonik Industries Ag</t>
  </si>
  <si>
    <t>Ayvens Sa</t>
  </si>
  <si>
    <t>Power Assets Holdings Ltd</t>
  </si>
  <si>
    <t>Asr Nederland Nv</t>
  </si>
  <si>
    <t>Unipol Assicurazioni Spa</t>
  </si>
  <si>
    <t>M&amp;G Plc</t>
  </si>
  <si>
    <t>Yokohama Financial Group Inc</t>
  </si>
  <si>
    <t>Aker Bp</t>
  </si>
  <si>
    <t>Qiagen Nv</t>
  </si>
  <si>
    <t>Chiba Bank Ltd</t>
  </si>
  <si>
    <t>Melrose Industries Plc</t>
  </si>
  <si>
    <t>Mitsubishi Hc Capital Inc</t>
  </si>
  <si>
    <t>Industrivarden A</t>
  </si>
  <si>
    <t>Industrivarden Series</t>
  </si>
  <si>
    <t>Equinox Gold Corp</t>
  </si>
  <si>
    <t>Sodexo Sa</t>
  </si>
  <si>
    <t>Ipsen Sa</t>
  </si>
  <si>
    <t>Lasertec Corp</t>
  </si>
  <si>
    <t>Cms Energy Corp</t>
  </si>
  <si>
    <t>Ulta Beauty Inc</t>
  </si>
  <si>
    <t>Burlington Stores Inc</t>
  </si>
  <si>
    <t>Insmed Inc</t>
  </si>
  <si>
    <t>Mtu Aero Engines Holding Ag</t>
  </si>
  <si>
    <t>Constellation Brands Inc</t>
  </si>
  <si>
    <t>Fortive Corp</t>
  </si>
  <si>
    <t>Leonardo Finmeccanica Spa</t>
  </si>
  <si>
    <t>Restaurants Brands International I</t>
  </si>
  <si>
    <t>Elbit Systems Ltd</t>
  </si>
  <si>
    <t>Reliance Steel &amp; Aluminum</t>
  </si>
  <si>
    <t>Legal And General Group Plc</t>
  </si>
  <si>
    <t>Equifax Inc</t>
  </si>
  <si>
    <t>Novozymes B</t>
  </si>
  <si>
    <t>Affirm Holdings Inc</t>
  </si>
  <si>
    <t>Nisource Inc</t>
  </si>
  <si>
    <t>Snap On Inc</t>
  </si>
  <si>
    <t>Mastec Inc</t>
  </si>
  <si>
    <t>Halma Plc</t>
  </si>
  <si>
    <t>Steris</t>
  </si>
  <si>
    <t>Ftai Aviation Ltd</t>
  </si>
  <si>
    <t>Entegris Inc</t>
  </si>
  <si>
    <t>Everpure Inc</t>
  </si>
  <si>
    <t>Imperial Oil Ltd</t>
  </si>
  <si>
    <t>Vat Group Ag</t>
  </si>
  <si>
    <t>Packaging Corp Of America</t>
  </si>
  <si>
    <t>Bombardier Inc</t>
  </si>
  <si>
    <t>Geberit Ag</t>
  </si>
  <si>
    <t>Kering Sa</t>
  </si>
  <si>
    <t>Cf Industries Holdings Inc</t>
  </si>
  <si>
    <t>Alliant Energy Corp</t>
  </si>
  <si>
    <t>Helvetia Baloise Holding N Ag</t>
  </si>
  <si>
    <t>Dow Inc</t>
  </si>
  <si>
    <t>Brown &amp; Brown Inc</t>
  </si>
  <si>
    <t>First Quantum Minerals Ltd</t>
  </si>
  <si>
    <t>Coreweave Inc</t>
  </si>
  <si>
    <t>Julius Baer Gruppe Ag</t>
  </si>
  <si>
    <t>Coles Group Ltd</t>
  </si>
  <si>
    <t>Brookfield Asset Management Voting</t>
  </si>
  <si>
    <t>Loews Corp</t>
  </si>
  <si>
    <t>Rb Global Inc</t>
  </si>
  <si>
    <t>Kone</t>
  </si>
  <si>
    <t>Flutter Entertainment Plc</t>
  </si>
  <si>
    <t>Koninklijke Kpn Nv</t>
  </si>
  <si>
    <t>Be Semiconductor Industries Nv</t>
  </si>
  <si>
    <t>Dupont De Nemours Inc</t>
  </si>
  <si>
    <t>Liberty Media Formula One Series C</t>
  </si>
  <si>
    <t>Sba Communications Reit Corp Class</t>
  </si>
  <si>
    <t>Alfa Laval</t>
  </si>
  <si>
    <t>Reddit Inc</t>
  </si>
  <si>
    <t>Nvr Inc</t>
  </si>
  <si>
    <t>Partners Group Holding Ag</t>
  </si>
  <si>
    <t>Evergy Inc</t>
  </si>
  <si>
    <t>Neurocrine Biosciences Inc</t>
  </si>
  <si>
    <t>Sofi Technologies Inc</t>
  </si>
  <si>
    <t>Genmab</t>
  </si>
  <si>
    <t>Pan American Silver Corp</t>
  </si>
  <si>
    <t>Ball Corp</t>
  </si>
  <si>
    <t>Northern Star Resources Ltd</t>
  </si>
  <si>
    <t>Lennox International Inc</t>
  </si>
  <si>
    <t>Aeon Ltd</t>
  </si>
  <si>
    <t>International Flavors &amp; Fragrances</t>
  </si>
  <si>
    <t>Kao Corp</t>
  </si>
  <si>
    <t>Estee Lauder Inc</t>
  </si>
  <si>
    <t>Vonovia Se</t>
  </si>
  <si>
    <t>Asics Corp</t>
  </si>
  <si>
    <t>Sgs Sa</t>
  </si>
  <si>
    <t>Finecobank Banca Fineco</t>
  </si>
  <si>
    <t>Hexagon</t>
  </si>
  <si>
    <t>Invitation Homes Inc</t>
  </si>
  <si>
    <t>Swisscom Ag</t>
  </si>
  <si>
    <t>Masco Corp</t>
  </si>
  <si>
    <t>Essex Property Trust Reit Inc</t>
  </si>
  <si>
    <t>Terumo Corp</t>
  </si>
  <si>
    <t>Clp Holdings Ltd</t>
  </si>
  <si>
    <t>Coca Cola Hbc Ag</t>
  </si>
  <si>
    <t>Genuine Parts</t>
  </si>
  <si>
    <t>Weyerhaeuser Reit</t>
  </si>
  <si>
    <t>Carlisle Companies Inc</t>
  </si>
  <si>
    <t>Brambles Ltd</t>
  </si>
  <si>
    <t>Secom Ltd</t>
  </si>
  <si>
    <t>Wsp Global Inc</t>
  </si>
  <si>
    <t>Tourmaline Oil Corp</t>
  </si>
  <si>
    <t>Antofagasta Plc</t>
  </si>
  <si>
    <t>Ihi Corp</t>
  </si>
  <si>
    <t>Poste Italiane</t>
  </si>
  <si>
    <t>Oriental Land Ltd</t>
  </si>
  <si>
    <t>Fabrinet</t>
  </si>
  <si>
    <t>Jacobs Solutions Inc</t>
  </si>
  <si>
    <t>Wartsila</t>
  </si>
  <si>
    <t>Best Buy Inc</t>
  </si>
  <si>
    <t>Thomson Reuters Corp</t>
  </si>
  <si>
    <t>Ebara Corp</t>
  </si>
  <si>
    <t>Wolters Kluwer Nv</t>
  </si>
  <si>
    <t>Broadridge Financial Solutions Inc</t>
  </si>
  <si>
    <t>Regency Centers Reit Corp</t>
  </si>
  <si>
    <t>Hannover Rueck</t>
  </si>
  <si>
    <t>Resonac Holdings</t>
  </si>
  <si>
    <t>Deckers Outdoor Corp</t>
  </si>
  <si>
    <t>Metro Inc</t>
  </si>
  <si>
    <t>Saab</t>
  </si>
  <si>
    <t>Kimco Realty Reit Corp</t>
  </si>
  <si>
    <t>Idex Corp</t>
  </si>
  <si>
    <t>Great West Lifeco Inc</t>
  </si>
  <si>
    <t>Transunion</t>
  </si>
  <si>
    <t>Ptc Inc</t>
  </si>
  <si>
    <t>Scentre Group</t>
  </si>
  <si>
    <t>George Weston Ltd</t>
  </si>
  <si>
    <t>Emera Inc</t>
  </si>
  <si>
    <t>Sumitomo Realty &amp; Development Ltd</t>
  </si>
  <si>
    <t>Nordson Corp</t>
  </si>
  <si>
    <t>Fisher And Paykel Healthcare Corpo</t>
  </si>
  <si>
    <t>Unibail Rodamco We Stapled Units</t>
  </si>
  <si>
    <t>Medline Inc</t>
  </si>
  <si>
    <t>Tractor Supply</t>
  </si>
  <si>
    <t>Bandai Namco Holdings Inc</t>
  </si>
  <si>
    <t>Bawag Group Ag</t>
  </si>
  <si>
    <t>Evolution Mining Ltd</t>
  </si>
  <si>
    <t>Wr Berkley Corp</t>
  </si>
  <si>
    <t>Zscaler Inc</t>
  </si>
  <si>
    <t>Singapore Technologies Engineering</t>
  </si>
  <si>
    <t>Neste</t>
  </si>
  <si>
    <t>Kerry Group Plc</t>
  </si>
  <si>
    <t>Suncorp Group Ltd</t>
  </si>
  <si>
    <t>Logitech International Sa</t>
  </si>
  <si>
    <t>Eqt</t>
  </si>
  <si>
    <t>T&amp;D Holdings Inc</t>
  </si>
  <si>
    <t>Cellnex Telecom</t>
  </si>
  <si>
    <t>Upm-Kymmene</t>
  </si>
  <si>
    <t>Daifuku Ltd</t>
  </si>
  <si>
    <t>Leidos Holdings Inc</t>
  </si>
  <si>
    <t>Kuehne Und Nagel International Ag</t>
  </si>
  <si>
    <t>Terna Rete Elettrica Nazionale</t>
  </si>
  <si>
    <t>Sun Communities Reit Inc</t>
  </si>
  <si>
    <t>Atlassian Corp</t>
  </si>
  <si>
    <t>Origin Energy Ltd</t>
  </si>
  <si>
    <t>Lundin Mining Corp</t>
  </si>
  <si>
    <t>Trimble Inc</t>
  </si>
  <si>
    <t>Swiss Prime Site Ag</t>
  </si>
  <si>
    <t>Rollins Inc</t>
  </si>
  <si>
    <t>Furukawa Electric Ltd</t>
  </si>
  <si>
    <t>Las Vegas Sands Corp</t>
  </si>
  <si>
    <t>Segro Reit Plc</t>
  </si>
  <si>
    <t>Rentokil Initial Plc</t>
  </si>
  <si>
    <t>Computershare Ltd</t>
  </si>
  <si>
    <t>Link Real Estate Investment Trust</t>
  </si>
  <si>
    <t>Samsara Inc</t>
  </si>
  <si>
    <t>United Utilities Group Plc</t>
  </si>
  <si>
    <t>Japan Exchange Group Inc</t>
  </si>
  <si>
    <t>Chocoladefabriken Lindt &amp; Spruengl</t>
  </si>
  <si>
    <t>Sitc International Holdings Ltd</t>
  </si>
  <si>
    <t>Exor Nv</t>
  </si>
  <si>
    <t>Kyowa Kirin Ltd</t>
  </si>
  <si>
    <t>Nippon Paint Holdings Ltd</t>
  </si>
  <si>
    <t>Svenska Cellulosa B</t>
  </si>
  <si>
    <t>Empire Ltd</t>
  </si>
  <si>
    <t>Ana Holdings Inc</t>
  </si>
  <si>
    <t>Groupe Bruxelles Lambert Nv</t>
  </si>
  <si>
    <t>Amundi Sa</t>
  </si>
  <si>
    <t>Cheung Kong Infrastructure Holding</t>
  </si>
  <si>
    <t>Wharf Real Estate Investment Compa</t>
  </si>
  <si>
    <t>Japan Post Insurance Ltd</t>
  </si>
  <si>
    <t>Suntory Beverage &amp; Food Ltd</t>
  </si>
  <si>
    <t>Insurance Australia Group Ltd</t>
  </si>
  <si>
    <t>Rpm International Inc</t>
  </si>
  <si>
    <t>Rocket Companies Inc</t>
  </si>
  <si>
    <t>Straumann Holding Ag</t>
  </si>
  <si>
    <t>Ryohin Keikaku Ltd</t>
  </si>
  <si>
    <t>Nova Ltd</t>
  </si>
  <si>
    <t>Toast Inc</t>
  </si>
  <si>
    <t>Avery Dennison Corp</t>
  </si>
  <si>
    <t>Sharkninja Inc</t>
  </si>
  <si>
    <t>Tyler Technologies Inc</t>
  </si>
  <si>
    <t>Fidelity National Financial Inc</t>
  </si>
  <si>
    <t>Lululemon Athletica Inc</t>
  </si>
  <si>
    <t>Jx Advanced Metals Corp</t>
  </si>
  <si>
    <t>Telstra Group Ltd</t>
  </si>
  <si>
    <t>Mccormick &amp; Co Non-Voting Inc</t>
  </si>
  <si>
    <t>Snam</t>
  </si>
  <si>
    <t>Symrise Ag</t>
  </si>
  <si>
    <t>Dicks Sporting Inc</t>
  </si>
  <si>
    <t>Bunzl</t>
  </si>
  <si>
    <t>Enlight Renewable Energy Ltd</t>
  </si>
  <si>
    <t>Echostar Corp</t>
  </si>
  <si>
    <t>Moncler</t>
  </si>
  <si>
    <t>Endesa Sa</t>
  </si>
  <si>
    <t>Metso Corporation</t>
  </si>
  <si>
    <t>Hydro One Ltd</t>
  </si>
  <si>
    <t>Graco Inc</t>
  </si>
  <si>
    <t>Apa Group Units</t>
  </si>
  <si>
    <t>Toromont Industries Ltd</t>
  </si>
  <si>
    <t>Ast Spacemobile Inc</t>
  </si>
  <si>
    <t>Nitto Denko Corp</t>
  </si>
  <si>
    <t>Watsco Inc</t>
  </si>
  <si>
    <t>Nomura Research Institute Ltd</t>
  </si>
  <si>
    <t>Smiths Group Plc</t>
  </si>
  <si>
    <t>Kawasaki Heavy Industries Ltd</t>
  </si>
  <si>
    <t>Schindler Holding Par Ag</t>
  </si>
  <si>
    <t>Kingspan Group Plc</t>
  </si>
  <si>
    <t>Tfi International Inc</t>
  </si>
  <si>
    <t>Phoenix Financial Ltd</t>
  </si>
  <si>
    <t>Carlsberg As Cl B</t>
  </si>
  <si>
    <t>Pandora</t>
  </si>
  <si>
    <t>Clorox</t>
  </si>
  <si>
    <t>Costar Group Inc</t>
  </si>
  <si>
    <t>Admiral Group Plc</t>
  </si>
  <si>
    <t>Sonova Holding Ag</t>
  </si>
  <si>
    <t>Bankinter Sa</t>
  </si>
  <si>
    <t>Alamos Gold Inc</t>
  </si>
  <si>
    <t>Pentair</t>
  </si>
  <si>
    <t>Allegion Plc</t>
  </si>
  <si>
    <t>Tenaris Sa</t>
  </si>
  <si>
    <t>Ia Financial Inc</t>
  </si>
  <si>
    <t>Pearson Plc</t>
  </si>
  <si>
    <t>Gfl Environmental Subordinate Voti</t>
  </si>
  <si>
    <t>Kongsberg Gruppen</t>
  </si>
  <si>
    <t>Gea Group Ag</t>
  </si>
  <si>
    <t>Iren Ltd</t>
  </si>
  <si>
    <t>Olympus Corp</t>
  </si>
  <si>
    <t>Euronext Nv</t>
  </si>
  <si>
    <t>Singapore Exchange Ltd</t>
  </si>
  <si>
    <t>Gaming And Leisure Properties Reit</t>
  </si>
  <si>
    <t>Severn Trent Plc</t>
  </si>
  <si>
    <t>Dominos Pizza Inc</t>
  </si>
  <si>
    <t>Galp Energia Sgps Sa</t>
  </si>
  <si>
    <t>Mitsui Kinzoku Limited Ltd</t>
  </si>
  <si>
    <t>Telia Company</t>
  </si>
  <si>
    <t>Tele2 B</t>
  </si>
  <si>
    <t>Carlyle Group Inc</t>
  </si>
  <si>
    <t>Rivian Automotive Inc</t>
  </si>
  <si>
    <t>Bureau Veritas Sa</t>
  </si>
  <si>
    <t>Pan Pacific International Holdings</t>
  </si>
  <si>
    <t>Tradeweb Markets Inc</t>
  </si>
  <si>
    <t>Akzo Nobel Nv</t>
  </si>
  <si>
    <t>Insulet Corp</t>
  </si>
  <si>
    <t>The Lottery Corporation Ltd</t>
  </si>
  <si>
    <t>Hennes &amp; Mauritz</t>
  </si>
  <si>
    <t>Atkinsrealis Group Inc</t>
  </si>
  <si>
    <t>Ionq Inc</t>
  </si>
  <si>
    <t>The Sage Group Plc</t>
  </si>
  <si>
    <t>Fortum</t>
  </si>
  <si>
    <t>Lynas Rare Earths Ltd</t>
  </si>
  <si>
    <t>News Corp</t>
  </si>
  <si>
    <t>Intertek Group Plc</t>
  </si>
  <si>
    <t>Evolution</t>
  </si>
  <si>
    <t>Gildan Activewear Inc</t>
  </si>
  <si>
    <t>Pls Group Ltd</t>
  </si>
  <si>
    <t>Eurofins Scientific</t>
  </si>
  <si>
    <t>Konami Group Corp</t>
  </si>
  <si>
    <t>Banco Comercial Portugues Sa</t>
  </si>
  <si>
    <t>Grab Holdings Ltd</t>
  </si>
  <si>
    <t>Capitaland Integrated Commercial T</t>
  </si>
  <si>
    <t>Belimo N Ag</t>
  </si>
  <si>
    <t>Lifco</t>
  </si>
  <si>
    <t>Keyera Corp</t>
  </si>
  <si>
    <t>Sigma Healthcare Ltd</t>
  </si>
  <si>
    <t>Tmx Group Ltd</t>
  </si>
  <si>
    <t>Addtech</t>
  </si>
  <si>
    <t>Magnum Ice Cream Nv</t>
  </si>
  <si>
    <t>Mizrahi Tefahot Bank Ltd</t>
  </si>
  <si>
    <t>Circle Internet Group Inc</t>
  </si>
  <si>
    <t>Millicom International Cellular Sa</t>
  </si>
  <si>
    <t>Accor Sa</t>
  </si>
  <si>
    <t>Naturgy Energy Group Sa</t>
  </si>
  <si>
    <t>Hyatt Hotels Corp</t>
  </si>
  <si>
    <t>Klepierre Reit Sa</t>
  </si>
  <si>
    <t>Obic Ltd</t>
  </si>
  <si>
    <t>Ems-Chemie Holding Ag</t>
  </si>
  <si>
    <t>Beiersdorf Ag</t>
  </si>
  <si>
    <t>Swedish Orphan Biovitrum</t>
  </si>
  <si>
    <t>Telenor</t>
  </si>
  <si>
    <t>Medibank Private Ltd</t>
  </si>
  <si>
    <t>Eisai Ltd</t>
  </si>
  <si>
    <t>Ccl Industries Inc</t>
  </si>
  <si>
    <t>Hochtief Ag</t>
  </si>
  <si>
    <t>Hong Kong And China Gas Ltd</t>
  </si>
  <si>
    <t>Element Fleet Management Corp</t>
  </si>
  <si>
    <t>Shiseido Ltd</t>
  </si>
  <si>
    <t>Sgh Ltd</t>
  </si>
  <si>
    <t>Infratil Ltd</t>
  </si>
  <si>
    <t>Tryg</t>
  </si>
  <si>
    <t>Knorr Bremse Ag</t>
  </si>
  <si>
    <t>Shimizu Corp</t>
  </si>
  <si>
    <t>Kikkoman Corp</t>
  </si>
  <si>
    <t>Talanx Ag</t>
  </si>
  <si>
    <t>Capcom Ltd</t>
  </si>
  <si>
    <t>Pro Medicus Ltd</t>
  </si>
  <si>
    <t>Unicharm Corp</t>
  </si>
  <si>
    <t>Coloplast B</t>
  </si>
  <si>
    <t>Elia Group Sa</t>
  </si>
  <si>
    <t>Wise Plc</t>
  </si>
  <si>
    <t>Stantec Inc</t>
  </si>
  <si>
    <t>Xero Ltd</t>
  </si>
  <si>
    <t>Rakuten Group Inc</t>
  </si>
  <si>
    <t>Getlink</t>
  </si>
  <si>
    <t>Fresnillo Plc</t>
  </si>
  <si>
    <t>Zalando</t>
  </si>
  <si>
    <t>Washington H Soul Pattinson &amp; Comp</t>
  </si>
  <si>
    <t>Orion</t>
  </si>
  <si>
    <t>Italgas</t>
  </si>
  <si>
    <t>Rea Group Ltd</t>
  </si>
  <si>
    <t>Hongkong Land Holdings Ltd</t>
  </si>
  <si>
    <t>Shimano Inc</t>
  </si>
  <si>
    <t>Orkla</t>
  </si>
  <si>
    <t>Indutrade</t>
  </si>
  <si>
    <t>Descartes Systems Group Inc</t>
  </si>
  <si>
    <t>Capitaland Ascendas Reit</t>
  </si>
  <si>
    <t>Sartorius Pref Ag</t>
  </si>
  <si>
    <t>Acciona Sa</t>
  </si>
  <si>
    <t>Delivery Hero</t>
  </si>
  <si>
    <t>Hkt Trust And Hkt Units Ltd</t>
  </si>
  <si>
    <t>Galaxy Entertainment Group Ltd</t>
  </si>
  <si>
    <t>Standard Life Plc</t>
  </si>
  <si>
    <t>Asx Ltd</t>
  </si>
  <si>
    <t>Firstservice Subordinate Voting Co</t>
  </si>
  <si>
    <t>Car Group Ltd</t>
  </si>
  <si>
    <t>Nitori Holdings Ltd</t>
  </si>
  <si>
    <t>Dassault Aviation Sa</t>
  </si>
  <si>
    <t>Sanrio Ltd</t>
  </si>
  <si>
    <t>Saputo Inc</t>
  </si>
  <si>
    <t>Nexon Ltd</t>
  </si>
  <si>
    <t>Erie Indemnity</t>
  </si>
  <si>
    <t>Futu Holdings Adr Ltd</t>
  </si>
  <si>
    <t>Cae Inc</t>
  </si>
  <si>
    <t>Stockland Stapled Units Ltd</t>
  </si>
  <si>
    <t>Henderson Land Development Ltd</t>
  </si>
  <si>
    <t>Land Securities Group Reit Plc</t>
  </si>
  <si>
    <t>Gjensidige Forsikring</t>
  </si>
  <si>
    <t>Cochlear Ltd</t>
  </si>
  <si>
    <t>Avolta Ag</t>
  </si>
  <si>
    <t>Lundin Gold Inc</t>
  </si>
  <si>
    <t>Auckland International Airport Ltd</t>
  </si>
  <si>
    <t>Banca Mediolanum</t>
  </si>
  <si>
    <t>Schindler Holding Ag</t>
  </si>
  <si>
    <t>Vicinity Centres</t>
  </si>
  <si>
    <t>Spirax Group Plc</t>
  </si>
  <si>
    <t>Kesko</t>
  </si>
  <si>
    <t>Wisetech Global Ltd</t>
  </si>
  <si>
    <t>Barry Callebaut Ag</t>
  </si>
  <si>
    <t>Igm Financial Inc</t>
  </si>
  <si>
    <t>Recordati Industria Chimica E Farm</t>
  </si>
  <si>
    <t>Dr Ing Hc F Porsche Prf Ag</t>
  </si>
  <si>
    <t>Jeronimo Martins Sa</t>
  </si>
  <si>
    <t>Scout24 N</t>
  </si>
  <si>
    <t>Canadian Utilities Ltd</t>
  </si>
  <si>
    <t>Verbund Ag</t>
  </si>
  <si>
    <t>Sartorius Stedim Biotech Sa</t>
  </si>
  <si>
    <t>Hensoldt Ag</t>
  </si>
  <si>
    <t>Elisa</t>
  </si>
  <si>
    <t>Schroders Plc</t>
  </si>
  <si>
    <t>Capitaland Investment Ltd</t>
  </si>
  <si>
    <t>Beijer Ref</t>
  </si>
  <si>
    <t>Financiere De Tubize Sa</t>
  </si>
  <si>
    <t>Nibe Industrier</t>
  </si>
  <si>
    <t>Nippon Sanso Holdings Corp</t>
  </si>
  <si>
    <t>Azrieli Group Ltd</t>
  </si>
  <si>
    <t>Mapfre Sa</t>
  </si>
  <si>
    <t>Dieteren (D) Sa</t>
  </si>
  <si>
    <t>Seibu Holdings Inc</t>
  </si>
  <si>
    <t>Hikari Tsushin Inc</t>
  </si>
  <si>
    <t>Buzzi</t>
  </si>
  <si>
    <t>Bollore</t>
  </si>
  <si>
    <t>Sembcorp Industries Ltd</t>
  </si>
  <si>
    <t>Icl Group Ltd</t>
  </si>
  <si>
    <t>Lundbergforetagen</t>
  </si>
  <si>
    <t>Sofina Sa</t>
  </si>
  <si>
    <t>Rockwool</t>
  </si>
  <si>
    <t>Otsuka Corp</t>
  </si>
  <si>
    <t>Verisure Plc</t>
  </si>
  <si>
    <t>Demant</t>
  </si>
  <si>
    <t>Edp Renewables Sa</t>
  </si>
  <si>
    <t>Indra Sistemas Sa</t>
  </si>
  <si>
    <t>Toho (Tokyo) Ltd</t>
  </si>
  <si>
    <t>Var Energi</t>
  </si>
  <si>
    <t>Telus</t>
  </si>
  <si>
    <t>Sagax</t>
  </si>
  <si>
    <t>Contact Energy Ltd</t>
  </si>
  <si>
    <t>Airtel Africa Plc</t>
  </si>
  <si>
    <t>Ivanhoe Mines Ltd</t>
  </si>
  <si>
    <t>Cts Eventim Ag</t>
  </si>
  <si>
    <t>Bc Vaud N</t>
  </si>
  <si>
    <t>Octave Intelligence Sdr Plc</t>
  </si>
  <si>
    <t>Covivio Sa</t>
  </si>
  <si>
    <t>Cvc Capital Partners Plc</t>
  </si>
  <si>
    <t>Inpost Sa</t>
  </si>
  <si>
    <t>Sands China Ltd</t>
  </si>
  <si>
    <t>Davide Campari Milano Nv</t>
  </si>
  <si>
    <t>Zensho Holdings Ltd</t>
  </si>
  <si>
    <t>Meridian Energy Ltd</t>
  </si>
  <si>
    <t>Brookfield Renewable Subordinate V</t>
  </si>
  <si>
    <t>Rational Ag</t>
  </si>
  <si>
    <t>Lotus Bakeries Nv</t>
  </si>
  <si>
    <t>Gecina Sa</t>
  </si>
  <si>
    <t>Csg Class A Nv</t>
  </si>
  <si>
    <t>Bkw N Ag</t>
  </si>
  <si>
    <t>Biomerieux Sa</t>
  </si>
  <si>
    <t>Iberdrola S A Rights Sa</t>
  </si>
  <si>
    <t>Latour Investment</t>
  </si>
  <si>
    <t>Aeroports De Paris Sa</t>
  </si>
  <si>
    <t>Fastighets Balder</t>
  </si>
  <si>
    <t>Salmar</t>
  </si>
  <si>
    <t>Cyberark Software Contra</t>
  </si>
  <si>
    <t>Redeia Corporacion Sa</t>
  </si>
  <si>
    <t>Hologic Inc</t>
  </si>
  <si>
    <t>Quelle</t>
  </si>
  <si>
    <t>Holdings-Stichtag</t>
  </si>
  <si>
    <t>Ticker</t>
  </si>
  <si>
    <t>Wertpapiername Original</t>
  </si>
  <si>
    <t>Unternehmen konsolidiert</t>
  </si>
  <si>
    <t>Asset Class</t>
  </si>
  <si>
    <t>Gewicht im Instrument (%)</t>
  </si>
  <si>
    <t>Anteil am Depot (€)</t>
  </si>
  <si>
    <t>Offizielle Quelle</t>
  </si>
  <si>
    <t>Direktbestand</t>
  </si>
  <si>
    <t>17.07.2026</t>
  </si>
  <si>
    <t>Equity</t>
  </si>
  <si>
    <t>Nutzerangaben im Chat</t>
  </si>
  <si>
    <t>Alphabet C (Google)</t>
  </si>
  <si>
    <t>Berkshire Hathaway B</t>
  </si>
  <si>
    <t>Eli Lilly and Company</t>
  </si>
  <si>
    <t>TSMC Taiwan Semiconductor (ADR)</t>
  </si>
  <si>
    <t>16.07.2026</t>
  </si>
  <si>
    <t>ABT</t>
  </si>
  <si>
    <t>ABBOTT LABORATORIES</t>
  </si>
  <si>
    <t>ABBV</t>
  </si>
  <si>
    <t>ABBVIE INC</t>
  </si>
  <si>
    <t>ACN</t>
  </si>
  <si>
    <t>ACCENTURE PLC CLASS A</t>
  </si>
  <si>
    <t>GOOGL</t>
  </si>
  <si>
    <t>ALPHABET INC CLASS A</t>
  </si>
  <si>
    <t>GOOG</t>
  </si>
  <si>
    <t>ALPHABET INC CLASS C</t>
  </si>
  <si>
    <t>AMZN</t>
  </si>
  <si>
    <t>AMAZON.COM INC</t>
  </si>
  <si>
    <t>AAPL</t>
  </si>
  <si>
    <t>APPLE INC</t>
  </si>
  <si>
    <t>ASML HOLDING NV</t>
  </si>
  <si>
    <t>AZN</t>
  </si>
  <si>
    <t>ASTRAZENECA PLC</t>
  </si>
  <si>
    <t>AVGO</t>
  </si>
  <si>
    <t>BROADCOM INC</t>
  </si>
  <si>
    <t>CAT</t>
  </si>
  <si>
    <t>CATERPILLAR INC</t>
  </si>
  <si>
    <t>CVX</t>
  </si>
  <si>
    <t>CHEVRON CORP</t>
  </si>
  <si>
    <t>CSCO</t>
  </si>
  <si>
    <t>CISCO SYSTEMS INC</t>
  </si>
  <si>
    <t>KO</t>
  </si>
  <si>
    <t>COCA-COLA</t>
  </si>
  <si>
    <t>LLY</t>
  </si>
  <si>
    <t>ELI LILLY</t>
  </si>
  <si>
    <t>XOM</t>
  </si>
  <si>
    <t>EXXONMOBIL HOLDINGS CORP</t>
  </si>
  <si>
    <t>GE</t>
  </si>
  <si>
    <t>GE AEROSPACE</t>
  </si>
  <si>
    <t>GS</t>
  </si>
  <si>
    <t>GOLDMAN SACHS GROUP INC</t>
  </si>
  <si>
    <t>HSBA</t>
  </si>
  <si>
    <t>HSBC HOLDINGS PLC</t>
  </si>
  <si>
    <t>IBM</t>
  </si>
  <si>
    <t>INTERNATIONAL BUSINESS MACHINES CO</t>
  </si>
  <si>
    <t>JNJ</t>
  </si>
  <si>
    <t>JOHNSON &amp; JOHNSON</t>
  </si>
  <si>
    <t>JPM</t>
  </si>
  <si>
    <t>JPMORGAN CHASE &amp; CO</t>
  </si>
  <si>
    <t>LIN</t>
  </si>
  <si>
    <t>LINDE PLC</t>
  </si>
  <si>
    <t>MC</t>
  </si>
  <si>
    <t>MA</t>
  </si>
  <si>
    <t>MASTERCARD INC CLASS A</t>
  </si>
  <si>
    <t>MCD</t>
  </si>
  <si>
    <t>MCDONALDS CORP</t>
  </si>
  <si>
    <t>MRK</t>
  </si>
  <si>
    <t>MERCK &amp; CO INC</t>
  </si>
  <si>
    <t>META</t>
  </si>
  <si>
    <t>META PLATFORMS INC CLASS A</t>
  </si>
  <si>
    <t>MSFT</t>
  </si>
  <si>
    <t>MICROSOFT CORP</t>
  </si>
  <si>
    <t>NESN</t>
  </si>
  <si>
    <t>NESTLE SA</t>
  </si>
  <si>
    <t>NFLX</t>
  </si>
  <si>
    <t>NETFLIX INC</t>
  </si>
  <si>
    <t>NOVN</t>
  </si>
  <si>
    <t>NOVARTIS AG</t>
  </si>
  <si>
    <t>NOVO B</t>
  </si>
  <si>
    <t>NOVO NORDISK CLASS B</t>
  </si>
  <si>
    <t>NVDA</t>
  </si>
  <si>
    <t>NVIDIA CORP</t>
  </si>
  <si>
    <t>ORCL</t>
  </si>
  <si>
    <t>ORACLE CORP</t>
  </si>
  <si>
    <t>PEP</t>
  </si>
  <si>
    <t>PEPSICO INC</t>
  </si>
  <si>
    <t>PFE</t>
  </si>
  <si>
    <t>PFIZER INC</t>
  </si>
  <si>
    <t>PM</t>
  </si>
  <si>
    <t>PHILIP MORRIS INTERNATIONAL INC</t>
  </si>
  <si>
    <t>PG</t>
  </si>
  <si>
    <t>PROCTER &amp; GAMBLE</t>
  </si>
  <si>
    <t>RO</t>
  </si>
  <si>
    <t>ROCHE HOLDING AG</t>
  </si>
  <si>
    <t>ROP</t>
  </si>
  <si>
    <t>ROCHE PS PAR AG</t>
  </si>
  <si>
    <t>RY</t>
  </si>
  <si>
    <t>ROYAL BANK OF CANADA</t>
  </si>
  <si>
    <t>CRM</t>
  </si>
  <si>
    <t>SALESFORCE INC</t>
  </si>
  <si>
    <t>005930</t>
  </si>
  <si>
    <t>SAMSUNG ELECTRONICS LTD</t>
  </si>
  <si>
    <t>005935</t>
  </si>
  <si>
    <t>SAMSUNG ELECTRONICS NON VOTING PRE</t>
  </si>
  <si>
    <t>SHEL</t>
  </si>
  <si>
    <t>SHELL PLC</t>
  </si>
  <si>
    <t>2330</t>
  </si>
  <si>
    <t>TAIWAN SEMICONDUCTOR MANUFACTURING</t>
  </si>
  <si>
    <t>TSLA</t>
  </si>
  <si>
    <t>TESLA INC</t>
  </si>
  <si>
    <t>TMO</t>
  </si>
  <si>
    <t>THERMO FISHER SCIENTIFIC INC</t>
  </si>
  <si>
    <t>7203</t>
  </si>
  <si>
    <t>TOYOTA MOTOR CORP</t>
  </si>
  <si>
    <t>ULVR</t>
  </si>
  <si>
    <t>UNILEVER PLC</t>
  </si>
  <si>
    <t>V</t>
  </si>
  <si>
    <t>VISA INC CLASS A</t>
  </si>
  <si>
    <t>III</t>
  </si>
  <si>
    <t>3I GROUP PLC</t>
  </si>
  <si>
    <t>MMM</t>
  </si>
  <si>
    <t>MAERSK A</t>
  </si>
  <si>
    <t>A P MOLLER MAERSK</t>
  </si>
  <si>
    <t>MAERSK B</t>
  </si>
  <si>
    <t>A P MOLLER MAERSK B</t>
  </si>
  <si>
    <t>ABBN</t>
  </si>
  <si>
    <t>ABB LTD</t>
  </si>
  <si>
    <t>ABN</t>
  </si>
  <si>
    <t>ABN AMRO BANK NV</t>
  </si>
  <si>
    <t>ANA</t>
  </si>
  <si>
    <t>ACCIONA SA</t>
  </si>
  <si>
    <t>AC</t>
  </si>
  <si>
    <t>ACCOR SA</t>
  </si>
  <si>
    <t>ACS</t>
  </si>
  <si>
    <t>ACS ACTIVIDADES DE CONSTRUCCION Y</t>
  </si>
  <si>
    <t>2665236D</t>
  </si>
  <si>
    <t>ADDT B</t>
  </si>
  <si>
    <t>ADDTECH CLASS B</t>
  </si>
  <si>
    <t>ADS</t>
  </si>
  <si>
    <t>ADIDAS N AG</t>
  </si>
  <si>
    <t>ADM</t>
  </si>
  <si>
    <t>ADMIRAL GROUP PLC</t>
  </si>
  <si>
    <t>ADBE</t>
  </si>
  <si>
    <t>ADOBE INC</t>
  </si>
  <si>
    <t>ADVANCED MICRO DEVICES INC</t>
  </si>
  <si>
    <t>6857</t>
  </si>
  <si>
    <t>ADVANTEST CORP</t>
  </si>
  <si>
    <t>ADYEN</t>
  </si>
  <si>
    <t>ADYEN NV</t>
  </si>
  <si>
    <t>AGN</t>
  </si>
  <si>
    <t>AEGON LTD</t>
  </si>
  <si>
    <t>AENA</t>
  </si>
  <si>
    <t>AENA SME SA</t>
  </si>
  <si>
    <t>8267</t>
  </si>
  <si>
    <t>AEON LTD</t>
  </si>
  <si>
    <t>AER</t>
  </si>
  <si>
    <t>AERCAP HOLDINGS NV</t>
  </si>
  <si>
    <t>ADP</t>
  </si>
  <si>
    <t>AEROPORTS DE PARIS SA</t>
  </si>
  <si>
    <t>AFRM</t>
  </si>
  <si>
    <t>AFFIRM HOLDINGS INC CLASS A</t>
  </si>
  <si>
    <t>AFL</t>
  </si>
  <si>
    <t>AFLAC INC</t>
  </si>
  <si>
    <t>5201</t>
  </si>
  <si>
    <t>AGC INC</t>
  </si>
  <si>
    <t>AGS</t>
  </si>
  <si>
    <t>AGEAS SA</t>
  </si>
  <si>
    <t>A</t>
  </si>
  <si>
    <t>AGILENT TECHNOLOGIES INC</t>
  </si>
  <si>
    <t>AEM</t>
  </si>
  <si>
    <t>AGNICO EAGLE MINES LTD</t>
  </si>
  <si>
    <t>1299</t>
  </si>
  <si>
    <t>AIA GROUP LTD</t>
  </si>
  <si>
    <t>A5G</t>
  </si>
  <si>
    <t>AIB GROUP PLC</t>
  </si>
  <si>
    <t>APD</t>
  </si>
  <si>
    <t>AIR PRODUCTS AND CHEMICALS INC</t>
  </si>
  <si>
    <t>ABNB</t>
  </si>
  <si>
    <t>AIRBNB INC CLASS A</t>
  </si>
  <si>
    <t>AIR</t>
  </si>
  <si>
    <t>AIRBUS GROUP</t>
  </si>
  <si>
    <t>AAF</t>
  </si>
  <si>
    <t>AIRTEL AFRICA PLC</t>
  </si>
  <si>
    <t>7259</t>
  </si>
  <si>
    <t>AISIN CORP</t>
  </si>
  <si>
    <t>2802</t>
  </si>
  <si>
    <t>AJINOMOTO INC</t>
  </si>
  <si>
    <t>AKRBP</t>
  </si>
  <si>
    <t>AKER BP</t>
  </si>
  <si>
    <t>AKZA</t>
  </si>
  <si>
    <t>AKZO NOBEL NV</t>
  </si>
  <si>
    <t>AGI</t>
  </si>
  <si>
    <t>ALAMOS GOLD INC CLASS A</t>
  </si>
  <si>
    <t>ALC</t>
  </si>
  <si>
    <t>ALCON AG</t>
  </si>
  <si>
    <t>ALFA</t>
  </si>
  <si>
    <t>ALFA LAVAL</t>
  </si>
  <si>
    <t>ATD</t>
  </si>
  <si>
    <t>ALIMENTATION COUCHE TARD INC</t>
  </si>
  <si>
    <t>ALLE</t>
  </si>
  <si>
    <t>ALLEGION PLC</t>
  </si>
  <si>
    <t>LNT</t>
  </si>
  <si>
    <t>ALLIANT ENERGY CORP</t>
  </si>
  <si>
    <t>ALV</t>
  </si>
  <si>
    <t>ALLIANZ</t>
  </si>
  <si>
    <t>ALL</t>
  </si>
  <si>
    <t>ALLSTATE CORP</t>
  </si>
  <si>
    <t>ALNY</t>
  </si>
  <si>
    <t>ALNYLAM PHARMACEUTICALS INC</t>
  </si>
  <si>
    <t>ALO</t>
  </si>
  <si>
    <t>ALSTOM SA</t>
  </si>
  <si>
    <t>ALA</t>
  </si>
  <si>
    <t>ALTAGAS LTD</t>
  </si>
  <si>
    <t>MO</t>
  </si>
  <si>
    <t>ALTRIA GROUP INC</t>
  </si>
  <si>
    <t>AMS</t>
  </si>
  <si>
    <t>AMADEUS IT GROUP SA</t>
  </si>
  <si>
    <t>AMCR</t>
  </si>
  <si>
    <t>AMCOR PLC</t>
  </si>
  <si>
    <t>AEE</t>
  </si>
  <si>
    <t>AMEREN CORP</t>
  </si>
  <si>
    <t>AEP</t>
  </si>
  <si>
    <t>AMERICAN ELECTRIC POWER INC</t>
  </si>
  <si>
    <t>AXP</t>
  </si>
  <si>
    <t>AMERICAN EXPRESS</t>
  </si>
  <si>
    <t>AIG</t>
  </si>
  <si>
    <t>AMERICAN INTERNATIONAL GROUP INC</t>
  </si>
  <si>
    <t>AMT</t>
  </si>
  <si>
    <t>AMERICAN TOWER REIT CORP</t>
  </si>
  <si>
    <t>AWK</t>
  </si>
  <si>
    <t>AMERICAN WATER WORKS INC</t>
  </si>
  <si>
    <t>AMP</t>
  </si>
  <si>
    <t>AMERIPRISE FINANCE INC</t>
  </si>
  <si>
    <t>AME</t>
  </si>
  <si>
    <t>AMETEK INC</t>
  </si>
  <si>
    <t>AMGN</t>
  </si>
  <si>
    <t>AMGEN INC</t>
  </si>
  <si>
    <t>APH</t>
  </si>
  <si>
    <t>AMPHENOL CORP CLASS A</t>
  </si>
  <si>
    <t>AMRZ</t>
  </si>
  <si>
    <t>AMRIZE AG</t>
  </si>
  <si>
    <t>AMUN</t>
  </si>
  <si>
    <t>AMUNDI SA</t>
  </si>
  <si>
    <t>9202</t>
  </si>
  <si>
    <t>ANA HOLDINGS INC</t>
  </si>
  <si>
    <t>ADI</t>
  </si>
  <si>
    <t>ANALOG DEVICES INC</t>
  </si>
  <si>
    <t>AAL</t>
  </si>
  <si>
    <t>ANGLO AMERICAN PLC</t>
  </si>
  <si>
    <t>ABI</t>
  </si>
  <si>
    <t>ANHEUSER-BUSCH INBEV SA</t>
  </si>
  <si>
    <t>NLY</t>
  </si>
  <si>
    <t>ANNALY CAPITAL MANAGEMENT REIT INC</t>
  </si>
  <si>
    <t>ANTO</t>
  </si>
  <si>
    <t>ANTOFAGASTA PLC</t>
  </si>
  <si>
    <t>ANZ</t>
  </si>
  <si>
    <t>ANZ GROUP HOLDINGS LTD</t>
  </si>
  <si>
    <t>AON</t>
  </si>
  <si>
    <t>AON PLC CLASS A</t>
  </si>
  <si>
    <t>APA</t>
  </si>
  <si>
    <t>APA GROUP UNITS</t>
  </si>
  <si>
    <t>APO</t>
  </si>
  <si>
    <t>APOLLO GLOBAL MANAGEMENT INC</t>
  </si>
  <si>
    <t>AMAT</t>
  </si>
  <si>
    <t>APPLIED MATERIAL INC</t>
  </si>
  <si>
    <t>APP</t>
  </si>
  <si>
    <t>APPLOVIN CORP CLASS A</t>
  </si>
  <si>
    <t>APTV</t>
  </si>
  <si>
    <t>APTIV PLC</t>
  </si>
  <si>
    <t>ARX</t>
  </si>
  <si>
    <t>ARC RESOURCES LTD</t>
  </si>
  <si>
    <t>MT</t>
  </si>
  <si>
    <t>ARCELORMITTAL SA</t>
  </si>
  <si>
    <t>ACGL</t>
  </si>
  <si>
    <t>ARCH CAPITAL GROUP LTD</t>
  </si>
  <si>
    <t>ARCHER DANIELS MIDLAND</t>
  </si>
  <si>
    <t>ARES</t>
  </si>
  <si>
    <t>ARES MANAGEMENT CORP CLASS A</t>
  </si>
  <si>
    <t>ARGX</t>
  </si>
  <si>
    <t>ARGENX</t>
  </si>
  <si>
    <t>ANET</t>
  </si>
  <si>
    <t>ARISTA NETWORKS INC</t>
  </si>
  <si>
    <t>ARISTOCRAT LEISURE LTD</t>
  </si>
  <si>
    <t>AJG</t>
  </si>
  <si>
    <t>ARTHUR J GALLAGHER</t>
  </si>
  <si>
    <t>2502</t>
  </si>
  <si>
    <t>ASAHI GROUP HOLDINGS LTD</t>
  </si>
  <si>
    <t>3407</t>
  </si>
  <si>
    <t>ASAHI KASEI CORP</t>
  </si>
  <si>
    <t>7936</t>
  </si>
  <si>
    <t>ASICS CORP</t>
  </si>
  <si>
    <t>ASM</t>
  </si>
  <si>
    <t>ASM INTERNATIONAL NV</t>
  </si>
  <si>
    <t>ASRNL</t>
  </si>
  <si>
    <t>ASR NEDERLAND NV</t>
  </si>
  <si>
    <t>ASSA B</t>
  </si>
  <si>
    <t>ASSA ABLOY B</t>
  </si>
  <si>
    <t>G</t>
  </si>
  <si>
    <t>ASSICURAZIONI GENERALI</t>
  </si>
  <si>
    <t>ABF</t>
  </si>
  <si>
    <t>ASSOCIATED BRITISH FOODS PLC</t>
  </si>
  <si>
    <t>ASTS</t>
  </si>
  <si>
    <t>AST SPACEMOBILE INC CLASS A</t>
  </si>
  <si>
    <t>4503</t>
  </si>
  <si>
    <t>ASTELLAS PHARMA INC</t>
  </si>
  <si>
    <t>ALAB</t>
  </si>
  <si>
    <t>ASTERA LABS INC</t>
  </si>
  <si>
    <t>ASX</t>
  </si>
  <si>
    <t>ASX LTD</t>
  </si>
  <si>
    <t>T</t>
  </si>
  <si>
    <t>AT&amp;T INC</t>
  </si>
  <si>
    <t>ATRL</t>
  </si>
  <si>
    <t>ATKINSREALIS GROUP INC</t>
  </si>
  <si>
    <t>ATCO A</t>
  </si>
  <si>
    <t>ATLAS COPCO CLASS A</t>
  </si>
  <si>
    <t>ATCO B</t>
  </si>
  <si>
    <t>ATLAS COPCO CLASS B</t>
  </si>
  <si>
    <t>TEAM</t>
  </si>
  <si>
    <t>ATLASSIAN CORP CLASS A</t>
  </si>
  <si>
    <t>ATO</t>
  </si>
  <si>
    <t>ATMOS ENERGY CORP</t>
  </si>
  <si>
    <t>AIA</t>
  </si>
  <si>
    <t>AUCKLAND INTERNATIONAL AIRPORT LTD</t>
  </si>
  <si>
    <t>ADSK</t>
  </si>
  <si>
    <t>AUTODESK INC</t>
  </si>
  <si>
    <t>AUTOMATIC DATA PROCESSING INC</t>
  </si>
  <si>
    <t>AZO</t>
  </si>
  <si>
    <t>AUTOZONE INC</t>
  </si>
  <si>
    <t>AVB</t>
  </si>
  <si>
    <t>AVALONBAY COMMUNITIES REIT INC</t>
  </si>
  <si>
    <t>AVY</t>
  </si>
  <si>
    <t>AVERY DENNISON CORP</t>
  </si>
  <si>
    <t>AV.</t>
  </si>
  <si>
    <t>AVIVA PLC</t>
  </si>
  <si>
    <t>AVOL</t>
  </si>
  <si>
    <t>AVOLTA AG</t>
  </si>
  <si>
    <t>CS</t>
  </si>
  <si>
    <t>AXA SA</t>
  </si>
  <si>
    <t>AXON</t>
  </si>
  <si>
    <t>AXON ENTERPRISE INC</t>
  </si>
  <si>
    <t>AYV</t>
  </si>
  <si>
    <t>AYVENS SA</t>
  </si>
  <si>
    <t>AZRG</t>
  </si>
  <si>
    <t>AZRIELI GROUP LTD</t>
  </si>
  <si>
    <t>BA.</t>
  </si>
  <si>
    <t>BAE SYSTEMS PLC</t>
  </si>
  <si>
    <t>BKR</t>
  </si>
  <si>
    <t>BAKER HUGHES CLASS A</t>
  </si>
  <si>
    <t>BALL</t>
  </si>
  <si>
    <t>BALL CORP</t>
  </si>
  <si>
    <t>BMED</t>
  </si>
  <si>
    <t>BANCA MEDIOLANUM</t>
  </si>
  <si>
    <t>BMPS</t>
  </si>
  <si>
    <t>BANCA MONTE DEI PASCHI DI SIENA SP</t>
  </si>
  <si>
    <t>BBVA</t>
  </si>
  <si>
    <t>BANCO BILBAO VIZCAYA ARGENTARIA SA</t>
  </si>
  <si>
    <t>BAMI</t>
  </si>
  <si>
    <t>BANCO BPM</t>
  </si>
  <si>
    <t>BCP</t>
  </si>
  <si>
    <t>BANCO COMERCIAL PORTUGUES SA</t>
  </si>
  <si>
    <t>SAB</t>
  </si>
  <si>
    <t>BANCO DE SABADELL</t>
  </si>
  <si>
    <t>SAN</t>
  </si>
  <si>
    <t>BANCO SANTANDER SA</t>
  </si>
  <si>
    <t>7832</t>
  </si>
  <si>
    <t>BANDAI NAMCO HOLDINGS INC</t>
  </si>
  <si>
    <t>POLI</t>
  </si>
  <si>
    <t>BANK HAPOALIM BM</t>
  </si>
  <si>
    <t>LUMI</t>
  </si>
  <si>
    <t>BANK LEUMI LE ISRAEL</t>
  </si>
  <si>
    <t>BAC</t>
  </si>
  <si>
    <t>BANK OF AMERICA CORP</t>
  </si>
  <si>
    <t>BIRG</t>
  </si>
  <si>
    <t>BANK OF IRELAND GROUP PLC</t>
  </si>
  <si>
    <t>BMO</t>
  </si>
  <si>
    <t>BANK OF MONTREAL</t>
  </si>
  <si>
    <t>BNY</t>
  </si>
  <si>
    <t>BANK OF NEW YORK MELLON CORP</t>
  </si>
  <si>
    <t>BNS</t>
  </si>
  <si>
    <t>BANK OF NOVA SCOTIA</t>
  </si>
  <si>
    <t>BKT</t>
  </si>
  <si>
    <t>BANKINTER SA</t>
  </si>
  <si>
    <t>BARC</t>
  </si>
  <si>
    <t>BARCLAYS PLC</t>
  </si>
  <si>
    <t>ABX</t>
  </si>
  <si>
    <t>BARRICK MINING CORP</t>
  </si>
  <si>
    <t>BARN</t>
  </si>
  <si>
    <t>BARRY CALLEBAUT AG</t>
  </si>
  <si>
    <t>BAS</t>
  </si>
  <si>
    <t>BASF N</t>
  </si>
  <si>
    <t>BG</t>
  </si>
  <si>
    <t>BAWAG GROUP AG</t>
  </si>
  <si>
    <t>BAYN</t>
  </si>
  <si>
    <t>BAYER AG</t>
  </si>
  <si>
    <t>BCVN</t>
  </si>
  <si>
    <t>BC VAUD N</t>
  </si>
  <si>
    <t>BCE</t>
  </si>
  <si>
    <t>BCE INC</t>
  </si>
  <si>
    <t>BESI</t>
  </si>
  <si>
    <t>BE SEMICONDUCTOR INDUSTRIES NV</t>
  </si>
  <si>
    <t>BDX</t>
  </si>
  <si>
    <t>BECTON DICKINSON</t>
  </si>
  <si>
    <t>BEI</t>
  </si>
  <si>
    <t>BEIERSDORF AG</t>
  </si>
  <si>
    <t>BEIJ B</t>
  </si>
  <si>
    <t>BEIJER REF CLASS B</t>
  </si>
  <si>
    <t>BEAN</t>
  </si>
  <si>
    <t>BELIMO N AG</t>
  </si>
  <si>
    <t>BRKB</t>
  </si>
  <si>
    <t>BERKSHIRE HATHAWAY INC CLASS B</t>
  </si>
  <si>
    <t>BBY</t>
  </si>
  <si>
    <t>BEST BUY INC</t>
  </si>
  <si>
    <t>BHP</t>
  </si>
  <si>
    <t>BHP GROUP LTD</t>
  </si>
  <si>
    <t>BIIB</t>
  </si>
  <si>
    <t>BIOGEN INC</t>
  </si>
  <si>
    <t>BIM</t>
  </si>
  <si>
    <t>BIOMERIEUX SA</t>
  </si>
  <si>
    <t>BKW</t>
  </si>
  <si>
    <t>BKW N AG</t>
  </si>
  <si>
    <t>BLK</t>
  </si>
  <si>
    <t>BLACKROCK INC</t>
  </si>
  <si>
    <t>BX</t>
  </si>
  <si>
    <t>BLACKSTONE INC</t>
  </si>
  <si>
    <t>XYZ</t>
  </si>
  <si>
    <t>BLOCK INC CLASS A</t>
  </si>
  <si>
    <t>BE</t>
  </si>
  <si>
    <t>BLOOM ENERGY CLASS A CORP</t>
  </si>
  <si>
    <t>BMW</t>
  </si>
  <si>
    <t>BMW AG</t>
  </si>
  <si>
    <t>BNP</t>
  </si>
  <si>
    <t>BNP PARIBAS SA</t>
  </si>
  <si>
    <t>2388</t>
  </si>
  <si>
    <t>BOC HONG KONG HOLDINGS LTD</t>
  </si>
  <si>
    <t>BA</t>
  </si>
  <si>
    <t>BOEING</t>
  </si>
  <si>
    <t>BOL</t>
  </si>
  <si>
    <t>BOLIDEN</t>
  </si>
  <si>
    <t>BOLLORE</t>
  </si>
  <si>
    <t>BBD.B</t>
  </si>
  <si>
    <t>BOMBARDIER INC CLASS B</t>
  </si>
  <si>
    <t>BKNG</t>
  </si>
  <si>
    <t>BOOKING HOLDINGS INC</t>
  </si>
  <si>
    <t>BSX</t>
  </si>
  <si>
    <t>BOSTON SCIENTIFIC CORP</t>
  </si>
  <si>
    <t>EN</t>
  </si>
  <si>
    <t>BOUYGUES SA</t>
  </si>
  <si>
    <t>BP.</t>
  </si>
  <si>
    <t>BP PLC</t>
  </si>
  <si>
    <t>BPE</t>
  </si>
  <si>
    <t>BPER BANCA</t>
  </si>
  <si>
    <t>BXB</t>
  </si>
  <si>
    <t>BRAMBLES LTD</t>
  </si>
  <si>
    <t>BNR</t>
  </si>
  <si>
    <t>BRENNTAG</t>
  </si>
  <si>
    <t>5108</t>
  </si>
  <si>
    <t>BRIDGESTONE CORP</t>
  </si>
  <si>
    <t>BMY</t>
  </si>
  <si>
    <t>BRISTOL MYERS SQUIBB</t>
  </si>
  <si>
    <t>BATS</t>
  </si>
  <si>
    <t>BRITISH AMERICAN TOBACCO</t>
  </si>
  <si>
    <t>BR</t>
  </si>
  <si>
    <t>BROADRIDGE FINANCIAL SOLUTIONS INC</t>
  </si>
  <si>
    <t>BAM</t>
  </si>
  <si>
    <t>BROOKFIELD ASSET MANAGEMENT VOTING</t>
  </si>
  <si>
    <t>BN</t>
  </si>
  <si>
    <t>BROOKFIELD CORP CLASS A</t>
  </si>
  <si>
    <t>BEPC</t>
  </si>
  <si>
    <t>BROOKFIELD RENEWABLE SUBORDINATE V</t>
  </si>
  <si>
    <t>BRO</t>
  </si>
  <si>
    <t>BROWN &amp; BROWN INC</t>
  </si>
  <si>
    <t>BT.A</t>
  </si>
  <si>
    <t>BT GROUP PLC</t>
  </si>
  <si>
    <t>BUNGE GLOBAL SA</t>
  </si>
  <si>
    <t>BNZL</t>
  </si>
  <si>
    <t>BUNZL</t>
  </si>
  <si>
    <t>BVI</t>
  </si>
  <si>
    <t>BUREAU VERITAS SA</t>
  </si>
  <si>
    <t>BURL</t>
  </si>
  <si>
    <t>BURLINGTON STORES INC</t>
  </si>
  <si>
    <t>BZU</t>
  </si>
  <si>
    <t>BUZZI</t>
  </si>
  <si>
    <t>CDNS</t>
  </si>
  <si>
    <t>CADENCE DESIGN SYSTEMS INC</t>
  </si>
  <si>
    <t>CAE</t>
  </si>
  <si>
    <t>CAE INC</t>
  </si>
  <si>
    <t>CABK</t>
  </si>
  <si>
    <t>CAIXABANK SA</t>
  </si>
  <si>
    <t>CCO</t>
  </si>
  <si>
    <t>CAMECO CORP</t>
  </si>
  <si>
    <t>CM</t>
  </si>
  <si>
    <t>CANADIAN IMPERIAL BANK OF COMMERCE</t>
  </si>
  <si>
    <t>CNR</t>
  </si>
  <si>
    <t>CANADIAN NATIONAL RAILWAY</t>
  </si>
  <si>
    <t>CNQ</t>
  </si>
  <si>
    <t>CANADIAN NATURAL RESOURCES LTD</t>
  </si>
  <si>
    <t>CP</t>
  </si>
  <si>
    <t>CANADIAN PACIFIC KANSAS CITY LTD</t>
  </si>
  <si>
    <t>CTC.A</t>
  </si>
  <si>
    <t>CANADIAN TIRE LTD CLASS A</t>
  </si>
  <si>
    <t>CU</t>
  </si>
  <si>
    <t>CANADIAN UTILITIES LTD CLASS A</t>
  </si>
  <si>
    <t>7751</t>
  </si>
  <si>
    <t>CANON INC</t>
  </si>
  <si>
    <t>9697</t>
  </si>
  <si>
    <t>CAPCOM LTD</t>
  </si>
  <si>
    <t>CAP</t>
  </si>
  <si>
    <t>CAPGEMINI</t>
  </si>
  <si>
    <t>COF</t>
  </si>
  <si>
    <t>CAPITAL ONE FINANCIAL CORP</t>
  </si>
  <si>
    <t>CLAR</t>
  </si>
  <si>
    <t>CAPITALAND ASCENDAS REIT</t>
  </si>
  <si>
    <t>CICT</t>
  </si>
  <si>
    <t>CAPITALAND INTEGRATED COMMERCIAL T</t>
  </si>
  <si>
    <t>9CI</t>
  </si>
  <si>
    <t>CAPITALAND INVESTMENT LTD</t>
  </si>
  <si>
    <t>CAR</t>
  </si>
  <si>
    <t>CAR GROUP LTD</t>
  </si>
  <si>
    <t>CAH</t>
  </si>
  <si>
    <t>CARDINAL HEALTH INC</t>
  </si>
  <si>
    <t>CSL</t>
  </si>
  <si>
    <t>CARLISLE COMPANIES INC</t>
  </si>
  <si>
    <t>CARL B</t>
  </si>
  <si>
    <t>CARLSBERG AS CL B</t>
  </si>
  <si>
    <t>CG</t>
  </si>
  <si>
    <t>CARLYLE GROUP INC</t>
  </si>
  <si>
    <t>CCL</t>
  </si>
  <si>
    <t>CARNIVAL CORP LTD</t>
  </si>
  <si>
    <t>CA</t>
  </si>
  <si>
    <t>CARREFOUR SA</t>
  </si>
  <si>
    <t>CARR</t>
  </si>
  <si>
    <t>CARRIER GLOBAL CORP</t>
  </si>
  <si>
    <t>CVNA</t>
  </si>
  <si>
    <t>CARVANA CLASS A</t>
  </si>
  <si>
    <t>CASY</t>
  </si>
  <si>
    <t>CASEYS GENERAL STORES INC</t>
  </si>
  <si>
    <t>CBOE</t>
  </si>
  <si>
    <t>CBOE GLOBAL MARKETS INC</t>
  </si>
  <si>
    <t>CBRE</t>
  </si>
  <si>
    <t>CBRE GROUP INC CLASS A</t>
  </si>
  <si>
    <t>CCL.B</t>
  </si>
  <si>
    <t>CCL INDUSTRIES INC CLASS B</t>
  </si>
  <si>
    <t>CDW</t>
  </si>
  <si>
    <t>CDW CORP</t>
  </si>
  <si>
    <t>CLS</t>
  </si>
  <si>
    <t>CELESTICA INC</t>
  </si>
  <si>
    <t>CLNX</t>
  </si>
  <si>
    <t>CELLNEX TELECOM</t>
  </si>
  <si>
    <t>COR</t>
  </si>
  <si>
    <t>CENCORA INC</t>
  </si>
  <si>
    <t>CVE</t>
  </si>
  <si>
    <t>CENOVUS ENERGY</t>
  </si>
  <si>
    <t>CNC</t>
  </si>
  <si>
    <t>CENTENE CORP</t>
  </si>
  <si>
    <t>CNP</t>
  </si>
  <si>
    <t>CENTERPOINT ENERGY INC</t>
  </si>
  <si>
    <t>9022</t>
  </si>
  <si>
    <t>CENTRAL JAPAN RAILWAY</t>
  </si>
  <si>
    <t>CNA</t>
  </si>
  <si>
    <t>CENTRICA PLC</t>
  </si>
  <si>
    <t>CF</t>
  </si>
  <si>
    <t>CF INDUSTRIES HOLDINGS INC</t>
  </si>
  <si>
    <t>GIB.A</t>
  </si>
  <si>
    <t>CGI INC CLASS A</t>
  </si>
  <si>
    <t>CHRW</t>
  </si>
  <si>
    <t>CH ROBINSON WORLDWIDE INC</t>
  </si>
  <si>
    <t>SCHW</t>
  </si>
  <si>
    <t>CHARLES SCHWAB CORP</t>
  </si>
  <si>
    <t>CHTR</t>
  </si>
  <si>
    <t>CHARTER COMMUNICATIONS INC CLASS A</t>
  </si>
  <si>
    <t>CHKP</t>
  </si>
  <si>
    <t>CHECK POINT SOFTWARE TECHNOLOGIES</t>
  </si>
  <si>
    <t>LNG</t>
  </si>
  <si>
    <t>CHENIERE ENERGY INC</t>
  </si>
  <si>
    <t>1038</t>
  </si>
  <si>
    <t>CHEUNG KONG INFRASTRUCTURE HOLDING</t>
  </si>
  <si>
    <t>8331</t>
  </si>
  <si>
    <t>CHIBA BANK LTD</t>
  </si>
  <si>
    <t>CMG</t>
  </si>
  <si>
    <t>CHIPOTLE MEXICAN GRILL INC</t>
  </si>
  <si>
    <t>LISN</t>
  </si>
  <si>
    <t>CHOCOLADEFABRIKEN LINDT &amp; SPRUENGL</t>
  </si>
  <si>
    <t>LISP</t>
  </si>
  <si>
    <t>CB</t>
  </si>
  <si>
    <t>CHUBB</t>
  </si>
  <si>
    <t>9502</t>
  </si>
  <si>
    <t>CHUBU ELECTRIC POWER INC</t>
  </si>
  <si>
    <t>4519</t>
  </si>
  <si>
    <t>CHUGAI PHARMACEUTICAL LTD</t>
  </si>
  <si>
    <t>CHD</t>
  </si>
  <si>
    <t>CHURCH AND DWIGHT INC</t>
  </si>
  <si>
    <t>CIEN</t>
  </si>
  <si>
    <t>CIENA CORP</t>
  </si>
  <si>
    <t>CI</t>
  </si>
  <si>
    <t>CIGNA</t>
  </si>
  <si>
    <t>CINF</t>
  </si>
  <si>
    <t>CINCINNATI FINANCIAL CORP</t>
  </si>
  <si>
    <t>CTAS</t>
  </si>
  <si>
    <t>CINTAS CORP</t>
  </si>
  <si>
    <t>CRCL</t>
  </si>
  <si>
    <t>CIRCLE INTERNET GROUP INC CLASS A</t>
  </si>
  <si>
    <t>C</t>
  </si>
  <si>
    <t>CITIGROUP INC</t>
  </si>
  <si>
    <t>CFG</t>
  </si>
  <si>
    <t>CITIZENS FINANCIAL GROUP INC</t>
  </si>
  <si>
    <t>1113</t>
  </si>
  <si>
    <t>CK ASSET HOLDINGS LTD</t>
  </si>
  <si>
    <t>1</t>
  </si>
  <si>
    <t>CK HUTCHISON HOLDINGS LTD</t>
  </si>
  <si>
    <t>CLX</t>
  </si>
  <si>
    <t>CLOROX</t>
  </si>
  <si>
    <t>NET</t>
  </si>
  <si>
    <t>CLOUDFLARE INC CLASS A</t>
  </si>
  <si>
    <t>2</t>
  </si>
  <si>
    <t>CLP HOLDINGS LTD</t>
  </si>
  <si>
    <t>CME</t>
  </si>
  <si>
    <t>CME GROUP INC CLASS A</t>
  </si>
  <si>
    <t>CMS</t>
  </si>
  <si>
    <t>CMS ENERGY CORP</t>
  </si>
  <si>
    <t>CNH</t>
  </si>
  <si>
    <t>CNH INDUSTRIAL N.V. NV</t>
  </si>
  <si>
    <t>CCEP</t>
  </si>
  <si>
    <t>COCA COLA EUROPACIFIC PARTNERS PLC</t>
  </si>
  <si>
    <t>CCH</t>
  </si>
  <si>
    <t>COCA COLA HBC AG</t>
  </si>
  <si>
    <t>COH</t>
  </si>
  <si>
    <t>COCHLEAR LTD</t>
  </si>
  <si>
    <t>CDE</t>
  </si>
  <si>
    <t>COEUR MINING INC</t>
  </si>
  <si>
    <t>CTSH</t>
  </si>
  <si>
    <t>COGNIZANT TECHNOLOGY SOLUTIONS COR</t>
  </si>
  <si>
    <t>COHR</t>
  </si>
  <si>
    <t>COHERENT CORP</t>
  </si>
  <si>
    <t>COIN</t>
  </si>
  <si>
    <t>COINBASE GLOBAL INC CLASS A</t>
  </si>
  <si>
    <t>COL</t>
  </si>
  <si>
    <t>COLES GROUP LTD</t>
  </si>
  <si>
    <t>CL</t>
  </si>
  <si>
    <t>COLGATE-PALMOLIVE</t>
  </si>
  <si>
    <t>COLO B</t>
  </si>
  <si>
    <t>COLOPLAST B</t>
  </si>
  <si>
    <t>CMCSA</t>
  </si>
  <si>
    <t>COMCAST CORP CLASS A</t>
  </si>
  <si>
    <t>FIX</t>
  </si>
  <si>
    <t>COMFORT SYSTEMS USA INC</t>
  </si>
  <si>
    <t>CBK</t>
  </si>
  <si>
    <t>COMMERZBANK AG</t>
  </si>
  <si>
    <t>CBA</t>
  </si>
  <si>
    <t>COMMONWEALTH BANK OF AUSTRALIA</t>
  </si>
  <si>
    <t>SGO</t>
  </si>
  <si>
    <t>COMPAGNIE DE SAINT GOBAIN SA</t>
  </si>
  <si>
    <t>CFR</t>
  </si>
  <si>
    <t>COMPAGNIE FINANCIERE RICHEMONT SA</t>
  </si>
  <si>
    <t>CPG</t>
  </si>
  <si>
    <t>COMPASS GROUP PLC</t>
  </si>
  <si>
    <t>CPU</t>
  </si>
  <si>
    <t>COMPUTERSHARE LTD</t>
  </si>
  <si>
    <t>COP</t>
  </si>
  <si>
    <t>CONOCOPHILLIPS</t>
  </si>
  <si>
    <t>ED</t>
  </si>
  <si>
    <t>CONSOLIDATED EDISON INC</t>
  </si>
  <si>
    <t>STZ</t>
  </si>
  <si>
    <t>CONSTELLATION BRANDS INC CLASS A</t>
  </si>
  <si>
    <t>CEG</t>
  </si>
  <si>
    <t>CONSTELLATION ENERGY CORP</t>
  </si>
  <si>
    <t>CSU</t>
  </si>
  <si>
    <t>CONSTELLATION SOFTWARE INC</t>
  </si>
  <si>
    <t>2299955D</t>
  </si>
  <si>
    <t>CEN</t>
  </si>
  <si>
    <t>CONTACT ENERGY LTD</t>
  </si>
  <si>
    <t>CON</t>
  </si>
  <si>
    <t>CONTINENTAL AG</t>
  </si>
  <si>
    <t>COO</t>
  </si>
  <si>
    <t>COOPER INC</t>
  </si>
  <si>
    <t>CPRT</t>
  </si>
  <si>
    <t>COPART INC</t>
  </si>
  <si>
    <t>CRBG</t>
  </si>
  <si>
    <t>COREBRIDGE FINANCIAL INC</t>
  </si>
  <si>
    <t>CRWV</t>
  </si>
  <si>
    <t>COREWEAVE INC CLASS A</t>
  </si>
  <si>
    <t>GLW</t>
  </si>
  <si>
    <t>CORNING INC</t>
  </si>
  <si>
    <t>CPAY</t>
  </si>
  <si>
    <t>CORPAY INC</t>
  </si>
  <si>
    <t>CTVA</t>
  </si>
  <si>
    <t>CORTEVA INC</t>
  </si>
  <si>
    <t>CSGP</t>
  </si>
  <si>
    <t>COSTAR GROUP INC</t>
  </si>
  <si>
    <t>COST</t>
  </si>
  <si>
    <t>COSTCO WHOLESALE CORP</t>
  </si>
  <si>
    <t>COV</t>
  </si>
  <si>
    <t>COVIVIO SA</t>
  </si>
  <si>
    <t>ACA</t>
  </si>
  <si>
    <t>CREDIT AGRICOLE SA</t>
  </si>
  <si>
    <t>CRDO</t>
  </si>
  <si>
    <t>CREDO TECHNOLOGY GROUP HOLDING LTD</t>
  </si>
  <si>
    <t>CRH</t>
  </si>
  <si>
    <t>CRH PUBLIC LIMITED PLC</t>
  </si>
  <si>
    <t>CRWD</t>
  </si>
  <si>
    <t>CROWDSTRIKE HOLDINGS INC CLASS A</t>
  </si>
  <si>
    <t>CCI</t>
  </si>
  <si>
    <t>CROWN CASTLE INC</t>
  </si>
  <si>
    <t>CSG</t>
  </si>
  <si>
    <t>CSG CLASS A NV</t>
  </si>
  <si>
    <t>CSL LTD</t>
  </si>
  <si>
    <t>CSX</t>
  </si>
  <si>
    <t>CSX CORP</t>
  </si>
  <si>
    <t>EVD</t>
  </si>
  <si>
    <t>CTS EVENTIM AG</t>
  </si>
  <si>
    <t>CMI</t>
  </si>
  <si>
    <t>CUMMINS INC</t>
  </si>
  <si>
    <t>CW</t>
  </si>
  <si>
    <t>CURTISS WRIGHT CORP</t>
  </si>
  <si>
    <t>CVC</t>
  </si>
  <si>
    <t>CVC CAPITAL PARTNERS PLC</t>
  </si>
  <si>
    <t>CVS</t>
  </si>
  <si>
    <t>CVS HEALTH CORP</t>
  </si>
  <si>
    <t>-</t>
  </si>
  <si>
    <t>CYBERARK SOFTWARE CONTRA</t>
  </si>
  <si>
    <t>DHI</t>
  </si>
  <si>
    <t>D R HORTON INC</t>
  </si>
  <si>
    <t>7912</t>
  </si>
  <si>
    <t>DAI NIPPON PRINTING LTD</t>
  </si>
  <si>
    <t>6383</t>
  </si>
  <si>
    <t>DAIFUKU LTD</t>
  </si>
  <si>
    <t>8750</t>
  </si>
  <si>
    <t>DAIICHI LIFE GROUP INC</t>
  </si>
  <si>
    <t>4568</t>
  </si>
  <si>
    <t>DAIICHI SANKYO LTD</t>
  </si>
  <si>
    <t>6367</t>
  </si>
  <si>
    <t>DAIKIN INDUSTRIES LTD</t>
  </si>
  <si>
    <t>DTG</t>
  </si>
  <si>
    <t>DAIMLER TRUCK HOLDING E AG</t>
  </si>
  <si>
    <t>1878</t>
  </si>
  <si>
    <t>DAITO TRUST CONSTRUCTION LTD</t>
  </si>
  <si>
    <t>1925</t>
  </si>
  <si>
    <t>DAIWA HOUSE INDUSTRY LTD</t>
  </si>
  <si>
    <t>8601</t>
  </si>
  <si>
    <t>DAIWA SECURITIES GROUP INC</t>
  </si>
  <si>
    <t>DHR</t>
  </si>
  <si>
    <t>DANAHER CORP</t>
  </si>
  <si>
    <t>DANONE SA</t>
  </si>
  <si>
    <t>DANSKE</t>
  </si>
  <si>
    <t>DANSKE BANK</t>
  </si>
  <si>
    <t>DRI</t>
  </si>
  <si>
    <t>DARDEN RESTAURANTS INC</t>
  </si>
  <si>
    <t>AM</t>
  </si>
  <si>
    <t>DASSAULT AVIATION SA</t>
  </si>
  <si>
    <t>DSY</t>
  </si>
  <si>
    <t>DASSAULT SYSTEMES</t>
  </si>
  <si>
    <t>DDOG</t>
  </si>
  <si>
    <t>DATADOG INC CLASS A</t>
  </si>
  <si>
    <t>CPR</t>
  </si>
  <si>
    <t>DAVIDE CAMPARI MILANO NV</t>
  </si>
  <si>
    <t>D05</t>
  </si>
  <si>
    <t>DBS GROUP HOLDINGS LTD</t>
  </si>
  <si>
    <t>DECK</t>
  </si>
  <si>
    <t>DECKERS OUTDOOR CORP</t>
  </si>
  <si>
    <t>DE</t>
  </si>
  <si>
    <t>DEERE</t>
  </si>
  <si>
    <t>DHER</t>
  </si>
  <si>
    <t>DELIVERY HERO</t>
  </si>
  <si>
    <t>DELL</t>
  </si>
  <si>
    <t>DELL TECHNOLOGIES INC CLASS C</t>
  </si>
  <si>
    <t>DAL</t>
  </si>
  <si>
    <t>DELTA AIR LINES INC</t>
  </si>
  <si>
    <t>DEMANT</t>
  </si>
  <si>
    <t>6902</t>
  </si>
  <si>
    <t>DENSO CORP</t>
  </si>
  <si>
    <t>DSG</t>
  </si>
  <si>
    <t>DESCARTES SYSTEMS GROUP INC</t>
  </si>
  <si>
    <t>DBK</t>
  </si>
  <si>
    <t>DEUTSCHE BANK AG</t>
  </si>
  <si>
    <t>DB1</t>
  </si>
  <si>
    <t>DEUTSCHE BOERSE AG</t>
  </si>
  <si>
    <t>LHA</t>
  </si>
  <si>
    <t>DEUTSCHE LUFTHANSA AG</t>
  </si>
  <si>
    <t>DHL</t>
  </si>
  <si>
    <t>DEUTSCHE POST AG</t>
  </si>
  <si>
    <t>DTE</t>
  </si>
  <si>
    <t>DEUTSCHE TELEKOM N AG</t>
  </si>
  <si>
    <t>DVN</t>
  </si>
  <si>
    <t>DEVON ENERGY CORP</t>
  </si>
  <si>
    <t>DXCM</t>
  </si>
  <si>
    <t>DEXCOM INC</t>
  </si>
  <si>
    <t>DGE</t>
  </si>
  <si>
    <t>DIAGEO PLC</t>
  </si>
  <si>
    <t>FANG</t>
  </si>
  <si>
    <t>DIAMONDBACK ENERGY INC</t>
  </si>
  <si>
    <t>DKS</t>
  </si>
  <si>
    <t>DICKS SPORTING INC</t>
  </si>
  <si>
    <t>DIE</t>
  </si>
  <si>
    <t>DIETEREN (D) SA</t>
  </si>
  <si>
    <t>DLR</t>
  </si>
  <si>
    <t>DIGITAL REALTY TRUST REIT INC</t>
  </si>
  <si>
    <t>6146</t>
  </si>
  <si>
    <t>DISCO CORP</t>
  </si>
  <si>
    <t>DNB</t>
  </si>
  <si>
    <t>DNB BANK</t>
  </si>
  <si>
    <t>DG</t>
  </si>
  <si>
    <t>DOLLAR GENERAL CORP</t>
  </si>
  <si>
    <t>DLTR</t>
  </si>
  <si>
    <t>DOLLAR TREE INC</t>
  </si>
  <si>
    <t>DOL</t>
  </si>
  <si>
    <t>DOLLARAMA INC</t>
  </si>
  <si>
    <t>D</t>
  </si>
  <si>
    <t>DOMINION ENERGY INC</t>
  </si>
  <si>
    <t>DPZ</t>
  </si>
  <si>
    <t>DOMINOS PIZZA INC</t>
  </si>
  <si>
    <t>DASH</t>
  </si>
  <si>
    <t>DOORDASH INC CLASS A</t>
  </si>
  <si>
    <t>DOV</t>
  </si>
  <si>
    <t>DOVER CORP</t>
  </si>
  <si>
    <t>DOW</t>
  </si>
  <si>
    <t>DOW INC</t>
  </si>
  <si>
    <t>P911</t>
  </si>
  <si>
    <t>DR ING HC F PORSCHE PRF AG</t>
  </si>
  <si>
    <t>DSFIR</t>
  </si>
  <si>
    <t>DSM FIRMENICH AG</t>
  </si>
  <si>
    <t>DSV</t>
  </si>
  <si>
    <t>DTE ENERGY</t>
  </si>
  <si>
    <t>DUK</t>
  </si>
  <si>
    <t>DUKE ENERGY CORP</t>
  </si>
  <si>
    <t>DD</t>
  </si>
  <si>
    <t>DUPONT DE NEMOURS INC</t>
  </si>
  <si>
    <t>EOAN</t>
  </si>
  <si>
    <t>E.ON N</t>
  </si>
  <si>
    <t>9020</t>
  </si>
  <si>
    <t>EAST JAPAN RAILWAY</t>
  </si>
  <si>
    <t>ETN</t>
  </si>
  <si>
    <t>EATON PLC</t>
  </si>
  <si>
    <t>6361</t>
  </si>
  <si>
    <t>EBARA CORP</t>
  </si>
  <si>
    <t>EBAY</t>
  </si>
  <si>
    <t>EBAY INC</t>
  </si>
  <si>
    <t>ECHO</t>
  </si>
  <si>
    <t>ECHOSTAR CORP CLASS A</t>
  </si>
  <si>
    <t>ECL</t>
  </si>
  <si>
    <t>ECOLAB INC</t>
  </si>
  <si>
    <t>EIX</t>
  </si>
  <si>
    <t>EDISON INTERNATIONAL</t>
  </si>
  <si>
    <t>EDP</t>
  </si>
  <si>
    <t>EDP ENERGIAS DE PORTUGAL SA</t>
  </si>
  <si>
    <t>EDPR</t>
  </si>
  <si>
    <t>EDP RENEWABLES SA</t>
  </si>
  <si>
    <t>EW</t>
  </si>
  <si>
    <t>EDWARDS LIFESCIENCES CORP</t>
  </si>
  <si>
    <t>FGR</t>
  </si>
  <si>
    <t>EIFFAGE SA</t>
  </si>
  <si>
    <t>4523</t>
  </si>
  <si>
    <t>EISAI LTD</t>
  </si>
  <si>
    <t>ESLT</t>
  </si>
  <si>
    <t>ELBIT SYSTEMS LTD</t>
  </si>
  <si>
    <t>EA</t>
  </si>
  <si>
    <t>ELECTRONIC ARTS INC</t>
  </si>
  <si>
    <t>EFN</t>
  </si>
  <si>
    <t>ELEMENT FLEET MANAGEMENT CORP</t>
  </si>
  <si>
    <t>ELV</t>
  </si>
  <si>
    <t>ELEVANCE HEALTH INC</t>
  </si>
  <si>
    <t>ELI</t>
  </si>
  <si>
    <t>ELIA GROUP SA</t>
  </si>
  <si>
    <t>ELISA</t>
  </si>
  <si>
    <t>EME</t>
  </si>
  <si>
    <t>EMCOR GROUP INC</t>
  </si>
  <si>
    <t>EMA</t>
  </si>
  <si>
    <t>EMERA INC</t>
  </si>
  <si>
    <t>EMR</t>
  </si>
  <si>
    <t>EMERSON ELECTRIC</t>
  </si>
  <si>
    <t>EMP.A</t>
  </si>
  <si>
    <t>EMPIRE LTD CLASS A</t>
  </si>
  <si>
    <t>EMSN</t>
  </si>
  <si>
    <t>EMS-CHEMIE HOLDING AG</t>
  </si>
  <si>
    <t>ENB</t>
  </si>
  <si>
    <t>ENBRIDGE INC</t>
  </si>
  <si>
    <t>EDV</t>
  </si>
  <si>
    <t>ENDEAVOUR MINING</t>
  </si>
  <si>
    <t>ELE</t>
  </si>
  <si>
    <t>ENDESA SA</t>
  </si>
  <si>
    <t>ENEL</t>
  </si>
  <si>
    <t>5020</t>
  </si>
  <si>
    <t>ENEOS HOLDINGS INC</t>
  </si>
  <si>
    <t>ENGI</t>
  </si>
  <si>
    <t>ENGIE SA</t>
  </si>
  <si>
    <t>ENI</t>
  </si>
  <si>
    <t>ENLT</t>
  </si>
  <si>
    <t>ENLIGHT RENEWABLE ENERGY LTD</t>
  </si>
  <si>
    <t>ENTG</t>
  </si>
  <si>
    <t>ENTEGRIS INC</t>
  </si>
  <si>
    <t>ETR</t>
  </si>
  <si>
    <t>ENTERGY CORP</t>
  </si>
  <si>
    <t>EOG</t>
  </si>
  <si>
    <t>EOG RESOURCES INC</t>
  </si>
  <si>
    <t>EPI A</t>
  </si>
  <si>
    <t>EPIROC CLASS A</t>
  </si>
  <si>
    <t>EPI B</t>
  </si>
  <si>
    <t>EPIROC CLASS B</t>
  </si>
  <si>
    <t>EQT</t>
  </si>
  <si>
    <t>EQT CORP</t>
  </si>
  <si>
    <t>EFX</t>
  </si>
  <si>
    <t>EQUIFAX INC</t>
  </si>
  <si>
    <t>EQIX</t>
  </si>
  <si>
    <t>EQUINIX REIT INC</t>
  </si>
  <si>
    <t>EQNR</t>
  </si>
  <si>
    <t>EQUINOR</t>
  </si>
  <si>
    <t>EQX</t>
  </si>
  <si>
    <t>EQUINOX GOLD CORP</t>
  </si>
  <si>
    <t>EQR</t>
  </si>
  <si>
    <t>EQUITY RESIDENTIAL REIT</t>
  </si>
  <si>
    <t>ERIC B</t>
  </si>
  <si>
    <t>ERICSSON B</t>
  </si>
  <si>
    <t>ERIE</t>
  </si>
  <si>
    <t>ERIE INDEMNITY CLASS A</t>
  </si>
  <si>
    <t>EBS</t>
  </si>
  <si>
    <t>ERSTE GROUP BANK AG</t>
  </si>
  <si>
    <t>ESS</t>
  </si>
  <si>
    <t>ESSEX PROPERTY TRUST REIT INC</t>
  </si>
  <si>
    <t>EL</t>
  </si>
  <si>
    <t>ESSILORLUXOTTICA SA</t>
  </si>
  <si>
    <t>ESSITY B</t>
  </si>
  <si>
    <t>ESSITY CLASS B</t>
  </si>
  <si>
    <t>ESTEE LAUDER INC CLASS A</t>
  </si>
  <si>
    <t>ERF</t>
  </si>
  <si>
    <t>EUROFINS SCIENTIFIC</t>
  </si>
  <si>
    <t>ENX</t>
  </si>
  <si>
    <t>EURONEXT NV</t>
  </si>
  <si>
    <t>EG</t>
  </si>
  <si>
    <t>EVEREST GROUP LTD</t>
  </si>
  <si>
    <t>EVRG</t>
  </si>
  <si>
    <t>EVERGY INC</t>
  </si>
  <si>
    <t>P</t>
  </si>
  <si>
    <t>EVERPURE INC CLASS A</t>
  </si>
  <si>
    <t>ES</t>
  </si>
  <si>
    <t>EVERSOURCE ENERGY</t>
  </si>
  <si>
    <t>EVO</t>
  </si>
  <si>
    <t>EVOLUTION</t>
  </si>
  <si>
    <t>EVN</t>
  </si>
  <si>
    <t>EVOLUTION MINING LTD</t>
  </si>
  <si>
    <t>EVK</t>
  </si>
  <si>
    <t>EVONIK INDUSTRIES AG</t>
  </si>
  <si>
    <t>EXC</t>
  </si>
  <si>
    <t>EXELON CORP</t>
  </si>
  <si>
    <t>EXO</t>
  </si>
  <si>
    <t>EXOR NV</t>
  </si>
  <si>
    <t>EXE</t>
  </si>
  <si>
    <t>EXPAND ENERGY CORP</t>
  </si>
  <si>
    <t>EXPE</t>
  </si>
  <si>
    <t>EXPEDIA GROUP INC</t>
  </si>
  <si>
    <t>EXPD</t>
  </si>
  <si>
    <t>EXPEDITORS INTERNATIONAL OF WASHIN</t>
  </si>
  <si>
    <t>EXPN</t>
  </si>
  <si>
    <t>EXPERIAN PLC</t>
  </si>
  <si>
    <t>EXR</t>
  </si>
  <si>
    <t>EXTRA SPACE STORAGE REIT INC</t>
  </si>
  <si>
    <t>FFIV</t>
  </si>
  <si>
    <t>F5 INC</t>
  </si>
  <si>
    <t>FN</t>
  </si>
  <si>
    <t>FABRINET</t>
  </si>
  <si>
    <t>FAIR ISAAC CORP</t>
  </si>
  <si>
    <t>FFH</t>
  </si>
  <si>
    <t>FAIRFAX FINANCIAL HOLDINGS SUB VOT</t>
  </si>
  <si>
    <t>6954</t>
  </si>
  <si>
    <t>FANUC CORP</t>
  </si>
  <si>
    <t>9983</t>
  </si>
  <si>
    <t>FAST RETAILING LTD</t>
  </si>
  <si>
    <t>FAST</t>
  </si>
  <si>
    <t>FASTENAL</t>
  </si>
  <si>
    <t>BALD B</t>
  </si>
  <si>
    <t>FASTIGHETS BALDER CLASS B</t>
  </si>
  <si>
    <t>FDX</t>
  </si>
  <si>
    <t>FEDEX CORP</t>
  </si>
  <si>
    <t>FDXF</t>
  </si>
  <si>
    <t>FEDEX FREIGHT HOLDING COMPANY INC</t>
  </si>
  <si>
    <t>FERG</t>
  </si>
  <si>
    <t>FERGUSON ENTERPRISES INC</t>
  </si>
  <si>
    <t>RACE</t>
  </si>
  <si>
    <t>FERRARI NV</t>
  </si>
  <si>
    <t>FER</t>
  </si>
  <si>
    <t>FERROVIAL NV</t>
  </si>
  <si>
    <t>FNF</t>
  </si>
  <si>
    <t>FIDELITY NATIONAL FINANCIAL INC</t>
  </si>
  <si>
    <t>FIS</t>
  </si>
  <si>
    <t>FIDELITY NATIONAL INFORMATION SERV</t>
  </si>
  <si>
    <t>FITB</t>
  </si>
  <si>
    <t>FIFTH THIRD BANCORP</t>
  </si>
  <si>
    <t>TUB</t>
  </si>
  <si>
    <t>FINANCIERE DE TUBIZE SA</t>
  </si>
  <si>
    <t>FBK</t>
  </si>
  <si>
    <t>FINECOBANK BANCA FINECO</t>
  </si>
  <si>
    <t>FCNCA</t>
  </si>
  <si>
    <t>FIRST CITIZENS BANCSHARES INC CLAS</t>
  </si>
  <si>
    <t>FM</t>
  </si>
  <si>
    <t>FIRST QUANTUM MINERALS LTD</t>
  </si>
  <si>
    <t>FSLR</t>
  </si>
  <si>
    <t>FIRST SOLAR INC</t>
  </si>
  <si>
    <t>FE</t>
  </si>
  <si>
    <t>FIRSTENERGY CORP</t>
  </si>
  <si>
    <t>FSV</t>
  </si>
  <si>
    <t>FIRSTSERVICE SUBORDINATE VOTING CO</t>
  </si>
  <si>
    <t>FISV</t>
  </si>
  <si>
    <t>FISERV INC</t>
  </si>
  <si>
    <t>FPH</t>
  </si>
  <si>
    <t>FISHER AND PAYKEL HEALTHCARE CORPO</t>
  </si>
  <si>
    <t>FLEX</t>
  </si>
  <si>
    <t>FLEX LTD</t>
  </si>
  <si>
    <t>FLUT</t>
  </si>
  <si>
    <t>FLUTTER ENTERTAINMENT PLC</t>
  </si>
  <si>
    <t>F</t>
  </si>
  <si>
    <t>FORD MOTOR CO</t>
  </si>
  <si>
    <t>FMG</t>
  </si>
  <si>
    <t>FORTESCUE LTD</t>
  </si>
  <si>
    <t>FTNT</t>
  </si>
  <si>
    <t>FORTINET INC</t>
  </si>
  <si>
    <t>FTS</t>
  </si>
  <si>
    <t>FORTIS INC</t>
  </si>
  <si>
    <t>FTV</t>
  </si>
  <si>
    <t>FORTIVE CORP</t>
  </si>
  <si>
    <t>FORTUM</t>
  </si>
  <si>
    <t>FOXA</t>
  </si>
  <si>
    <t>FOX CORP CLASS A</t>
  </si>
  <si>
    <t>FOX</t>
  </si>
  <si>
    <t>FOX CORP CLASS B</t>
  </si>
  <si>
    <t>FNV</t>
  </si>
  <si>
    <t>FRANCO NEVADA CORP</t>
  </si>
  <si>
    <t>FCX</t>
  </si>
  <si>
    <t>FREEPORT MCMORAN INC</t>
  </si>
  <si>
    <t>FME</t>
  </si>
  <si>
    <t>FRESENIUS MEDICAL CARE AG</t>
  </si>
  <si>
    <t>FRE</t>
  </si>
  <si>
    <t>FRESENIUS SE AND CO KGAA</t>
  </si>
  <si>
    <t>FRES</t>
  </si>
  <si>
    <t>FRESNILLO PLC</t>
  </si>
  <si>
    <t>FTAI</t>
  </si>
  <si>
    <t>FTAI AVIATION LTD</t>
  </si>
  <si>
    <t>6504</t>
  </si>
  <si>
    <t>FUJI ELECTRIC LTD</t>
  </si>
  <si>
    <t>4901</t>
  </si>
  <si>
    <t>FUJIFILM HOLDINGS CORP</t>
  </si>
  <si>
    <t>5803</t>
  </si>
  <si>
    <t>FUJIKURA LTD</t>
  </si>
  <si>
    <t>6702</t>
  </si>
  <si>
    <t>FUJITSU LTD</t>
  </si>
  <si>
    <t>5801</t>
  </si>
  <si>
    <t>FURUKAWA ELECTRIC LTD</t>
  </si>
  <si>
    <t>FUTU</t>
  </si>
  <si>
    <t>FUTU HOLDINGS ADR LTD</t>
  </si>
  <si>
    <t>27</t>
  </si>
  <si>
    <t>GALAXY ENTERTAINMENT GROUP LTD</t>
  </si>
  <si>
    <t>GALD</t>
  </si>
  <si>
    <t>GALDERMA GROUP N AG</t>
  </si>
  <si>
    <t>GALP</t>
  </si>
  <si>
    <t>GALP ENERGIA SGPS SA CLASS B</t>
  </si>
  <si>
    <t>GLPI</t>
  </si>
  <si>
    <t>GAMING AND LEISURE PROPERTIES REIT</t>
  </si>
  <si>
    <t>GRMN</t>
  </si>
  <si>
    <t>GARMIN LTD</t>
  </si>
  <si>
    <t>GEHC</t>
  </si>
  <si>
    <t>GE HEALTHCARE TECHNOLOGIES INC</t>
  </si>
  <si>
    <t>GEV</t>
  </si>
  <si>
    <t>GE VERNOVA INC</t>
  </si>
  <si>
    <t>G1A</t>
  </si>
  <si>
    <t>GEA GROUP AG</t>
  </si>
  <si>
    <t>GEBN</t>
  </si>
  <si>
    <t>GEBERIT AG</t>
  </si>
  <si>
    <t>GFC</t>
  </si>
  <si>
    <t>GECINA SA</t>
  </si>
  <si>
    <t>GEN</t>
  </si>
  <si>
    <t>GEN DIGITAL INC</t>
  </si>
  <si>
    <t>GD</t>
  </si>
  <si>
    <t>GENERAL DYNAMICS CORP</t>
  </si>
  <si>
    <t>GIS</t>
  </si>
  <si>
    <t>GENERAL MILLS INC</t>
  </si>
  <si>
    <t>GM</t>
  </si>
  <si>
    <t>GENERAL MOTORS</t>
  </si>
  <si>
    <t>GMAB</t>
  </si>
  <si>
    <t>GENMAB</t>
  </si>
  <si>
    <t>GPC</t>
  </si>
  <si>
    <t>GENUINE PARTS</t>
  </si>
  <si>
    <t>WN</t>
  </si>
  <si>
    <t>GEORGE WESTON LTD</t>
  </si>
  <si>
    <t>GET</t>
  </si>
  <si>
    <t>GETLINK</t>
  </si>
  <si>
    <t>GFL</t>
  </si>
  <si>
    <t>GFL ENVIRONMENTAL SUBORDINATE VOTI</t>
  </si>
  <si>
    <t>GIL</t>
  </si>
  <si>
    <t>GILDAN ACTIVEWEAR INC</t>
  </si>
  <si>
    <t>GILD</t>
  </si>
  <si>
    <t>GILEAD SCIENCES INC</t>
  </si>
  <si>
    <t>GIVN</t>
  </si>
  <si>
    <t>GIVAUDAN SA</t>
  </si>
  <si>
    <t>GJF</t>
  </si>
  <si>
    <t>GJENSIDIGE FORSIKRING</t>
  </si>
  <si>
    <t>GSK</t>
  </si>
  <si>
    <t>GLAXOSMITHKLINE</t>
  </si>
  <si>
    <t>GLEN</t>
  </si>
  <si>
    <t>GLENCORE PLC</t>
  </si>
  <si>
    <t>GPN</t>
  </si>
  <si>
    <t>GLOBAL PAYMENTS INC</t>
  </si>
  <si>
    <t>GMG</t>
  </si>
  <si>
    <t>GOODMAN GROUP UNITS</t>
  </si>
  <si>
    <t>GRAB</t>
  </si>
  <si>
    <t>GRAB HOLDINGS LTD CLASS A</t>
  </si>
  <si>
    <t>GGG</t>
  </si>
  <si>
    <t>GRACO INC</t>
  </si>
  <si>
    <t>GWO</t>
  </si>
  <si>
    <t>GREAT WEST LIFECO INC</t>
  </si>
  <si>
    <t>GBLB</t>
  </si>
  <si>
    <t>GROUPE BRUXELLES LAMBERT NV</t>
  </si>
  <si>
    <t>HLN</t>
  </si>
  <si>
    <t>HALEON PLC</t>
  </si>
  <si>
    <t>HAL</t>
  </si>
  <si>
    <t>HALLIBURTON</t>
  </si>
  <si>
    <t>HLMA</t>
  </si>
  <si>
    <t>HALMA PLC</t>
  </si>
  <si>
    <t>9042</t>
  </si>
  <si>
    <t>HANKYU HANSHIN HOLDINGS INC</t>
  </si>
  <si>
    <t>HNR1</t>
  </si>
  <si>
    <t>HANNOVER RUECK</t>
  </si>
  <si>
    <t>HIG</t>
  </si>
  <si>
    <t>HARTFORD INSURANCE GROUP INC</t>
  </si>
  <si>
    <t>HCA</t>
  </si>
  <si>
    <t>HCA HEALTHCARE INC</t>
  </si>
  <si>
    <t>HEI</t>
  </si>
  <si>
    <t>HEICO CORP</t>
  </si>
  <si>
    <t>HEIA</t>
  </si>
  <si>
    <t>HEICO CORP CLASS A</t>
  </si>
  <si>
    <t>HEIDELBERG MATERIALS AG</t>
  </si>
  <si>
    <t>HEIO</t>
  </si>
  <si>
    <t>HEINEKEN HOLDING NV</t>
  </si>
  <si>
    <t>HEINEKEN NV</t>
  </si>
  <si>
    <t>HBAN</t>
  </si>
  <si>
    <t>HELVETIA BALOISE HOLDING N AG</t>
  </si>
  <si>
    <t>12</t>
  </si>
  <si>
    <t>HENDERSON LAND DEVELOPMENT LTD</t>
  </si>
  <si>
    <t>HEN3</t>
  </si>
  <si>
    <t>HENKEL &amp; KGAA PREF AG</t>
  </si>
  <si>
    <t>HEN</t>
  </si>
  <si>
    <t>HENKEL AG</t>
  </si>
  <si>
    <t>HM B</t>
  </si>
  <si>
    <t>HENNES &amp; MAURITZ</t>
  </si>
  <si>
    <t>HAG</t>
  </si>
  <si>
    <t>HENSOLDT AG</t>
  </si>
  <si>
    <t>RMS</t>
  </si>
  <si>
    <t>HERMES INTERNATIONAL</t>
  </si>
  <si>
    <t>HSY</t>
  </si>
  <si>
    <t>HERSHEY FOODS</t>
  </si>
  <si>
    <t>HPE</t>
  </si>
  <si>
    <t>HEWLETT PACKARD ENTERPRISE</t>
  </si>
  <si>
    <t>HEXA B</t>
  </si>
  <si>
    <t>HEXAGON CLASS B</t>
  </si>
  <si>
    <t>9435</t>
  </si>
  <si>
    <t>HIKARI TSUSHIN INC</t>
  </si>
  <si>
    <t>HLT</t>
  </si>
  <si>
    <t>HILTON WORLDWIDE HOLDINGS INC</t>
  </si>
  <si>
    <t>6501</t>
  </si>
  <si>
    <t>HITACHI LTD</t>
  </si>
  <si>
    <t>6823</t>
  </si>
  <si>
    <t>HKT TRUST AND HKT UNITS LTD</t>
  </si>
  <si>
    <t>HOT</t>
  </si>
  <si>
    <t>HOCHTIEF AG</t>
  </si>
  <si>
    <t>HOLN</t>
  </si>
  <si>
    <t>HOLCIM LTD AG</t>
  </si>
  <si>
    <t>HOLX</t>
  </si>
  <si>
    <t>HOLOGIC INC</t>
  </si>
  <si>
    <t>HD</t>
  </si>
  <si>
    <t>HOME DEPOT INC</t>
  </si>
  <si>
    <t>7267</t>
  </si>
  <si>
    <t>HONDA MOTOR LTD</t>
  </si>
  <si>
    <t>HONA</t>
  </si>
  <si>
    <t>HONEYWELL AEROSPACE INC</t>
  </si>
  <si>
    <t>HON</t>
  </si>
  <si>
    <t>HONEYWELL INTERNATIONAL INC</t>
  </si>
  <si>
    <t>3</t>
  </si>
  <si>
    <t>HONG KONG AND CHINA GAS LTD</t>
  </si>
  <si>
    <t>388</t>
  </si>
  <si>
    <t>HONG KONG EXCHANGES AND CLEARING L</t>
  </si>
  <si>
    <t>H78</t>
  </si>
  <si>
    <t>HONGKONG LAND HOLDINGS LTD</t>
  </si>
  <si>
    <t>HWM</t>
  </si>
  <si>
    <t>HOWMET AEROSPACE INC</t>
  </si>
  <si>
    <t>7741</t>
  </si>
  <si>
    <t>HOYA CORP</t>
  </si>
  <si>
    <t>HPQ</t>
  </si>
  <si>
    <t>HP INC</t>
  </si>
  <si>
    <t>HUBB</t>
  </si>
  <si>
    <t>HUBBELL INC</t>
  </si>
  <si>
    <t>3003</t>
  </si>
  <si>
    <t>HULIC LTD</t>
  </si>
  <si>
    <t>HUM</t>
  </si>
  <si>
    <t>HUMANA INC</t>
  </si>
  <si>
    <t>HUNTINGTON BANCSHARES INC</t>
  </si>
  <si>
    <t>H</t>
  </si>
  <si>
    <t>HYATT HOTELS CORP CLASS A</t>
  </si>
  <si>
    <t>HYDRO ONE LTD</t>
  </si>
  <si>
    <t>IAG</t>
  </si>
  <si>
    <t>IA FINANCIAL INC</t>
  </si>
  <si>
    <t>IBE.D</t>
  </si>
  <si>
    <t>IBERDROLA S A RIGHTS SA</t>
  </si>
  <si>
    <t>IBE</t>
  </si>
  <si>
    <t>IBERDROLA SA</t>
  </si>
  <si>
    <t>4062</t>
  </si>
  <si>
    <t>IBIDEN LTD</t>
  </si>
  <si>
    <t>ICL</t>
  </si>
  <si>
    <t>ICL GROUP LTD</t>
  </si>
  <si>
    <t>5019</t>
  </si>
  <si>
    <t>IDEMITSU KOSAN LTD</t>
  </si>
  <si>
    <t>IEX</t>
  </si>
  <si>
    <t>IDEX CORP</t>
  </si>
  <si>
    <t>IDXX</t>
  </si>
  <si>
    <t>IDEXX LABORATORIES INC</t>
  </si>
  <si>
    <t>IGM</t>
  </si>
  <si>
    <t>IGM FINANCIAL INC</t>
  </si>
  <si>
    <t>7013</t>
  </si>
  <si>
    <t>IHI CORP</t>
  </si>
  <si>
    <t>ITW</t>
  </si>
  <si>
    <t>ILLINOIS TOOL INC</t>
  </si>
  <si>
    <t>ILMN</t>
  </si>
  <si>
    <t>ILLUMINA INC</t>
  </si>
  <si>
    <t>IMB</t>
  </si>
  <si>
    <t>IMPERIAL BRANDS PLC</t>
  </si>
  <si>
    <t>IMO</t>
  </si>
  <si>
    <t>IMPERIAL OIL LTD</t>
  </si>
  <si>
    <t>INCY</t>
  </si>
  <si>
    <t>INCYTE CORP</t>
  </si>
  <si>
    <t>IDR</t>
  </si>
  <si>
    <t>INDRA SISTEMAS SA</t>
  </si>
  <si>
    <t>ITX</t>
  </si>
  <si>
    <t>INDUSTRIA DE DISENO TEXTIL SA</t>
  </si>
  <si>
    <t>INDU A</t>
  </si>
  <si>
    <t>INDUSTRIVARDEN A</t>
  </si>
  <si>
    <t>INDU C</t>
  </si>
  <si>
    <t>INDUSTRIVARDEN SERIES</t>
  </si>
  <si>
    <t>INDT</t>
  </si>
  <si>
    <t>INDUTRADE</t>
  </si>
  <si>
    <t>IFX</t>
  </si>
  <si>
    <t>INFINEON TECHNOLOGIES AG</t>
  </si>
  <si>
    <t>INF</t>
  </si>
  <si>
    <t>INFORMA PLC</t>
  </si>
  <si>
    <t>IFT</t>
  </si>
  <si>
    <t>INFRATIL LTD</t>
  </si>
  <si>
    <t>INGA</t>
  </si>
  <si>
    <t>ING GROEP NV</t>
  </si>
  <si>
    <t>IR</t>
  </si>
  <si>
    <t>INGERSOLL RAND INC</t>
  </si>
  <si>
    <t>1605</t>
  </si>
  <si>
    <t>INPEX CORP</t>
  </si>
  <si>
    <t>INPST</t>
  </si>
  <si>
    <t>INPOST SA</t>
  </si>
  <si>
    <t>INSM</t>
  </si>
  <si>
    <t>INSMED INC</t>
  </si>
  <si>
    <t>PODD</t>
  </si>
  <si>
    <t>INSULET CORP</t>
  </si>
  <si>
    <t>INSURANCE AUSTRALIA GROUP LTD</t>
  </si>
  <si>
    <t>IFC</t>
  </si>
  <si>
    <t>INTACT FINANCIAL CORP</t>
  </si>
  <si>
    <t>INTC</t>
  </si>
  <si>
    <t>INTEL CORPORATION</t>
  </si>
  <si>
    <t>IBKR</t>
  </si>
  <si>
    <t>INTERACTIVE BROKERS GROUP INC CLAS</t>
  </si>
  <si>
    <t>ICE</t>
  </si>
  <si>
    <t>INTERCONTINENTAL EXCHANGE INC</t>
  </si>
  <si>
    <t>IHG</t>
  </si>
  <si>
    <t>INTERCONTINENTAL HOTELS GROUP PLC</t>
  </si>
  <si>
    <t>INTERNATIONAL AIRLINES GROUP SA</t>
  </si>
  <si>
    <t>IFF</t>
  </si>
  <si>
    <t>INTERNATIONAL FLAVORS &amp; FRAGRANCES</t>
  </si>
  <si>
    <t>IP</t>
  </si>
  <si>
    <t>INTERNATIONAL PAPER</t>
  </si>
  <si>
    <t>ITRK</t>
  </si>
  <si>
    <t>INTERTEK GROUP PLC</t>
  </si>
  <si>
    <t>ISP</t>
  </si>
  <si>
    <t>INTESA SANPAOLO</t>
  </si>
  <si>
    <t>INTU</t>
  </si>
  <si>
    <t>INTUIT INC</t>
  </si>
  <si>
    <t>ISRG</t>
  </si>
  <si>
    <t>INTUITIVE SURGICAL INC</t>
  </si>
  <si>
    <t>INVE B</t>
  </si>
  <si>
    <t>INVESTOR CLASS B</t>
  </si>
  <si>
    <t>INVH</t>
  </si>
  <si>
    <t>INVITATION HOMES INC</t>
  </si>
  <si>
    <t>IONQ</t>
  </si>
  <si>
    <t>IONQ INC</t>
  </si>
  <si>
    <t>IPN</t>
  </si>
  <si>
    <t>IPSEN SA</t>
  </si>
  <si>
    <t>IQV</t>
  </si>
  <si>
    <t>IQVIA HOLDINGS INC</t>
  </si>
  <si>
    <t>IREN</t>
  </si>
  <si>
    <t>IREN LTD</t>
  </si>
  <si>
    <t>IRM</t>
  </si>
  <si>
    <t>IRON MOUNTAIN INC</t>
  </si>
  <si>
    <t>DSCT</t>
  </si>
  <si>
    <t>ISRAEL DISCOUNT BANK LTD</t>
  </si>
  <si>
    <t>7202</t>
  </si>
  <si>
    <t>ISUZU MOTORS LTD</t>
  </si>
  <si>
    <t>IG</t>
  </si>
  <si>
    <t>ITALGAS</t>
  </si>
  <si>
    <t>8001</t>
  </si>
  <si>
    <t>ITOCHU CORP</t>
  </si>
  <si>
    <t>IVN</t>
  </si>
  <si>
    <t>IVANHOE MINES LTD CLASS A</t>
  </si>
  <si>
    <t>JBL</t>
  </si>
  <si>
    <t>JABIL INC</t>
  </si>
  <si>
    <t>J</t>
  </si>
  <si>
    <t>JACOBS SOLUTIONS INC</t>
  </si>
  <si>
    <t>8697</t>
  </si>
  <si>
    <t>JAPAN EXCHANGE GROUP INC</t>
  </si>
  <si>
    <t>7182</t>
  </si>
  <si>
    <t>JAPAN POST BANK LTD</t>
  </si>
  <si>
    <t>6178</t>
  </si>
  <si>
    <t>JAPAN POST HOLDINGS LTD</t>
  </si>
  <si>
    <t>7181</t>
  </si>
  <si>
    <t>JAPAN POST INSURANCE LTD</t>
  </si>
  <si>
    <t>2914</t>
  </si>
  <si>
    <t>JAPAN TOBACCO INC</t>
  </si>
  <si>
    <t>J36</t>
  </si>
  <si>
    <t>JARDINE MATHESON HOLDINGS LTD</t>
  </si>
  <si>
    <t>JBHT</t>
  </si>
  <si>
    <t>JB HUNT TRANSPORT SERVICES INC</t>
  </si>
  <si>
    <t>JMT</t>
  </si>
  <si>
    <t>JERONIMO MARTINS SA</t>
  </si>
  <si>
    <t>5411</t>
  </si>
  <si>
    <t>JFE HOLDINGS INC</t>
  </si>
  <si>
    <t>JCI</t>
  </si>
  <si>
    <t>JOHNSON CONTROLS INTERNATIONAL PLC</t>
  </si>
  <si>
    <t>BAER</t>
  </si>
  <si>
    <t>JULIUS BAER GRUPPE AG</t>
  </si>
  <si>
    <t>5016</t>
  </si>
  <si>
    <t>JX ADVANCED METALS CORP</t>
  </si>
  <si>
    <t>1812</t>
  </si>
  <si>
    <t>KAJIMA CORP</t>
  </si>
  <si>
    <t>9503</t>
  </si>
  <si>
    <t>KANSAI ELECTRIC POWER INC</t>
  </si>
  <si>
    <t>4452</t>
  </si>
  <si>
    <t>KAO CORP</t>
  </si>
  <si>
    <t>7012</t>
  </si>
  <si>
    <t>KAWASAKI HEAVY INDUSTRIES LTD</t>
  </si>
  <si>
    <t>9107</t>
  </si>
  <si>
    <t>KAWASAKI KISEN LTD</t>
  </si>
  <si>
    <t>KBC</t>
  </si>
  <si>
    <t>KBC GROEP</t>
  </si>
  <si>
    <t>9433</t>
  </si>
  <si>
    <t>KDDI CORP</t>
  </si>
  <si>
    <t>KVUE</t>
  </si>
  <si>
    <t>KENVUE INC</t>
  </si>
  <si>
    <t>BN4</t>
  </si>
  <si>
    <t>KEPPEL LTD</t>
  </si>
  <si>
    <t>KER</t>
  </si>
  <si>
    <t>KERING SA</t>
  </si>
  <si>
    <t>KRZ</t>
  </si>
  <si>
    <t>KERRY GROUP PLC</t>
  </si>
  <si>
    <t>KESKOB</t>
  </si>
  <si>
    <t>KESKO CLASS B</t>
  </si>
  <si>
    <t>KDP</t>
  </si>
  <si>
    <t>KEURIG DR PEPPER INC</t>
  </si>
  <si>
    <t>KEY</t>
  </si>
  <si>
    <t>KEYCORP</t>
  </si>
  <si>
    <t>6861</t>
  </si>
  <si>
    <t>KEYENCE CORP</t>
  </si>
  <si>
    <t>KEYERA CORP</t>
  </si>
  <si>
    <t>KEYS</t>
  </si>
  <si>
    <t>KEYSIGHT TECHNOLOGIES INC</t>
  </si>
  <si>
    <t>2801</t>
  </si>
  <si>
    <t>KIKKOMAN CORP</t>
  </si>
  <si>
    <t>KMB</t>
  </si>
  <si>
    <t>KIMBERLY CLARK CORP</t>
  </si>
  <si>
    <t>KIM</t>
  </si>
  <si>
    <t>KIMCO REALTY REIT CORP</t>
  </si>
  <si>
    <t>KMI</t>
  </si>
  <si>
    <t>KINDER MORGAN INC</t>
  </si>
  <si>
    <t>KGF</t>
  </si>
  <si>
    <t>KINGFISHER PLC</t>
  </si>
  <si>
    <t>KRX</t>
  </si>
  <si>
    <t>KINGSPAN GROUP PLC</t>
  </si>
  <si>
    <t>K</t>
  </si>
  <si>
    <t>KINROSS GOLD CORP</t>
  </si>
  <si>
    <t>285A</t>
  </si>
  <si>
    <t>KIOXIA HOLDINGS CORP</t>
  </si>
  <si>
    <t>2503</t>
  </si>
  <si>
    <t>KIRIN HOLDINGS LTD</t>
  </si>
  <si>
    <t>KKR</t>
  </si>
  <si>
    <t>KKR AND CO INC</t>
  </si>
  <si>
    <t>KLAC</t>
  </si>
  <si>
    <t>KLA CORP</t>
  </si>
  <si>
    <t>LI</t>
  </si>
  <si>
    <t>KLEPIERRE REIT SA</t>
  </si>
  <si>
    <t>KBX</t>
  </si>
  <si>
    <t>KNORR BREMSE AG</t>
  </si>
  <si>
    <t>6301</t>
  </si>
  <si>
    <t>KOMATSU LTD</t>
  </si>
  <si>
    <t>9766</t>
  </si>
  <si>
    <t>KONAMI GROUP CORP</t>
  </si>
  <si>
    <t>KNEBV</t>
  </si>
  <si>
    <t>KONE</t>
  </si>
  <si>
    <t>KOG</t>
  </si>
  <si>
    <t>KONGSBERG GRUPPEN</t>
  </si>
  <si>
    <t>AD</t>
  </si>
  <si>
    <t>KONINKLIJKE AHOLD DELHAIZE NV</t>
  </si>
  <si>
    <t>KPN</t>
  </si>
  <si>
    <t>KONINKLIJKE KPN NV</t>
  </si>
  <si>
    <t>PHIA</t>
  </si>
  <si>
    <t>KONINKLIJKE PHILIPS NV</t>
  </si>
  <si>
    <t>KHC</t>
  </si>
  <si>
    <t>KRAFT HEINZ</t>
  </si>
  <si>
    <t>KR</t>
  </si>
  <si>
    <t>KROGER</t>
  </si>
  <si>
    <t>6326</t>
  </si>
  <si>
    <t>KUBOTA CORP</t>
  </si>
  <si>
    <t>KNIN</t>
  </si>
  <si>
    <t>KUEHNE UND NAGEL INTERNATIONAL AG</t>
  </si>
  <si>
    <t>6971</t>
  </si>
  <si>
    <t>KYOCERA CORP</t>
  </si>
  <si>
    <t>4151</t>
  </si>
  <si>
    <t>KYOWA KIRIN LTD</t>
  </si>
  <si>
    <t>LHX</t>
  </si>
  <si>
    <t>L3HARRIS TECHNOLOGIES INC</t>
  </si>
  <si>
    <t>LH</t>
  </si>
  <si>
    <t>LABCORP HOLDINGS INC</t>
  </si>
  <si>
    <t>AI</t>
  </si>
  <si>
    <t>LAIR LIQUIDE SOCIETE ANONYME POUR</t>
  </si>
  <si>
    <t>LRCX</t>
  </si>
  <si>
    <t>LAM RESEARCH CORP</t>
  </si>
  <si>
    <t>LAND</t>
  </si>
  <si>
    <t>LAND SECURITIES GROUP REIT PLC</t>
  </si>
  <si>
    <t>LVS</t>
  </si>
  <si>
    <t>LAS VEGAS SANDS CORP</t>
  </si>
  <si>
    <t>6920</t>
  </si>
  <si>
    <t>LASERTEC CORP</t>
  </si>
  <si>
    <t>LATO B</t>
  </si>
  <si>
    <t>LATOUR INVESTMENT CLASS B</t>
  </si>
  <si>
    <t>LGEN</t>
  </si>
  <si>
    <t>LEGAL AND GENERAL GROUP PLC</t>
  </si>
  <si>
    <t>LR</t>
  </si>
  <si>
    <t>LEGRAND SA</t>
  </si>
  <si>
    <t>LDOS</t>
  </si>
  <si>
    <t>LEIDOS HOLDINGS INC</t>
  </si>
  <si>
    <t>LEN</t>
  </si>
  <si>
    <t>LENNAR A CORP CLASS A</t>
  </si>
  <si>
    <t>LII</t>
  </si>
  <si>
    <t>LENNOX INTERNATIONAL INC</t>
  </si>
  <si>
    <t>LDO</t>
  </si>
  <si>
    <t>LEONARDO FINMECCANICA SPA</t>
  </si>
  <si>
    <t>FWONK</t>
  </si>
  <si>
    <t>LIBERTY MEDIA FORMULA ONE SERIES C</t>
  </si>
  <si>
    <t>LIFCO B</t>
  </si>
  <si>
    <t>LIFCO CLASS B</t>
  </si>
  <si>
    <t>823</t>
  </si>
  <si>
    <t>LINK REAL ESTATE INVESTMENT TRUST</t>
  </si>
  <si>
    <t>LYV</t>
  </si>
  <si>
    <t>LIVE NATION ENTERTAINMENT INC</t>
  </si>
  <si>
    <t>LLOY</t>
  </si>
  <si>
    <t>LLOYDS BANKING GROUP PLC</t>
  </si>
  <si>
    <t>L</t>
  </si>
  <si>
    <t>LOBLAW COMPANIES LTD</t>
  </si>
  <si>
    <t>LMT</t>
  </si>
  <si>
    <t>LOCKHEED MARTIN CORP</t>
  </si>
  <si>
    <t>LOEWS CORP</t>
  </si>
  <si>
    <t>LOGN</t>
  </si>
  <si>
    <t>LOGITECH INTERNATIONAL SA</t>
  </si>
  <si>
    <t>LSEG</t>
  </si>
  <si>
    <t>LONDON STOCK EXCHANGE GROUP PLC</t>
  </si>
  <si>
    <t>LONN</t>
  </si>
  <si>
    <t>LONZA GROUP AG</t>
  </si>
  <si>
    <t>OR</t>
  </si>
  <si>
    <t>LOREAL SA</t>
  </si>
  <si>
    <t>LOTB</t>
  </si>
  <si>
    <t>LOTUS BAKERIES NV</t>
  </si>
  <si>
    <t>LOW</t>
  </si>
  <si>
    <t>LOWES COMPANIES INC</t>
  </si>
  <si>
    <t>LPLA</t>
  </si>
  <si>
    <t>LPL FINANCIAL HOLDINGS INC</t>
  </si>
  <si>
    <t>LULU</t>
  </si>
  <si>
    <t>LULULEMON ATHLETICA INC</t>
  </si>
  <si>
    <t>LITE</t>
  </si>
  <si>
    <t>LUMENTUM HOLDINGS INC</t>
  </si>
  <si>
    <t>LUND B</t>
  </si>
  <si>
    <t>LUNDBERGFORETAGEN CLASS B</t>
  </si>
  <si>
    <t>LUG</t>
  </si>
  <si>
    <t>LUNDIN GOLD INC</t>
  </si>
  <si>
    <t>LUN</t>
  </si>
  <si>
    <t>LUNDIN MINING CORP</t>
  </si>
  <si>
    <t>4689</t>
  </si>
  <si>
    <t>LY CORP</t>
  </si>
  <si>
    <t>LYC</t>
  </si>
  <si>
    <t>LYNAS RARE EARTHS LTD</t>
  </si>
  <si>
    <t>LYB</t>
  </si>
  <si>
    <t>LYONDELLBASELL INDUSTRIES CLASS A</t>
  </si>
  <si>
    <t>MNG</t>
  </si>
  <si>
    <t>M&amp;G PLC</t>
  </si>
  <si>
    <t>MTB</t>
  </si>
  <si>
    <t>M&amp;T BANK CORP</t>
  </si>
  <si>
    <t>MQG</t>
  </si>
  <si>
    <t>MACQUARIE GROUP LTD DEF</t>
  </si>
  <si>
    <t>MG</t>
  </si>
  <si>
    <t>MAGNA INTERNATIONAL INC</t>
  </si>
  <si>
    <t>MICC</t>
  </si>
  <si>
    <t>MAGNUM ICE CREAM NV</t>
  </si>
  <si>
    <t>6586</t>
  </si>
  <si>
    <t>MAKITA CORP</t>
  </si>
  <si>
    <t>MFC</t>
  </si>
  <si>
    <t>MANULIFE FINANCIAL CORP</t>
  </si>
  <si>
    <t>MAP</t>
  </si>
  <si>
    <t>MAPFRE SA</t>
  </si>
  <si>
    <t>MPC</t>
  </si>
  <si>
    <t>MARATHON PETROLEUM CORP</t>
  </si>
  <si>
    <t>MKL</t>
  </si>
  <si>
    <t>MARKEL GROUP INC</t>
  </si>
  <si>
    <t>MKS</t>
  </si>
  <si>
    <t>MARKS AND SPENCER GROUP PLC</t>
  </si>
  <si>
    <t>MAR</t>
  </si>
  <si>
    <t>MARRIOTT INTERNATIONAL INC CLASS A</t>
  </si>
  <si>
    <t>MRSH</t>
  </si>
  <si>
    <t>MARSH INC</t>
  </si>
  <si>
    <t>MLM</t>
  </si>
  <si>
    <t>MARTIN MARIETTA MATERIALS INC</t>
  </si>
  <si>
    <t>8002</t>
  </si>
  <si>
    <t>MARUBENI CORP</t>
  </si>
  <si>
    <t>MRVL</t>
  </si>
  <si>
    <t>MARVELL TECHNOLOGY INC</t>
  </si>
  <si>
    <t>MAS</t>
  </si>
  <si>
    <t>MASCO CORP</t>
  </si>
  <si>
    <t>MTZ</t>
  </si>
  <si>
    <t>MASTEC INC</t>
  </si>
  <si>
    <t>MKC</t>
  </si>
  <si>
    <t>MCCORMICK &amp; CO NON-VOTING INC</t>
  </si>
  <si>
    <t>MCK</t>
  </si>
  <si>
    <t>MCKESSON CORP</t>
  </si>
  <si>
    <t>MPL</t>
  </si>
  <si>
    <t>MEDIBANK PRIVATE LTD</t>
  </si>
  <si>
    <t>MDLN</t>
  </si>
  <si>
    <t>MEDLINE INC CLASS A</t>
  </si>
  <si>
    <t>MDT</t>
  </si>
  <si>
    <t>MEDTRONIC PLC</t>
  </si>
  <si>
    <t>MRO</t>
  </si>
  <si>
    <t>MELROSE INDUSTRIES PLC</t>
  </si>
  <si>
    <t>MELI</t>
  </si>
  <si>
    <t>MERCADOLIBRE INC</t>
  </si>
  <si>
    <t>MBG</t>
  </si>
  <si>
    <t>MERCEDES-BENZ GROUP N AG</t>
  </si>
  <si>
    <t>MERCK</t>
  </si>
  <si>
    <t>MEL</t>
  </si>
  <si>
    <t>MERIDIAN ENERGY LTD</t>
  </si>
  <si>
    <t>MET</t>
  </si>
  <si>
    <t>METLIFE INC</t>
  </si>
  <si>
    <t>MRU</t>
  </si>
  <si>
    <t>METRO INC</t>
  </si>
  <si>
    <t>METSO</t>
  </si>
  <si>
    <t>METSO CORPORATION</t>
  </si>
  <si>
    <t>MTD</t>
  </si>
  <si>
    <t>METTLER TOLEDO INC</t>
  </si>
  <si>
    <t>ML</t>
  </si>
  <si>
    <t>MICHELIN</t>
  </si>
  <si>
    <t>MCHP</t>
  </si>
  <si>
    <t>MICROCHIP TECHNOLOGY INC</t>
  </si>
  <si>
    <t>MU</t>
  </si>
  <si>
    <t>MICRON TECHNOLOGY INC</t>
  </si>
  <si>
    <t>MAA</t>
  </si>
  <si>
    <t>MID AMERICA APARTMENT COMMUNITIES</t>
  </si>
  <si>
    <t>TIGO</t>
  </si>
  <si>
    <t>MILLICOM INTERNATIONAL CELLULAR SA</t>
  </si>
  <si>
    <t>6479</t>
  </si>
  <si>
    <t>MINEBEA MITSUMI INC</t>
  </si>
  <si>
    <t>4188</t>
  </si>
  <si>
    <t>MITSUBISHI CHEMICAL GROUP CORP</t>
  </si>
  <si>
    <t>8058</t>
  </si>
  <si>
    <t>MITSUBISHI CORP</t>
  </si>
  <si>
    <t>6503</t>
  </si>
  <si>
    <t>MITSUBISHI ELECTRIC CORP</t>
  </si>
  <si>
    <t>8802</t>
  </si>
  <si>
    <t>MITSUBISHI ESTATE CO LTD</t>
  </si>
  <si>
    <t>8593</t>
  </si>
  <si>
    <t>MITSUBISHI HC CAPITAL INC</t>
  </si>
  <si>
    <t>7011</t>
  </si>
  <si>
    <t>MITSUBISHI HEAVY INDUSTRIES LTD</t>
  </si>
  <si>
    <t>8306</t>
  </si>
  <si>
    <t>MITSUBISHI UFJ FINANCIAL GROUP INC</t>
  </si>
  <si>
    <t>8801</t>
  </si>
  <si>
    <t>MITSUI FUDOSAN LTD</t>
  </si>
  <si>
    <t>5706</t>
  </si>
  <si>
    <t>MITSUI KINZOKU LIMITED LTD</t>
  </si>
  <si>
    <t>8031</t>
  </si>
  <si>
    <t>MITSUI LTD</t>
  </si>
  <si>
    <t>9104</t>
  </si>
  <si>
    <t>MITSUI OSK LINES LTD</t>
  </si>
  <si>
    <t>MZTF</t>
  </si>
  <si>
    <t>MIZRAHI TEFAHOT BANK LTD</t>
  </si>
  <si>
    <t>8411</t>
  </si>
  <si>
    <t>MIZUHO FINANCIAL GROUP INC</t>
  </si>
  <si>
    <t>MONC</t>
  </si>
  <si>
    <t>MONCLER</t>
  </si>
  <si>
    <t>MDLZ</t>
  </si>
  <si>
    <t>MONDELEZ INTERNATIONAL INC CLASS A</t>
  </si>
  <si>
    <t>MDB</t>
  </si>
  <si>
    <t>MONGODB INC CLASS A</t>
  </si>
  <si>
    <t>MPWR</t>
  </si>
  <si>
    <t>MONOLITHIC POWER SYSTEMS INC</t>
  </si>
  <si>
    <t>MNST</t>
  </si>
  <si>
    <t>MONSTER BEVERAGE CORP</t>
  </si>
  <si>
    <t>MCO</t>
  </si>
  <si>
    <t>MOODYS CORP</t>
  </si>
  <si>
    <t>MS</t>
  </si>
  <si>
    <t>MORGAN STANLEY</t>
  </si>
  <si>
    <t>MSI</t>
  </si>
  <si>
    <t>MOTOROLA SOLUTIONS INC</t>
  </si>
  <si>
    <t>MOWI</t>
  </si>
  <si>
    <t>8725</t>
  </si>
  <si>
    <t>MS&amp;AD INSURANCE GROUP HOLDINGS INC</t>
  </si>
  <si>
    <t>MSCI</t>
  </si>
  <si>
    <t>MSCI INC</t>
  </si>
  <si>
    <t>66</t>
  </si>
  <si>
    <t>MTR CORPORATION CORP LTD</t>
  </si>
  <si>
    <t>MTX</t>
  </si>
  <si>
    <t>MTU AERO ENGINES HOLDING AG</t>
  </si>
  <si>
    <t>MUV2</t>
  </si>
  <si>
    <t>MUENCHENER RUECKVERSICHERUNGS-GESE</t>
  </si>
  <si>
    <t>6981</t>
  </si>
  <si>
    <t>MURATA MANUFACTURING LTD</t>
  </si>
  <si>
    <t>NDAQ</t>
  </si>
  <si>
    <t>NASDAQ INC</t>
  </si>
  <si>
    <t>NTRA</t>
  </si>
  <si>
    <t>NATERA INC</t>
  </si>
  <si>
    <t>NAB</t>
  </si>
  <si>
    <t>NATIONAL AUSTRALIA BANK LTD</t>
  </si>
  <si>
    <t>NA</t>
  </si>
  <si>
    <t>NATIONAL BANK OF CANADA</t>
  </si>
  <si>
    <t>NG.</t>
  </si>
  <si>
    <t>NATIONAL GRID PLC</t>
  </si>
  <si>
    <t>NTGY</t>
  </si>
  <si>
    <t>NATURGY ENERGY GROUP SA</t>
  </si>
  <si>
    <t>NWG</t>
  </si>
  <si>
    <t>NATWEST GROUP PLC</t>
  </si>
  <si>
    <t>NBIS</t>
  </si>
  <si>
    <t>NEBIUS NV CLASS A</t>
  </si>
  <si>
    <t>6701</t>
  </si>
  <si>
    <t>NEC CORP</t>
  </si>
  <si>
    <t>NEM</t>
  </si>
  <si>
    <t>NEMETSCHEK</t>
  </si>
  <si>
    <t>NESTE</t>
  </si>
  <si>
    <t>NTAP</t>
  </si>
  <si>
    <t>NETAPP INC</t>
  </si>
  <si>
    <t>NBIX</t>
  </si>
  <si>
    <t>NEUROCRINE BIOSCIENCES INC</t>
  </si>
  <si>
    <t>NEWMONT</t>
  </si>
  <si>
    <t>NWSA</t>
  </si>
  <si>
    <t>NEWS CORP CLASS A</t>
  </si>
  <si>
    <t>3659</t>
  </si>
  <si>
    <t>NEXON LTD</t>
  </si>
  <si>
    <t>NXT</t>
  </si>
  <si>
    <t>NEXT PLC</t>
  </si>
  <si>
    <t>NEE</t>
  </si>
  <si>
    <t>NEXTERA ENERGY INC</t>
  </si>
  <si>
    <t>NIBE B</t>
  </si>
  <si>
    <t>NIBE INDUSTRIER CLASS B</t>
  </si>
  <si>
    <t>6594</t>
  </si>
  <si>
    <t>NIDEC CORP</t>
  </si>
  <si>
    <t>NKE</t>
  </si>
  <si>
    <t>NIKE INC CLASS B</t>
  </si>
  <si>
    <t>7974</t>
  </si>
  <si>
    <t>NINTENDO LTD</t>
  </si>
  <si>
    <t>8951</t>
  </si>
  <si>
    <t>NIPPON BUILDING FUND REIT INC</t>
  </si>
  <si>
    <t>4612</t>
  </si>
  <si>
    <t>NIPPON PAINT HOLDINGS LTD</t>
  </si>
  <si>
    <t>4091</t>
  </si>
  <si>
    <t>NIPPON SANSO HOLDINGS CORP</t>
  </si>
  <si>
    <t>5401</t>
  </si>
  <si>
    <t>NIPPON STEEL CORP</t>
  </si>
  <si>
    <t>9101</t>
  </si>
  <si>
    <t>NIPPON YUSEN</t>
  </si>
  <si>
    <t>NI</t>
  </si>
  <si>
    <t>NISOURCE INC</t>
  </si>
  <si>
    <t>7201</t>
  </si>
  <si>
    <t>NISSAN MOTOR LTD</t>
  </si>
  <si>
    <t>9843</t>
  </si>
  <si>
    <t>NITORI HOLDINGS LTD</t>
  </si>
  <si>
    <t>6988</t>
  </si>
  <si>
    <t>NITTO DENKO CORP</t>
  </si>
  <si>
    <t>NN</t>
  </si>
  <si>
    <t>NN GROUP NV</t>
  </si>
  <si>
    <t>NOKIA</t>
  </si>
  <si>
    <t>8604</t>
  </si>
  <si>
    <t>NOMURA HOLDINGS INC</t>
  </si>
  <si>
    <t>4307</t>
  </si>
  <si>
    <t>NOMURA RESEARCH INSTITUTE LTD</t>
  </si>
  <si>
    <t>NDA FI</t>
  </si>
  <si>
    <t>NORDEA BANK</t>
  </si>
  <si>
    <t>NDSN</t>
  </si>
  <si>
    <t>NORDSON CORP</t>
  </si>
  <si>
    <t>NSC</t>
  </si>
  <si>
    <t>NORFOLK SOUTHERN CORP</t>
  </si>
  <si>
    <t>NHY</t>
  </si>
  <si>
    <t>NORSK HYDRO</t>
  </si>
  <si>
    <t>NST</t>
  </si>
  <si>
    <t>NORTHERN STAR RESOURCES LTD</t>
  </si>
  <si>
    <t>NTRS</t>
  </si>
  <si>
    <t>NORTHERN TRUST CORP</t>
  </si>
  <si>
    <t>NOC</t>
  </si>
  <si>
    <t>NORTHROP GRUMMAN CORP</t>
  </si>
  <si>
    <t>NVMI</t>
  </si>
  <si>
    <t>NOVA LTD</t>
  </si>
  <si>
    <t>NSIS B</t>
  </si>
  <si>
    <t>NOVOZYMES B</t>
  </si>
  <si>
    <t>NRG</t>
  </si>
  <si>
    <t>NRG ENERGY INC</t>
  </si>
  <si>
    <t>9432</t>
  </si>
  <si>
    <t>NTT INC</t>
  </si>
  <si>
    <t>NUE</t>
  </si>
  <si>
    <t>NUCOR CORP</t>
  </si>
  <si>
    <t>NTR</t>
  </si>
  <si>
    <t>NUTRIEN LTD</t>
  </si>
  <si>
    <t>NVR</t>
  </si>
  <si>
    <t>NVR INC</t>
  </si>
  <si>
    <t>NXPI</t>
  </si>
  <si>
    <t>NXP SEMICONDUCTORS NV</t>
  </si>
  <si>
    <t>1802</t>
  </si>
  <si>
    <t>OBAYASHI CORP</t>
  </si>
  <si>
    <t>4684</t>
  </si>
  <si>
    <t>OBIC LTD</t>
  </si>
  <si>
    <t>OXY</t>
  </si>
  <si>
    <t>OCCIDENTAL PETROLEUM CORP</t>
  </si>
  <si>
    <t>OCTV SDB</t>
  </si>
  <si>
    <t>OCTAVE INTELLIGENCE SDR PLC</t>
  </si>
  <si>
    <t>OKTA</t>
  </si>
  <si>
    <t>OKTA INC CLASS A</t>
  </si>
  <si>
    <t>ODFL</t>
  </si>
  <si>
    <t>OLD DOMINION FREIGHT LINE INC</t>
  </si>
  <si>
    <t>7733</t>
  </si>
  <si>
    <t>OLYMPUS CORP</t>
  </si>
  <si>
    <t>OMC</t>
  </si>
  <si>
    <t>OMNICOM GROUP INC</t>
  </si>
  <si>
    <t>OMV</t>
  </si>
  <si>
    <t>OMV AG</t>
  </si>
  <si>
    <t>ON</t>
  </si>
  <si>
    <t>ON SEMICONDUCTOR CORP</t>
  </si>
  <si>
    <t>OKE</t>
  </si>
  <si>
    <t>ONEOK INC</t>
  </si>
  <si>
    <t>ORA</t>
  </si>
  <si>
    <t>ORANGE SA</t>
  </si>
  <si>
    <t>ORLY</t>
  </si>
  <si>
    <t>OREILLY AUTOMOTIVE INC</t>
  </si>
  <si>
    <t>4661</t>
  </si>
  <si>
    <t>ORIENTAL LAND LTD</t>
  </si>
  <si>
    <t>ORG</t>
  </si>
  <si>
    <t>ORIGIN ENERGY LTD</t>
  </si>
  <si>
    <t>ORNBV</t>
  </si>
  <si>
    <t>ORION CLASS B</t>
  </si>
  <si>
    <t>8591</t>
  </si>
  <si>
    <t>ORIX CORP</t>
  </si>
  <si>
    <t>ORK</t>
  </si>
  <si>
    <t>ORKLA</t>
  </si>
  <si>
    <t>ORSTED</t>
  </si>
  <si>
    <t>ORSTED A/S</t>
  </si>
  <si>
    <t>9532</t>
  </si>
  <si>
    <t>OSAKA GAS LTD</t>
  </si>
  <si>
    <t>OTIS</t>
  </si>
  <si>
    <t>OTIS WORLDWIDE CORP</t>
  </si>
  <si>
    <t>4768</t>
  </si>
  <si>
    <t>OTSUKA CORP</t>
  </si>
  <si>
    <t>4578</t>
  </si>
  <si>
    <t>OTSUKA HOLDINGS LTD</t>
  </si>
  <si>
    <t>O39</t>
  </si>
  <si>
    <t>OVERSEA-CHINESE BANKING LTD</t>
  </si>
  <si>
    <t>PCAR</t>
  </si>
  <si>
    <t>PACCAR INC</t>
  </si>
  <si>
    <t>PKG</t>
  </si>
  <si>
    <t>PACKAGING CORP OF AMERICA</t>
  </si>
  <si>
    <t>PLTR</t>
  </si>
  <si>
    <t>PALANTIR TECHNOLOGIES INC CLASS A</t>
  </si>
  <si>
    <t>PANW</t>
  </si>
  <si>
    <t>PALO ALTO NETWORKS INC</t>
  </si>
  <si>
    <t>PAAS</t>
  </si>
  <si>
    <t>PAN AMERICAN SILVER CORP</t>
  </si>
  <si>
    <t>7532</t>
  </si>
  <si>
    <t>PAN PACIFIC INTERNATIONAL HOLDINGS</t>
  </si>
  <si>
    <t>6752</t>
  </si>
  <si>
    <t>PANASONIC HOLDINGS CORP</t>
  </si>
  <si>
    <t>PNDORA</t>
  </si>
  <si>
    <t>PANDORA</t>
  </si>
  <si>
    <t>PH</t>
  </si>
  <si>
    <t>PARKER-HANNIFIN CORP</t>
  </si>
  <si>
    <t>PGHN</t>
  </si>
  <si>
    <t>PARTNERS GROUP HOLDING AG</t>
  </si>
  <si>
    <t>PAYX</t>
  </si>
  <si>
    <t>PAYCHEX INC</t>
  </si>
  <si>
    <t>PYPL</t>
  </si>
  <si>
    <t>PAYPAL HOLDINGS INC</t>
  </si>
  <si>
    <t>PSON</t>
  </si>
  <si>
    <t>PEARSON PLC</t>
  </si>
  <si>
    <t>PPL</t>
  </si>
  <si>
    <t>PEMBINA PIPELINE CORP</t>
  </si>
  <si>
    <t>PNR</t>
  </si>
  <si>
    <t>PENTAIR</t>
  </si>
  <si>
    <t>RI</t>
  </si>
  <si>
    <t>PERNOD RICARD SA</t>
  </si>
  <si>
    <t>PCG</t>
  </si>
  <si>
    <t>PG&amp;E CORP</t>
  </si>
  <si>
    <t>PSX</t>
  </si>
  <si>
    <t>PHILLIPS 66</t>
  </si>
  <si>
    <t>PHOE</t>
  </si>
  <si>
    <t>PHOENIX FINANCIAL LTD</t>
  </si>
  <si>
    <t>PNFP</t>
  </si>
  <si>
    <t>PINNACLE FINANCIAL PARTNERS INC</t>
  </si>
  <si>
    <t>PLS</t>
  </si>
  <si>
    <t>PLS GROUP LTD</t>
  </si>
  <si>
    <t>PNC</t>
  </si>
  <si>
    <t>PNC FINANCIAL SERVICES GROUP INC</t>
  </si>
  <si>
    <t>PAH3</t>
  </si>
  <si>
    <t>PORSCHE AUTOMOBIL HOLDING PREF</t>
  </si>
  <si>
    <t>PST</t>
  </si>
  <si>
    <t>POSTE ITALIANE</t>
  </si>
  <si>
    <t>6</t>
  </si>
  <si>
    <t>POWER ASSETS HOLDINGS LTD</t>
  </si>
  <si>
    <t>POW</t>
  </si>
  <si>
    <t>POWER CORPORATION OF CANADA</t>
  </si>
  <si>
    <t>PPG</t>
  </si>
  <si>
    <t>PPG INDUSTRIES INC</t>
  </si>
  <si>
    <t>PPL CORP</t>
  </si>
  <si>
    <t>PFG</t>
  </si>
  <si>
    <t>PRINCIPAL FINANCIAL GROUP INC</t>
  </si>
  <si>
    <t>PME</t>
  </si>
  <si>
    <t>PRO MEDICUS LTD</t>
  </si>
  <si>
    <t>PGR</t>
  </si>
  <si>
    <t>PROGRESSIVE CORP</t>
  </si>
  <si>
    <t>PLD</t>
  </si>
  <si>
    <t>PROLOGIS REIT INC</t>
  </si>
  <si>
    <t>PRX</t>
  </si>
  <si>
    <t>PROSUS NV CLASS N</t>
  </si>
  <si>
    <t>PRU</t>
  </si>
  <si>
    <t>PRUDENTIAL FINANCIAL INC</t>
  </si>
  <si>
    <t>PRUDENTIAL PLC</t>
  </si>
  <si>
    <t>PRY</t>
  </si>
  <si>
    <t>PRYSMIAN</t>
  </si>
  <si>
    <t>PTC</t>
  </si>
  <si>
    <t>PTC INC</t>
  </si>
  <si>
    <t>PEG</t>
  </si>
  <si>
    <t>PUBLIC SERVICE ENTERPRISE GROUP IN</t>
  </si>
  <si>
    <t>PSA</t>
  </si>
  <si>
    <t>PUBLIC STORAGE REIT</t>
  </si>
  <si>
    <t>PUB</t>
  </si>
  <si>
    <t>PUBLICIS GROUPE SA</t>
  </si>
  <si>
    <t>PHM</t>
  </si>
  <si>
    <t>PULTEGROUP INC</t>
  </si>
  <si>
    <t>QAN</t>
  </si>
  <si>
    <t>QANTAS AIRWAYS LTD</t>
  </si>
  <si>
    <t>QBE</t>
  </si>
  <si>
    <t>QBE INSURANCE GROUP LTD</t>
  </si>
  <si>
    <t>QIA</t>
  </si>
  <si>
    <t>QIAGEN NV</t>
  </si>
  <si>
    <t>Q</t>
  </si>
  <si>
    <t>QNITY ELECTRONICS INC</t>
  </si>
  <si>
    <t>QCOM</t>
  </si>
  <si>
    <t>QUALCOMM INC</t>
  </si>
  <si>
    <t>PWR</t>
  </si>
  <si>
    <t>QUANTA SERVICES INC</t>
  </si>
  <si>
    <t>DGX</t>
  </si>
  <si>
    <t>QUEST DIAGNOSTICS INC</t>
  </si>
  <si>
    <t>RBI</t>
  </si>
  <si>
    <t>RAIFFEISEN BANK INTERNATIONAL AG</t>
  </si>
  <si>
    <t>4755</t>
  </si>
  <si>
    <t>RAKUTEN GROUP INC</t>
  </si>
  <si>
    <t>RAA</t>
  </si>
  <si>
    <t>RATIONAL AG</t>
  </si>
  <si>
    <t>RJF</t>
  </si>
  <si>
    <t>RAYMOND JAMES INC</t>
  </si>
  <si>
    <t>RBA</t>
  </si>
  <si>
    <t>RB GLOBAL INC</t>
  </si>
  <si>
    <t>REA</t>
  </si>
  <si>
    <t>REA GROUP LTD</t>
  </si>
  <si>
    <t>O</t>
  </si>
  <si>
    <t>REALTY INCOME REIT CORP</t>
  </si>
  <si>
    <t>RKT</t>
  </si>
  <si>
    <t>RECKITT BENCKISER GROUP PLC</t>
  </si>
  <si>
    <t>REC</t>
  </si>
  <si>
    <t>RECORDATI INDUSTRIA CHIMICA E FARM</t>
  </si>
  <si>
    <t>6098</t>
  </si>
  <si>
    <t>RECRUIT HOLDINGS LTD</t>
  </si>
  <si>
    <t>RDDT</t>
  </si>
  <si>
    <t>REDDIT INC CLASS A</t>
  </si>
  <si>
    <t>RED</t>
  </si>
  <si>
    <t>REDEIA CORPORACION SA</t>
  </si>
  <si>
    <t>REG</t>
  </si>
  <si>
    <t>REGENCY CENTERS REIT CORP</t>
  </si>
  <si>
    <t>REGN</t>
  </si>
  <si>
    <t>REGENERON PHARMACEUTICALS INC</t>
  </si>
  <si>
    <t>RF</t>
  </si>
  <si>
    <t>REGIONS FINANCIAL CORP</t>
  </si>
  <si>
    <t>RS</t>
  </si>
  <si>
    <t>RELIANCE STEEL &amp; ALUMINUM</t>
  </si>
  <si>
    <t>REL</t>
  </si>
  <si>
    <t>RELX PLC</t>
  </si>
  <si>
    <t>RNO</t>
  </si>
  <si>
    <t>RENAULT SA</t>
  </si>
  <si>
    <t>6723</t>
  </si>
  <si>
    <t>RENESAS ELECTRONICS CORP</t>
  </si>
  <si>
    <t>RTO</t>
  </si>
  <si>
    <t>RENTOKIL INITIAL PLC</t>
  </si>
  <si>
    <t>REP</t>
  </si>
  <si>
    <t>REPSOL SA</t>
  </si>
  <si>
    <t>RSG</t>
  </si>
  <si>
    <t>REPUBLIC SERVICES INC</t>
  </si>
  <si>
    <t>RMD</t>
  </si>
  <si>
    <t>RESMED INC</t>
  </si>
  <si>
    <t>8308</t>
  </si>
  <si>
    <t>RESONA HOLDINGS INC</t>
  </si>
  <si>
    <t>4004</t>
  </si>
  <si>
    <t>RESONAC HOLDINGS</t>
  </si>
  <si>
    <t>QSR</t>
  </si>
  <si>
    <t>RESTAURANTS BRANDS INTERNATIONAL I</t>
  </si>
  <si>
    <t>RVMD</t>
  </si>
  <si>
    <t>REVOLUTION MEDICINES INC</t>
  </si>
  <si>
    <t>RXL</t>
  </si>
  <si>
    <t>REXEL SA</t>
  </si>
  <si>
    <t>RHM</t>
  </si>
  <si>
    <t>RHEINMETALL AG</t>
  </si>
  <si>
    <t>RIO</t>
  </si>
  <si>
    <t>RIO TINTO LTD</t>
  </si>
  <si>
    <t>RIO TINTO PLC</t>
  </si>
  <si>
    <t>RIVN</t>
  </si>
  <si>
    <t>RIVIAN AUTOMOTIVE INC CLASS A</t>
  </si>
  <si>
    <t>HOOD</t>
  </si>
  <si>
    <t>ROBINHOOD MARKETS INC CLASS A</t>
  </si>
  <si>
    <t>RBLX</t>
  </si>
  <si>
    <t>ROBLOX CORP CLASS A</t>
  </si>
  <si>
    <t>ROCKET COMPANIES INC CLASS A</t>
  </si>
  <si>
    <t>RKLB</t>
  </si>
  <si>
    <t>ROCKET LAB CORP</t>
  </si>
  <si>
    <t>ROK</t>
  </si>
  <si>
    <t>ROCKWELL AUTOMATION INC</t>
  </si>
  <si>
    <t>ROCK B</t>
  </si>
  <si>
    <t>ROCKWOOL CLASS B</t>
  </si>
  <si>
    <t>RCI.B</t>
  </si>
  <si>
    <t>ROGERS COMMUNICATIONS NON-VOTING I</t>
  </si>
  <si>
    <t>ROL</t>
  </si>
  <si>
    <t>ROLLINS INC</t>
  </si>
  <si>
    <t>RR.</t>
  </si>
  <si>
    <t>ROLLS-ROYCE HOLDINGS PLC</t>
  </si>
  <si>
    <t>ROPER TECHNOLOGIES INC</t>
  </si>
  <si>
    <t>ROST</t>
  </si>
  <si>
    <t>ROSS STORES INC</t>
  </si>
  <si>
    <t>RCL</t>
  </si>
  <si>
    <t>ROYAL CARIBBEAN GROUP LTD</t>
  </si>
  <si>
    <t>RPRX</t>
  </si>
  <si>
    <t>ROYALTY PHARMA PLC CLASS A</t>
  </si>
  <si>
    <t>RPM</t>
  </si>
  <si>
    <t>RPM INTERNATIONAL INC</t>
  </si>
  <si>
    <t>RTX</t>
  </si>
  <si>
    <t>RTX CORP</t>
  </si>
  <si>
    <t>RWE</t>
  </si>
  <si>
    <t>RWE AG</t>
  </si>
  <si>
    <t>RYA</t>
  </si>
  <si>
    <t>RYANAIR HOLDINGS PLC</t>
  </si>
  <si>
    <t>7453</t>
  </si>
  <si>
    <t>RYOHIN KEIKAKU LTD</t>
  </si>
  <si>
    <t>SPGI</t>
  </si>
  <si>
    <t>S&amp;P GLOBAL INC</t>
  </si>
  <si>
    <t>SAAB B</t>
  </si>
  <si>
    <t>SAAB CLASS B</t>
  </si>
  <si>
    <t>SAF</t>
  </si>
  <si>
    <t>SAFRAN SA</t>
  </si>
  <si>
    <t>SAGA B</t>
  </si>
  <si>
    <t>SAGAX CLASS B</t>
  </si>
  <si>
    <t>SBRY</t>
  </si>
  <si>
    <t>SAINSBURY(J) PLC</t>
  </si>
  <si>
    <t>SALM</t>
  </si>
  <si>
    <t>SALMAR</t>
  </si>
  <si>
    <t>SAMPO</t>
  </si>
  <si>
    <t>SAMPO CLASS A</t>
  </si>
  <si>
    <t>IOT</t>
  </si>
  <si>
    <t>SAMSARA INC CLASS A</t>
  </si>
  <si>
    <t>SDZ</t>
  </si>
  <si>
    <t>SANDOZ GROUP AG</t>
  </si>
  <si>
    <t>1928</t>
  </si>
  <si>
    <t>SANDS CHINA LTD</t>
  </si>
  <si>
    <t>SAND</t>
  </si>
  <si>
    <t>SANDVIK</t>
  </si>
  <si>
    <t>SANOFI SA</t>
  </si>
  <si>
    <t>8136</t>
  </si>
  <si>
    <t>SANRIO LTD</t>
  </si>
  <si>
    <t>STO</t>
  </si>
  <si>
    <t>SANTOS LTD</t>
  </si>
  <si>
    <t>SAPUTO INC</t>
  </si>
  <si>
    <t>SRT3</t>
  </si>
  <si>
    <t>SARTORIUS PREF AG</t>
  </si>
  <si>
    <t>DIM</t>
  </si>
  <si>
    <t>SARTORIUS STEDIM BIOTECH SA</t>
  </si>
  <si>
    <t>SBAC</t>
  </si>
  <si>
    <t>SBA COMMUNICATIONS REIT CORP CLASS</t>
  </si>
  <si>
    <t>8473</t>
  </si>
  <si>
    <t>SBI HOLDINGS INC</t>
  </si>
  <si>
    <t>SCG</t>
  </si>
  <si>
    <t>SCENTRE GROUP</t>
  </si>
  <si>
    <t>SCHN</t>
  </si>
  <si>
    <t>SCHINDLER HOLDING AG</t>
  </si>
  <si>
    <t>SCHP</t>
  </si>
  <si>
    <t>SCHINDLER HOLDING PAR AG</t>
  </si>
  <si>
    <t>SU</t>
  </si>
  <si>
    <t>SCHNEIDER ELECTRIC</t>
  </si>
  <si>
    <t>SDR</t>
  </si>
  <si>
    <t>SCHRODERS PLC</t>
  </si>
  <si>
    <t>G24</t>
  </si>
  <si>
    <t>SCOUT24 N</t>
  </si>
  <si>
    <t>7735</t>
  </si>
  <si>
    <t>SCREEN HOLDINGS LTD</t>
  </si>
  <si>
    <t>SE</t>
  </si>
  <si>
    <t>SEA ADS REPRESENTING LTD CLASS A</t>
  </si>
  <si>
    <t>STX</t>
  </si>
  <si>
    <t>SEAGATE TECHNOLOGY HOLDINGS PLC</t>
  </si>
  <si>
    <t>9735</t>
  </si>
  <si>
    <t>SECOM LTD</t>
  </si>
  <si>
    <t>SECU B</t>
  </si>
  <si>
    <t>SECURITAS B</t>
  </si>
  <si>
    <t>SGRO</t>
  </si>
  <si>
    <t>SEGRO REIT PLC</t>
  </si>
  <si>
    <t>9024</t>
  </si>
  <si>
    <t>SEIBU HOLDINGS INC</t>
  </si>
  <si>
    <t>SEKISUI HOUSE LTD</t>
  </si>
  <si>
    <t>U96</t>
  </si>
  <si>
    <t>SEMBCORP INDUSTRIES LTD</t>
  </si>
  <si>
    <t>SRE</t>
  </si>
  <si>
    <t>SEMPRA</t>
  </si>
  <si>
    <t>NOW</t>
  </si>
  <si>
    <t>SERVICENOW INC</t>
  </si>
  <si>
    <t>3382</t>
  </si>
  <si>
    <t>SEVEN &amp; I HOLDINGS LTD</t>
  </si>
  <si>
    <t>SVT</t>
  </si>
  <si>
    <t>SEVERN TRENT PLC</t>
  </si>
  <si>
    <t>SGH</t>
  </si>
  <si>
    <t>SGH LTD</t>
  </si>
  <si>
    <t>SGSN</t>
  </si>
  <si>
    <t>SGS SA</t>
  </si>
  <si>
    <t>SN</t>
  </si>
  <si>
    <t>SHARKNINJA INC</t>
  </si>
  <si>
    <t>SHW</t>
  </si>
  <si>
    <t>SHERWIN WILLIAMS</t>
  </si>
  <si>
    <t>7309</t>
  </si>
  <si>
    <t>SHIMANO INC</t>
  </si>
  <si>
    <t>1803</t>
  </si>
  <si>
    <t>SHIMIZU CORP</t>
  </si>
  <si>
    <t>4063</t>
  </si>
  <si>
    <t>SHIN ETSU CHEMICAL LTD</t>
  </si>
  <si>
    <t>4507</t>
  </si>
  <si>
    <t>SHIONOGI LTD</t>
  </si>
  <si>
    <t>4911</t>
  </si>
  <si>
    <t>SHISEIDO LTD</t>
  </si>
  <si>
    <t>SHOP</t>
  </si>
  <si>
    <t>SHOPIFY SUBORDINATE VOTING INC CLA</t>
  </si>
  <si>
    <t>ENR</t>
  </si>
  <si>
    <t>SIEMENS ENERGY N AG</t>
  </si>
  <si>
    <t>SHL</t>
  </si>
  <si>
    <t>SIEMENS HEALTHINEERS AG</t>
  </si>
  <si>
    <t>SIE</t>
  </si>
  <si>
    <t>SIEMENS N AG</t>
  </si>
  <si>
    <t>SIG</t>
  </si>
  <si>
    <t>SIGMA HEALTHCARE LTD</t>
  </si>
  <si>
    <t>SIKA</t>
  </si>
  <si>
    <t>SIKA AG</t>
  </si>
  <si>
    <t>SPG</t>
  </si>
  <si>
    <t>SIMON PROPERTY GROUP REIT INC</t>
  </si>
  <si>
    <t>C6L</t>
  </si>
  <si>
    <t>SINGAPORE AIRLINES LTD</t>
  </si>
  <si>
    <t>S68</t>
  </si>
  <si>
    <t>SINGAPORE EXCHANGE LTD</t>
  </si>
  <si>
    <t>S63</t>
  </si>
  <si>
    <t>SINGAPORE TECHNOLOGIES ENGINEERING</t>
  </si>
  <si>
    <t>Z74</t>
  </si>
  <si>
    <t>SINGAPORE TELECOMMUNICATIONS LTD</t>
  </si>
  <si>
    <t>83</t>
  </si>
  <si>
    <t>SINO LAND LTD</t>
  </si>
  <si>
    <t>1308</t>
  </si>
  <si>
    <t>SITC INTERNATIONAL HOLDINGS LTD</t>
  </si>
  <si>
    <t>SEB A</t>
  </si>
  <si>
    <t>SKANDINAVISKA ENSKILDA BANKEN</t>
  </si>
  <si>
    <t>SKA B</t>
  </si>
  <si>
    <t>SKANSKA B</t>
  </si>
  <si>
    <t>SKF B</t>
  </si>
  <si>
    <t>SLB</t>
  </si>
  <si>
    <t>SLB NV</t>
  </si>
  <si>
    <t>6273</t>
  </si>
  <si>
    <t>SMC (JAPAN) CORP</t>
  </si>
  <si>
    <t>SN.</t>
  </si>
  <si>
    <t>SMITH AND NEPHEW PLC</t>
  </si>
  <si>
    <t>SMIN</t>
  </si>
  <si>
    <t>SMITHS GROUP PLC</t>
  </si>
  <si>
    <t>SW</t>
  </si>
  <si>
    <t>SMURFIT WESTROCK PLC</t>
  </si>
  <si>
    <t>SRG</t>
  </si>
  <si>
    <t>SNAM</t>
  </si>
  <si>
    <t>SNA</t>
  </si>
  <si>
    <t>SNAP ON INC</t>
  </si>
  <si>
    <t>SNOW</t>
  </si>
  <si>
    <t>SNOWFLAKE INC</t>
  </si>
  <si>
    <t>GLE</t>
  </si>
  <si>
    <t>SOCIETE GENERALE SA</t>
  </si>
  <si>
    <t>SODEXO SA</t>
  </si>
  <si>
    <t>SOFI</t>
  </si>
  <si>
    <t>SOFI TECHNOLOGIES INC</t>
  </si>
  <si>
    <t>SOF</t>
  </si>
  <si>
    <t>SOFINA SA</t>
  </si>
  <si>
    <t>9434</t>
  </si>
  <si>
    <t>SOFTBANK CORP</t>
  </si>
  <si>
    <t>9984</t>
  </si>
  <si>
    <t>SOFTBANK GROUP CORP</t>
  </si>
  <si>
    <t>8630</t>
  </si>
  <si>
    <t>SOMPO HOLDINGS INC</t>
  </si>
  <si>
    <t>SONIC HEALTHCARE LTD</t>
  </si>
  <si>
    <t>SOON</t>
  </si>
  <si>
    <t>SONOVA HOLDING AG</t>
  </si>
  <si>
    <t>6758</t>
  </si>
  <si>
    <t>SONY GROUP CORP</t>
  </si>
  <si>
    <t>S32</t>
  </si>
  <si>
    <t>SOUTH32 LTD</t>
  </si>
  <si>
    <t>SO</t>
  </si>
  <si>
    <t>SOUTHERN</t>
  </si>
  <si>
    <t>SPCX</t>
  </si>
  <si>
    <t>SPACE EXPLORATION TECHNOLOGIES COR</t>
  </si>
  <si>
    <t>SPX</t>
  </si>
  <si>
    <t>SPIRAX GROUP PLC</t>
  </si>
  <si>
    <t>SPOT</t>
  </si>
  <si>
    <t>SPOTIFY TECHNOLOGY SA</t>
  </si>
  <si>
    <t>SSNC</t>
  </si>
  <si>
    <t>SS AND C TECHNOLOGIES HOLDINGS INC</t>
  </si>
  <si>
    <t>SSE</t>
  </si>
  <si>
    <t>SSE PLC</t>
  </si>
  <si>
    <t>STAN</t>
  </si>
  <si>
    <t>STANDARD CHARTERED PLC</t>
  </si>
  <si>
    <t>SDLF</t>
  </si>
  <si>
    <t>STANDARD LIFE PLC</t>
  </si>
  <si>
    <t>STN</t>
  </si>
  <si>
    <t>STANTEC INC</t>
  </si>
  <si>
    <t>SBUX</t>
  </si>
  <si>
    <t>STARBUCKS CORP</t>
  </si>
  <si>
    <t>STT</t>
  </si>
  <si>
    <t>STATE STREET CORP</t>
  </si>
  <si>
    <t>STLD</t>
  </si>
  <si>
    <t>STEEL DYNAMICS INC</t>
  </si>
  <si>
    <t>STLAM</t>
  </si>
  <si>
    <t>STELLANTIS NV</t>
  </si>
  <si>
    <t>STE</t>
  </si>
  <si>
    <t>STERIS</t>
  </si>
  <si>
    <t>STMPA</t>
  </si>
  <si>
    <t>STMICROELECTRONICS NV</t>
  </si>
  <si>
    <t>SGP</t>
  </si>
  <si>
    <t>STOCKLAND STAPLED UNITS LTD</t>
  </si>
  <si>
    <t>STERV</t>
  </si>
  <si>
    <t>STORA ENSO CLASS R</t>
  </si>
  <si>
    <t>MSTR</t>
  </si>
  <si>
    <t>STRATEGY INC CLASS A</t>
  </si>
  <si>
    <t>STMN</t>
  </si>
  <si>
    <t>STRAUMANN HOLDING AG</t>
  </si>
  <si>
    <t>SYK</t>
  </si>
  <si>
    <t>STRYKER CORP</t>
  </si>
  <si>
    <t>7270</t>
  </si>
  <si>
    <t>SUBARU CORP</t>
  </si>
  <si>
    <t>8053</t>
  </si>
  <si>
    <t>SUMITOMO CORP</t>
  </si>
  <si>
    <t>5802</t>
  </si>
  <si>
    <t>SUMITOMO ELECTRIC INDUSTRIES LTD</t>
  </si>
  <si>
    <t>5713</t>
  </si>
  <si>
    <t>SUMITOMO METAL MINING LTD</t>
  </si>
  <si>
    <t>8316</t>
  </si>
  <si>
    <t>SUMITOMO MITSUI FINANCIAL GROUP IN</t>
  </si>
  <si>
    <t>8309</t>
  </si>
  <si>
    <t>SUMITOMO MITSUI TRUST GROUP INC</t>
  </si>
  <si>
    <t>8830</t>
  </si>
  <si>
    <t>SUMITOMO REALTY &amp; DEVELOPMENT LTD</t>
  </si>
  <si>
    <t>SUI</t>
  </si>
  <si>
    <t>SUN COMMUNITIES REIT INC</t>
  </si>
  <si>
    <t>16</t>
  </si>
  <si>
    <t>SUN HUNG KAI PROPERTIES LTD</t>
  </si>
  <si>
    <t>SLF</t>
  </si>
  <si>
    <t>SUN LIFE FINANCIAL INC</t>
  </si>
  <si>
    <t>SUNB</t>
  </si>
  <si>
    <t>SUNBELT RENTALS HOLDINGS INC</t>
  </si>
  <si>
    <t>SUNCOR ENERGY INC</t>
  </si>
  <si>
    <t>SUN</t>
  </si>
  <si>
    <t>SUNCORP GROUP LTD</t>
  </si>
  <si>
    <t>2587</t>
  </si>
  <si>
    <t>SUNTORY BEVERAGE &amp; FOOD LTD</t>
  </si>
  <si>
    <t>SMCI</t>
  </si>
  <si>
    <t>SUPER MICRO COMPUTER INC</t>
  </si>
  <si>
    <t>7269</t>
  </si>
  <si>
    <t>SUZUKI MOTOR CORP</t>
  </si>
  <si>
    <t>SCA B</t>
  </si>
  <si>
    <t>SVENSKA CELLULOSA B</t>
  </si>
  <si>
    <t>SHB A</t>
  </si>
  <si>
    <t>SVENSKA HANDELSBANKEN-A SHS</t>
  </si>
  <si>
    <t>SWED A</t>
  </si>
  <si>
    <t>SWEDBANK</t>
  </si>
  <si>
    <t>SOBI</t>
  </si>
  <si>
    <t>SWEDISH ORPHAN BIOVITRUM</t>
  </si>
  <si>
    <t>19</t>
  </si>
  <si>
    <t>SWIRE PACIFIC LTD A</t>
  </si>
  <si>
    <t>SLHN</t>
  </si>
  <si>
    <t>SWISS LIFE HOLDING AG</t>
  </si>
  <si>
    <t>SPSN</t>
  </si>
  <si>
    <t>SWISS PRIME SITE AG</t>
  </si>
  <si>
    <t>SREN</t>
  </si>
  <si>
    <t>SWISS RE AG</t>
  </si>
  <si>
    <t>SCMN</t>
  </si>
  <si>
    <t>SWISSCOM AG</t>
  </si>
  <si>
    <t>SYENS</t>
  </si>
  <si>
    <t>SYENSQO NV</t>
  </si>
  <si>
    <t>SY1</t>
  </si>
  <si>
    <t>SYMRISE AG</t>
  </si>
  <si>
    <t>SYF</t>
  </si>
  <si>
    <t>SYNCHRONY FINANCIAL</t>
  </si>
  <si>
    <t>SNPS</t>
  </si>
  <si>
    <t>SYNOPSYS INC</t>
  </si>
  <si>
    <t>SYY</t>
  </si>
  <si>
    <t>SYSCO CORP</t>
  </si>
  <si>
    <t>TMUS</t>
  </si>
  <si>
    <t>T MOBILE US INC</t>
  </si>
  <si>
    <t>TROW</t>
  </si>
  <si>
    <t>T ROWE PRICE GROUP INC</t>
  </si>
  <si>
    <t>8795</t>
  </si>
  <si>
    <t>T&amp;D HOLDINGS INC</t>
  </si>
  <si>
    <t>1801</t>
  </si>
  <si>
    <t>TAISEI CORP</t>
  </si>
  <si>
    <t>TTWO</t>
  </si>
  <si>
    <t>TAKE TWO INTERACTIVE SOFTWARE INC</t>
  </si>
  <si>
    <t>4502</t>
  </si>
  <si>
    <t>TAKEDA PHARMACEUTICAL LTD</t>
  </si>
  <si>
    <t>TLX</t>
  </si>
  <si>
    <t>TALANX AG</t>
  </si>
  <si>
    <t>TPR</t>
  </si>
  <si>
    <t>TAPESTRY INC</t>
  </si>
  <si>
    <t>TRGP</t>
  </si>
  <si>
    <t>TARGA RESOURCES CORP</t>
  </si>
  <si>
    <t>TGT</t>
  </si>
  <si>
    <t>TARGET CORP</t>
  </si>
  <si>
    <t>TRP</t>
  </si>
  <si>
    <t>TC ENERGY CORP</t>
  </si>
  <si>
    <t>6762</t>
  </si>
  <si>
    <t>TDK CORP</t>
  </si>
  <si>
    <t>TEL</t>
  </si>
  <si>
    <t>TE CONNECTIVITY PLC</t>
  </si>
  <si>
    <t>FTI</t>
  </si>
  <si>
    <t>TECHNIPFMC PLC</t>
  </si>
  <si>
    <t>669</t>
  </si>
  <si>
    <t>TECHTRONIC INDUSTRIES LTD</t>
  </si>
  <si>
    <t>TECK.B</t>
  </si>
  <si>
    <t>TECK RESOURCES SUBORDINATE VOTING</t>
  </si>
  <si>
    <t>TEL2 B</t>
  </si>
  <si>
    <t>TELE2 B</t>
  </si>
  <si>
    <t>TIT</t>
  </si>
  <si>
    <t>TELECOM ITALIA</t>
  </si>
  <si>
    <t>TDY</t>
  </si>
  <si>
    <t>TELEDYNE TECHNOLOGIES INC</t>
  </si>
  <si>
    <t>TEF</t>
  </si>
  <si>
    <t>TELEFONICA SA</t>
  </si>
  <si>
    <t>TELENOR</t>
  </si>
  <si>
    <t>TELIA</t>
  </si>
  <si>
    <t>TELIA COMPANY</t>
  </si>
  <si>
    <t>TLS</t>
  </si>
  <si>
    <t>TELSTRA GROUP LTD</t>
  </si>
  <si>
    <t>TELUS</t>
  </si>
  <si>
    <t>TEN</t>
  </si>
  <si>
    <t>TENARIS SA</t>
  </si>
  <si>
    <t>TER</t>
  </si>
  <si>
    <t>TERADYNE INC</t>
  </si>
  <si>
    <t>TRN</t>
  </si>
  <si>
    <t>TERNA RETE ELETTRICA NAZIONALE</t>
  </si>
  <si>
    <t>4543</t>
  </si>
  <si>
    <t>TERUMO CORP</t>
  </si>
  <si>
    <t>TSCO</t>
  </si>
  <si>
    <t>TESCO PLC</t>
  </si>
  <si>
    <t>TEVA</t>
  </si>
  <si>
    <t>TEVA PHARMACEUTICAL INDUSTRIES ADR</t>
  </si>
  <si>
    <t>TXN</t>
  </si>
  <si>
    <t>TEXAS INSTRUMENT INC</t>
  </si>
  <si>
    <t>TPL</t>
  </si>
  <si>
    <t>TEXAS PACIFIC LAND CORP</t>
  </si>
  <si>
    <t>TXT</t>
  </si>
  <si>
    <t>TEXTRON INC</t>
  </si>
  <si>
    <t>TFII</t>
  </si>
  <si>
    <t>TFI INTERNATIONAL INC</t>
  </si>
  <si>
    <t>HO</t>
  </si>
  <si>
    <t>THALES SA</t>
  </si>
  <si>
    <t>TLC</t>
  </si>
  <si>
    <t>THE LOTTERY CORPORATION LTD</t>
  </si>
  <si>
    <t>SGE</t>
  </si>
  <si>
    <t>THE SAGE GROUP PLC</t>
  </si>
  <si>
    <t>UHR</t>
  </si>
  <si>
    <t>THE SWATCH GROUP AG</t>
  </si>
  <si>
    <t>TRI</t>
  </si>
  <si>
    <t>THOMSON REUTERS CORP</t>
  </si>
  <si>
    <t>TJX</t>
  </si>
  <si>
    <t>TJX INC</t>
  </si>
  <si>
    <t>X</t>
  </si>
  <si>
    <t>TMX GROUP LTD</t>
  </si>
  <si>
    <t>TOST</t>
  </si>
  <si>
    <t>TOAST INC CLASS A</t>
  </si>
  <si>
    <t>9602</t>
  </si>
  <si>
    <t>TOHO (TOKYO) LTD</t>
  </si>
  <si>
    <t>8766</t>
  </si>
  <si>
    <t>TOKIO MARINE HOLDINGS INC</t>
  </si>
  <si>
    <t>8035</t>
  </si>
  <si>
    <t>TOKYO ELECTRON LTD</t>
  </si>
  <si>
    <t>9531</t>
  </si>
  <si>
    <t>TOKYO GAS LTD</t>
  </si>
  <si>
    <t>7911</t>
  </si>
  <si>
    <t>TOPPAN HOLDINGS INC</t>
  </si>
  <si>
    <t>3402</t>
  </si>
  <si>
    <t>TORAY INDUSTRIES INC</t>
  </si>
  <si>
    <t>TIH</t>
  </si>
  <si>
    <t>TOROMONT INDUSTRIES LTD</t>
  </si>
  <si>
    <t>TD</t>
  </si>
  <si>
    <t>TORONTO DOMINION</t>
  </si>
  <si>
    <t>TTE</t>
  </si>
  <si>
    <t>TOTALENERGIES</t>
  </si>
  <si>
    <t>TOU</t>
  </si>
  <si>
    <t>TOURMALINE OIL CORP</t>
  </si>
  <si>
    <t>TSEM</t>
  </si>
  <si>
    <t>TOWER SEMICONDUCTOR LTD</t>
  </si>
  <si>
    <t>8015</t>
  </si>
  <si>
    <t>TOYOTA TSUSHO CORP</t>
  </si>
  <si>
    <t>TRACTOR SUPPLY</t>
  </si>
  <si>
    <t>TW</t>
  </si>
  <si>
    <t>TRADEWEB MARKETS INC CLASS A</t>
  </si>
  <si>
    <t>TT</t>
  </si>
  <si>
    <t>TRANE TECHNOLOGIES PLC</t>
  </si>
  <si>
    <t>TDG</t>
  </si>
  <si>
    <t>TRANSDIGM GROUP INC</t>
  </si>
  <si>
    <t>TRU</t>
  </si>
  <si>
    <t>TRANSUNION</t>
  </si>
  <si>
    <t>TCL</t>
  </si>
  <si>
    <t>TRANSURBAN GROUP STAPLED UNITS</t>
  </si>
  <si>
    <t>TRV</t>
  </si>
  <si>
    <t>TRAVELERS COMPANIES INC</t>
  </si>
  <si>
    <t>TREL B</t>
  </si>
  <si>
    <t>TRELLEBORG B</t>
  </si>
  <si>
    <t>TRMB</t>
  </si>
  <si>
    <t>TRIMBLE INC</t>
  </si>
  <si>
    <t>TFC</t>
  </si>
  <si>
    <t>TRUIST FINANCIAL CORP</t>
  </si>
  <si>
    <t>TRYG</t>
  </si>
  <si>
    <t>TWLO</t>
  </si>
  <si>
    <t>TWILIO INC CLASS A</t>
  </si>
  <si>
    <t>TYL</t>
  </si>
  <si>
    <t>TYLER TECHNOLOGIES INC</t>
  </si>
  <si>
    <t>TSN</t>
  </si>
  <si>
    <t>TYSON FOODS INC CLASS A</t>
  </si>
  <si>
    <t>UBER</t>
  </si>
  <si>
    <t>UBER TECHNOLOGIES INC</t>
  </si>
  <si>
    <t>UBSG</t>
  </si>
  <si>
    <t>UBS GROUP AG</t>
  </si>
  <si>
    <t>UCB</t>
  </si>
  <si>
    <t>UCB SA</t>
  </si>
  <si>
    <t>ULTA</t>
  </si>
  <si>
    <t>ULTA BEAUTY INC</t>
  </si>
  <si>
    <t>URW</t>
  </si>
  <si>
    <t>UNIBAIL RODAMCO WE STAPLED UNITS</t>
  </si>
  <si>
    <t>8113</t>
  </si>
  <si>
    <t>UNICHARM CORP</t>
  </si>
  <si>
    <t>UCG</t>
  </si>
  <si>
    <t>UNICREDIT</t>
  </si>
  <si>
    <t>UNP</t>
  </si>
  <si>
    <t>UNION PACIFIC CORP</t>
  </si>
  <si>
    <t>UNI</t>
  </si>
  <si>
    <t>UNIPOL ASSICURAZIONI SPA</t>
  </si>
  <si>
    <t>UAL</t>
  </si>
  <si>
    <t>UNITED AIRLINES HOLDINGS INC</t>
  </si>
  <si>
    <t>U11</t>
  </si>
  <si>
    <t>UNITED OVERSEAS BANK LTD</t>
  </si>
  <si>
    <t>UPS</t>
  </si>
  <si>
    <t>UNITED PARCEL SERVICE INC CLASS B</t>
  </si>
  <si>
    <t>URI</t>
  </si>
  <si>
    <t>UNITED RENTALS INC</t>
  </si>
  <si>
    <t>UTHR</t>
  </si>
  <si>
    <t>UNITED THERAPEUTICS CORP</t>
  </si>
  <si>
    <t>UU.</t>
  </si>
  <si>
    <t>UNITED UTILITIES GROUP PLC</t>
  </si>
  <si>
    <t>UNH</t>
  </si>
  <si>
    <t>UNITEDHEALTH GROUP INC</t>
  </si>
  <si>
    <t>UMG</t>
  </si>
  <si>
    <t>UNIVERSAL MUSIC GROUP NV</t>
  </si>
  <si>
    <t>UPM</t>
  </si>
  <si>
    <t>UPM-KYMMENE</t>
  </si>
  <si>
    <t>USB</t>
  </si>
  <si>
    <t>US BANCORP</t>
  </si>
  <si>
    <t>VLO</t>
  </si>
  <si>
    <t>VALERO ENERGY CORP</t>
  </si>
  <si>
    <t>VAR</t>
  </si>
  <si>
    <t>VAR ENERGI</t>
  </si>
  <si>
    <t>VACN</t>
  </si>
  <si>
    <t>VAT GROUP AG</t>
  </si>
  <si>
    <t>VEEV</t>
  </si>
  <si>
    <t>VEEVA SYSTEMS INC CLASS A</t>
  </si>
  <si>
    <t>VTR</t>
  </si>
  <si>
    <t>VENTAS REIT INC</t>
  </si>
  <si>
    <t>VIE</t>
  </si>
  <si>
    <t>VEOLIA ENVIRON. SA</t>
  </si>
  <si>
    <t>VLTO</t>
  </si>
  <si>
    <t>VERALTO CORP</t>
  </si>
  <si>
    <t>VER</t>
  </si>
  <si>
    <t>VERBUND AG</t>
  </si>
  <si>
    <t>VRSN</t>
  </si>
  <si>
    <t>VERISIGN INC</t>
  </si>
  <si>
    <t>VRSK</t>
  </si>
  <si>
    <t>VERISK ANALYTICS INC</t>
  </si>
  <si>
    <t>VZ</t>
  </si>
  <si>
    <t>VERIZON COMMUNICATIONS INC</t>
  </si>
  <si>
    <t>VRTX</t>
  </si>
  <si>
    <t>VERTEX PHARMACEUTICALS INC</t>
  </si>
  <si>
    <t>VRT</t>
  </si>
  <si>
    <t>VERTIV HOLDINGS CLASS A</t>
  </si>
  <si>
    <t>VWS</t>
  </si>
  <si>
    <t>VESTAS WIND SYSTEMS</t>
  </si>
  <si>
    <t>VICI</t>
  </si>
  <si>
    <t>VICI PPTYS INC</t>
  </si>
  <si>
    <t>VCX</t>
  </si>
  <si>
    <t>VICINITY CENTRES</t>
  </si>
  <si>
    <t>VINCI SA</t>
  </si>
  <si>
    <t>VST</t>
  </si>
  <si>
    <t>VISTRA CORP</t>
  </si>
  <si>
    <t>VOD</t>
  </si>
  <si>
    <t>VODAFONE GROUP PLC</t>
  </si>
  <si>
    <t>VOW3</t>
  </si>
  <si>
    <t>VOLKSWAGEN NON-VOTING PREF AG</t>
  </si>
  <si>
    <t>VOLV B</t>
  </si>
  <si>
    <t>VOLVO CLASS B</t>
  </si>
  <si>
    <t>VNA</t>
  </si>
  <si>
    <t>VONOVIA SE</t>
  </si>
  <si>
    <t>VMC</t>
  </si>
  <si>
    <t>VULCAN MATERIALS</t>
  </si>
  <si>
    <t>WPC</t>
  </si>
  <si>
    <t>W. P. CAREY REIT INC</t>
  </si>
  <si>
    <t>WMT</t>
  </si>
  <si>
    <t>WALMART INC</t>
  </si>
  <si>
    <t>DIS</t>
  </si>
  <si>
    <t>WALT DISNEY</t>
  </si>
  <si>
    <t>WBD</t>
  </si>
  <si>
    <t>WARNER BROS. DISCOVERY INC SERIES</t>
  </si>
  <si>
    <t>WRT1V</t>
  </si>
  <si>
    <t>WARTSILA</t>
  </si>
  <si>
    <t>SOL</t>
  </si>
  <si>
    <t>WASHINGTON H SOUL PATTINSON &amp; COMP</t>
  </si>
  <si>
    <t>WCN</t>
  </si>
  <si>
    <t>WASTE CONNECTIONS INC</t>
  </si>
  <si>
    <t>WM</t>
  </si>
  <si>
    <t>WASTE MANAGEMENT INC</t>
  </si>
  <si>
    <t>WAT</t>
  </si>
  <si>
    <t>WATERS CORP</t>
  </si>
  <si>
    <t>WSO</t>
  </si>
  <si>
    <t>WATSCO INC</t>
  </si>
  <si>
    <t>WEC</t>
  </si>
  <si>
    <t>WEC ENERGY GROUP INC</t>
  </si>
  <si>
    <t>WFC</t>
  </si>
  <si>
    <t>WELLS FARGO</t>
  </si>
  <si>
    <t>WELL</t>
  </si>
  <si>
    <t>WELLTOWER INC</t>
  </si>
  <si>
    <t>WES</t>
  </si>
  <si>
    <t>WESFARMERS LTD</t>
  </si>
  <si>
    <t>9021</t>
  </si>
  <si>
    <t>WEST JAPAN RAILWAY</t>
  </si>
  <si>
    <t>WST</t>
  </si>
  <si>
    <t>WEST PHARMACEUTICAL SERVICES INC</t>
  </si>
  <si>
    <t>WDC</t>
  </si>
  <si>
    <t>WESTERN DIGITAL CORP</t>
  </si>
  <si>
    <t>WAB</t>
  </si>
  <si>
    <t>WESTINGHOUSE AIR BRAKE TECHNOLOGIE</t>
  </si>
  <si>
    <t>WBC</t>
  </si>
  <si>
    <t>WESTPAC BANKING CORPORATION</t>
  </si>
  <si>
    <t>WY</t>
  </si>
  <si>
    <t>WEYERHAEUSER REIT</t>
  </si>
  <si>
    <t>288</t>
  </si>
  <si>
    <t>WH GROUP LTD</t>
  </si>
  <si>
    <t>1997</t>
  </si>
  <si>
    <t>WHARF REAL ESTATE INVESTMENT COMPA</t>
  </si>
  <si>
    <t>WPM</t>
  </si>
  <si>
    <t>WHEATON PRECIOUS METALS CORP</t>
  </si>
  <si>
    <t>WCP</t>
  </si>
  <si>
    <t>WHITECAP RESOURCES INC</t>
  </si>
  <si>
    <t>WMB</t>
  </si>
  <si>
    <t>WILLIAMS INC</t>
  </si>
  <si>
    <t>WSM</t>
  </si>
  <si>
    <t>WILLIAMS SONOMA INC</t>
  </si>
  <si>
    <t>WTW</t>
  </si>
  <si>
    <t>WILLIS TOWERS WATSON PLC</t>
  </si>
  <si>
    <t>F34</t>
  </si>
  <si>
    <t>WILMAR INTERNATIONAL LTD</t>
  </si>
  <si>
    <t>WISE</t>
  </si>
  <si>
    <t>WISE PLC CLASS A</t>
  </si>
  <si>
    <t>WTC</t>
  </si>
  <si>
    <t>WISETECH GLOBAL LTD</t>
  </si>
  <si>
    <t>WKL</t>
  </si>
  <si>
    <t>WOLTERS KLUWER NV</t>
  </si>
  <si>
    <t>WDS</t>
  </si>
  <si>
    <t>WOODSIDE ENERGY GROUP LTD</t>
  </si>
  <si>
    <t>WOW</t>
  </si>
  <si>
    <t>WOOLWORTHS GROUP LTD</t>
  </si>
  <si>
    <t>WDAY</t>
  </si>
  <si>
    <t>WORKDAY INC CLASS A</t>
  </si>
  <si>
    <t>WRB</t>
  </si>
  <si>
    <t>WR BERKLEY CORP</t>
  </si>
  <si>
    <t>WSP</t>
  </si>
  <si>
    <t>WSP GLOBAL INC</t>
  </si>
  <si>
    <t>GWW</t>
  </si>
  <si>
    <t>WW GRAINGER INC</t>
  </si>
  <si>
    <t>XEL</t>
  </si>
  <si>
    <t>XCEL ENERGY INC</t>
  </si>
  <si>
    <t>XRO</t>
  </si>
  <si>
    <t>XERO LTD</t>
  </si>
  <si>
    <t>XPO</t>
  </si>
  <si>
    <t>XPO INC</t>
  </si>
  <si>
    <t>XYL</t>
  </si>
  <si>
    <t>XYLEM INC</t>
  </si>
  <si>
    <t>7272</t>
  </si>
  <si>
    <t>YAMAHA MOTOR LTD</t>
  </si>
  <si>
    <t>BS6</t>
  </si>
  <si>
    <t>YANGZIJIANG SHIPBUILDING (HOLDINGS</t>
  </si>
  <si>
    <t>YAR</t>
  </si>
  <si>
    <t>YARA INTERNATIONAL</t>
  </si>
  <si>
    <t>6841</t>
  </si>
  <si>
    <t>YOKOGAWA ELECTRIC CORP</t>
  </si>
  <si>
    <t>7186</t>
  </si>
  <si>
    <t>YOKOHAMA FINANCIAL GROUP INC</t>
  </si>
  <si>
    <t>YUM</t>
  </si>
  <si>
    <t>YUM BRANDS INC</t>
  </si>
  <si>
    <t>ZAL</t>
  </si>
  <si>
    <t>ZALANDO</t>
  </si>
  <si>
    <t>7550</t>
  </si>
  <si>
    <t>ZENSHO HOLDINGS LTD</t>
  </si>
  <si>
    <t>ZBH</t>
  </si>
  <si>
    <t>ZIMMER BIOMET HOLDINGS INC</t>
  </si>
  <si>
    <t>ZTS</t>
  </si>
  <si>
    <t>ZOETIS INC CLASS A</t>
  </si>
  <si>
    <t>ZM</t>
  </si>
  <si>
    <t>ZOOM COMMUNICATIONS INC CLASS A</t>
  </si>
  <si>
    <t>ZS</t>
  </si>
  <si>
    <t>ZSCALER INC</t>
  </si>
  <si>
    <t>ZURN</t>
  </si>
  <si>
    <t>ZURICH INSURANCE GROUP AG</t>
  </si>
  <si>
    <t>VSURE</t>
  </si>
  <si>
    <t>VERISURE PLC</t>
  </si>
  <si>
    <t>10.07.2026</t>
  </si>
  <si>
    <t>boerse.de-Technologiefonds – Basisportfolio</t>
  </si>
  <si>
    <t>Wertpapier</t>
  </si>
  <si>
    <t>WKN</t>
  </si>
  <si>
    <t>ISIN</t>
  </si>
  <si>
    <t>Stückzahl</t>
  </si>
  <si>
    <t>Kurs (€)</t>
  </si>
  <si>
    <t>Aktueller Wert (€)</t>
  </si>
  <si>
    <t>Stand</t>
  </si>
  <si>
    <t>A0YJQ2</t>
  </si>
  <si>
    <t>US0846707026</t>
  </si>
  <si>
    <t>840400</t>
  </si>
  <si>
    <t>DE0008404005</t>
  </si>
  <si>
    <t>918422</t>
  </si>
  <si>
    <t>US67066G1040</t>
  </si>
  <si>
    <t>863186</t>
  </si>
  <si>
    <t>US0079031078</t>
  </si>
  <si>
    <t>A14Y6H</t>
  </si>
  <si>
    <t>US02079K1079</t>
  </si>
  <si>
    <t>869020</t>
  </si>
  <si>
    <t>US5951121038</t>
  </si>
  <si>
    <t>870747</t>
  </si>
  <si>
    <t>US5949181045</t>
  </si>
  <si>
    <t>858560</t>
  </si>
  <si>
    <t>US5324571083</t>
  </si>
  <si>
    <t>723610</t>
  </si>
  <si>
    <t>DE0007236101</t>
  </si>
  <si>
    <t>923893</t>
  </si>
  <si>
    <t>GB0005405286</t>
  </si>
  <si>
    <t>865985</t>
  </si>
  <si>
    <t>US0378331005</t>
  </si>
  <si>
    <t>A3D7VW</t>
  </si>
  <si>
    <t>IE000S9YS762</t>
  </si>
  <si>
    <t>909800</t>
  </si>
  <si>
    <t>US8740391003</t>
  </si>
  <si>
    <t>Quellen, Annahmen und Auflösungsgrad</t>
  </si>
  <si>
    <t>Gesamtvermögen (€)</t>
  </si>
  <si>
    <t>Instrument</t>
  </si>
  <si>
    <t>Depotwert (€)</t>
  </si>
  <si>
    <t>Depotstand</t>
  </si>
  <si>
    <t>Öffentlich auflösbarer Anteil</t>
  </si>
  <si>
    <t>Aufgelöster Betrag (€)</t>
  </si>
  <si>
    <t>Nicht aufgelöst / Nicht-Aktien (€)</t>
  </si>
  <si>
    <t>Methode / Hinweis</t>
  </si>
  <si>
    <t>Direkte Nutzerangaben; vollständig berücksichtigt.</t>
  </si>
  <si>
    <t>40 veröffentlichte Aktien nach ihren Marktwerten gewichtet und auf das Aktienportfolio normiert.</t>
  </si>
  <si>
    <t>Alle in der offiziellen iShares-Datei als Equity klassifizierten Positionen.</t>
  </si>
  <si>
    <t>boerse.de-Technologiefonds</t>
  </si>
  <si>
    <t>Nur das vollständig veröffentlichte 60%-Basisportfolio. Das 40%-Darwin-Portfolio (&gt;500 Aktien) ist nicht vollständig öffentlich auflösbar.</t>
  </si>
  <si>
    <t>Xetra Gold</t>
  </si>
  <si>
    <t>Gold-ETC; keine Einzelaktien.</t>
  </si>
  <si>
    <t>WisdomTree Physical Bitcoin</t>
  </si>
  <si>
    <t>Bitcoin-ETP; keine Einzelaktien.</t>
  </si>
  <si>
    <t>Bargeld</t>
  </si>
  <si>
    <t>Bargeld; keine Einzelaktien.</t>
  </si>
  <si>
    <t>Kontrollsumme Gesamtvermögen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</si>
</sst>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\ #,##0.00;[Red]\(\€\ #,##0.00\);\-"/>
    <numFmt numFmtId="165" formatCode="0.00%;[Red]\(0.00%\);\-"/>
    <numFmt numFmtId="166" formatCode="0.0000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404040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7F6000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color rgb="FF17365D"/>
      <name val="Carlito"/>
    </font>
    <font>
      <b/>
      <sz val="11"/>
      <color rgb="FF000000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16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164" fontId="4" fillId="0" borderId="0" xfId="1" applyNumberFormat="1" applyFont="1"/>
    <xf numFmtId="1" fontId="4" fillId="0" borderId="0" xfId="1" applyNumberFormat="1" applyFont="1"/>
    <xf numFmtId="165" fontId="4" fillId="0" borderId="0" xfId="1" applyNumberFormat="1" applyFont="1"/>
    <xf numFmtId="164" fontId="6" fillId="0" borderId="0" xfId="1" applyNumberFormat="1" applyFont="1"/>
    <xf numFmtId="165" fontId="7" fillId="0" borderId="0" xfId="1" applyNumberFormat="1" applyFont="1"/>
    <xf numFmtId="0" fontId="0" fillId="0" borderId="0" xfId="1" applyFont="1" applyAlignment="1">
      <alignment wrapText="1"/>
    </xf>
    <xf numFmtId="166" fontId="4" fillId="0" borderId="0" xfId="1" applyNumberFormat="1" applyFont="1"/>
    <xf numFmtId="0" fontId="8" fillId="5" borderId="0" xfId="1" applyFont="1" applyFill="1" applyAlignment="1">
      <alignment vertical="center"/>
    </xf>
    <xf numFmtId="0" fontId="4" fillId="0" borderId="0" xfId="1" applyFont="1"/>
    <xf numFmtId="164" fontId="8" fillId="5" borderId="0" xfId="1" applyNumberFormat="1" applyFont="1" applyFill="1" applyAlignment="1">
      <alignment vertical="center"/>
    </xf>
    <xf numFmtId="164" fontId="9" fillId="5" borderId="0" xfId="1" applyNumberFormat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/>
    <xf numFmtId="0" fontId="5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t>Größte konsolidierte Aktienexposures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Sektor</c:v>
          </c:tx>
          <c:invertIfNegative val="1"/>
          <c:cat>
            <c:strRef>
              <c:f>Übersicht!$B$13:$B$22</c:f>
              <c:strCache>
                <c:ptCount val="10"/>
                <c:pt idx="0">
                  <c:v>Berkshire Hathaway</c:v>
                </c:pt>
                <c:pt idx="1">
                  <c:v>Nvidia</c:v>
                </c:pt>
                <c:pt idx="2">
                  <c:v>Alphabet</c:v>
                </c:pt>
                <c:pt idx="3">
                  <c:v>Allianz</c:v>
                </c:pt>
                <c:pt idx="4">
                  <c:v>AMD</c:v>
                </c:pt>
                <c:pt idx="5">
                  <c:v>Microsoft</c:v>
                </c:pt>
                <c:pt idx="6">
                  <c:v>Apple</c:v>
                </c:pt>
                <c:pt idx="7">
                  <c:v>Eli Lilly</c:v>
                </c:pt>
                <c:pt idx="8">
                  <c:v>TSMC</c:v>
                </c:pt>
                <c:pt idx="9">
                  <c:v>Siemens</c:v>
                </c:pt>
              </c:strCache>
            </c:strRef>
          </c:cat>
          <c:val>
            <c:numRef>
              <c:f>Übersicht!$C$13:$C$22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B-45E3-9858-CEE3D628D8EB}"/>
            </c:ext>
          </c:extLst>
        </c:ser>
        <c:ser>
          <c:idx val="1"/>
          <c:order val="1"/>
          <c:tx>
            <c:v>Direkt (€)</c:v>
          </c:tx>
          <c:invertIfNegative val="1"/>
          <c:cat>
            <c:strRef>
              <c:f>Übersicht!$B$13:$B$22</c:f>
              <c:strCache>
                <c:ptCount val="10"/>
                <c:pt idx="0">
                  <c:v>Berkshire Hathaway</c:v>
                </c:pt>
                <c:pt idx="1">
                  <c:v>Nvidia</c:v>
                </c:pt>
                <c:pt idx="2">
                  <c:v>Alphabet</c:v>
                </c:pt>
                <c:pt idx="3">
                  <c:v>Allianz</c:v>
                </c:pt>
                <c:pt idx="4">
                  <c:v>AMD</c:v>
                </c:pt>
                <c:pt idx="5">
                  <c:v>Microsoft</c:v>
                </c:pt>
                <c:pt idx="6">
                  <c:v>Apple</c:v>
                </c:pt>
                <c:pt idx="7">
                  <c:v>Eli Lilly</c:v>
                </c:pt>
                <c:pt idx="8">
                  <c:v>TSMC</c:v>
                </c:pt>
                <c:pt idx="9">
                  <c:v>Siemens</c:v>
                </c:pt>
              </c:strCache>
            </c:strRef>
          </c:cat>
          <c:val>
            <c:numRef>
              <c:f>Übersicht!$D$13:$D$22</c:f>
              <c:numCache>
                <c:formatCode>\€\ #\ ##0.00;[Red]\(\€\ #\ ##0.00\);\-</c:formatCode>
                <c:ptCount val="10"/>
                <c:pt idx="0">
                  <c:v>23600.5</c:v>
                </c:pt>
                <c:pt idx="1">
                  <c:v>4430.5</c:v>
                </c:pt>
                <c:pt idx="2">
                  <c:v>3328.6</c:v>
                </c:pt>
                <c:pt idx="3">
                  <c:v>4210</c:v>
                </c:pt>
                <c:pt idx="4">
                  <c:v>3896.55</c:v>
                </c:pt>
                <c:pt idx="5">
                  <c:v>2410.1</c:v>
                </c:pt>
                <c:pt idx="6">
                  <c:v>1458.25</c:v>
                </c:pt>
                <c:pt idx="7">
                  <c:v>2060.8000000000002</c:v>
                </c:pt>
                <c:pt idx="8">
                  <c:v>696</c:v>
                </c:pt>
                <c:pt idx="9">
                  <c:v>1851.5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B-45E3-9858-CEE3D628D8EB}"/>
            </c:ext>
          </c:extLst>
        </c:ser>
        <c:ser>
          <c:idx val="2"/>
          <c:order val="2"/>
          <c:tx>
            <c:v>Indirekt (€)</c:v>
          </c:tx>
          <c:invertIfNegative val="1"/>
          <c:cat>
            <c:strRef>
              <c:f>Übersicht!$B$13:$B$22</c:f>
              <c:strCache>
                <c:ptCount val="10"/>
                <c:pt idx="0">
                  <c:v>Berkshire Hathaway</c:v>
                </c:pt>
                <c:pt idx="1">
                  <c:v>Nvidia</c:v>
                </c:pt>
                <c:pt idx="2">
                  <c:v>Alphabet</c:v>
                </c:pt>
                <c:pt idx="3">
                  <c:v>Allianz</c:v>
                </c:pt>
                <c:pt idx="4">
                  <c:v>AMD</c:v>
                </c:pt>
                <c:pt idx="5">
                  <c:v>Microsoft</c:v>
                </c:pt>
                <c:pt idx="6">
                  <c:v>Apple</c:v>
                </c:pt>
                <c:pt idx="7">
                  <c:v>Eli Lilly</c:v>
                </c:pt>
                <c:pt idx="8">
                  <c:v>TSMC</c:v>
                </c:pt>
                <c:pt idx="9">
                  <c:v>Siemens</c:v>
                </c:pt>
              </c:strCache>
            </c:strRef>
          </c:cat>
          <c:val>
            <c:numRef>
              <c:f>Übersicht!$E$13:$E$22</c:f>
              <c:numCache>
                <c:formatCode>\€\ #\ ##0.00;[Red]\(\€\ #\ ##0.00\);\-</c:formatCode>
                <c:ptCount val="10"/>
                <c:pt idx="0">
                  <c:v>578.53781774127765</c:v>
                </c:pt>
                <c:pt idx="1">
                  <c:v>1929.2743279327965</c:v>
                </c:pt>
                <c:pt idx="2">
                  <c:v>1801.5608438397237</c:v>
                </c:pt>
                <c:pt idx="3">
                  <c:v>580.02189652313643</c:v>
                </c:pt>
                <c:pt idx="4">
                  <c:v>697.78379305244675</c:v>
                </c:pt>
                <c:pt idx="5">
                  <c:v>1806.3823481748152</c:v>
                </c:pt>
                <c:pt idx="6">
                  <c:v>2068.3080613961442</c:v>
                </c:pt>
                <c:pt idx="7">
                  <c:v>933.23275099558259</c:v>
                </c:pt>
                <c:pt idx="8">
                  <c:v>1324.8169007055506</c:v>
                </c:pt>
                <c:pt idx="9">
                  <c:v>80.610658480209125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B-45E3-9858-CEE3D628D8EB}"/>
            </c:ext>
          </c:extLst>
        </c:ser>
        <c:ser>
          <c:idx val="3"/>
          <c:order val="3"/>
          <c:tx>
            <c:v>Gesamt-Exposure (€)</c:v>
          </c:tx>
          <c:invertIfNegative val="1"/>
          <c:cat>
            <c:strRef>
              <c:f>Übersicht!$B$13:$B$22</c:f>
              <c:strCache>
                <c:ptCount val="10"/>
                <c:pt idx="0">
                  <c:v>Berkshire Hathaway</c:v>
                </c:pt>
                <c:pt idx="1">
                  <c:v>Nvidia</c:v>
                </c:pt>
                <c:pt idx="2">
                  <c:v>Alphabet</c:v>
                </c:pt>
                <c:pt idx="3">
                  <c:v>Allianz</c:v>
                </c:pt>
                <c:pt idx="4">
                  <c:v>AMD</c:v>
                </c:pt>
                <c:pt idx="5">
                  <c:v>Microsoft</c:v>
                </c:pt>
                <c:pt idx="6">
                  <c:v>Apple</c:v>
                </c:pt>
                <c:pt idx="7">
                  <c:v>Eli Lilly</c:v>
                </c:pt>
                <c:pt idx="8">
                  <c:v>TSMC</c:v>
                </c:pt>
                <c:pt idx="9">
                  <c:v>Siemens</c:v>
                </c:pt>
              </c:strCache>
            </c:strRef>
          </c:cat>
          <c:val>
            <c:numRef>
              <c:f>Übersicht!$F$13:$F$22</c:f>
              <c:numCache>
                <c:formatCode>\€\ #\ ##0.00;[Red]\(\€\ #\ ##0.00\);\-</c:formatCode>
                <c:ptCount val="10"/>
                <c:pt idx="0">
                  <c:v>24179.037817741279</c:v>
                </c:pt>
                <c:pt idx="1">
                  <c:v>6359.774327932797</c:v>
                </c:pt>
                <c:pt idx="2">
                  <c:v>5130.1608438397234</c:v>
                </c:pt>
                <c:pt idx="3">
                  <c:v>4790.0218965231361</c:v>
                </c:pt>
                <c:pt idx="4">
                  <c:v>4594.3337930524467</c:v>
                </c:pt>
                <c:pt idx="5">
                  <c:v>4216.4823481748153</c:v>
                </c:pt>
                <c:pt idx="6">
                  <c:v>3526.5580613961442</c:v>
                </c:pt>
                <c:pt idx="7">
                  <c:v>2994.0327509955828</c:v>
                </c:pt>
                <c:pt idx="8">
                  <c:v>2020.8169007055506</c:v>
                </c:pt>
                <c:pt idx="9">
                  <c:v>1932.1106584802092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B-45E3-9858-CEE3D628D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tedExposureTable" displayName="ConsolidatedExposureTable" ref="A1:N1289">
  <tableColumns count="14">
    <tableColumn id="1" xr3:uid="{00000000-0010-0000-0000-000001000000}" name="Rang"/>
    <tableColumn id="2" xr3:uid="{00000000-0010-0000-0000-000002000000}" name="Unternehmen"/>
    <tableColumn id="3" xr3:uid="{00000000-0010-0000-0000-000003000000}" name="Sektor"/>
    <tableColumn id="4" xr3:uid="{00000000-0010-0000-0000-000004000000}" name="Direktbestand (€)"/>
    <tableColumn id="5" xr3:uid="{00000000-0010-0000-0000-000005000000}" name="boerse.de-Aktienfonds (€)"/>
    <tableColumn id="6" xr3:uid="{00000000-0010-0000-0000-000006000000}" name="Global Titans 50 (€)"/>
    <tableColumn id="7" xr3:uid="{00000000-0010-0000-0000-000007000000}" name="boerse.de-Technologiefonds – öffentl. 60% (€)"/>
    <tableColumn id="8" xr3:uid="{00000000-0010-0000-0000-000008000000}" name="MSCI World (€)"/>
    <tableColumn id="9" xr3:uid="{00000000-0010-0000-0000-000009000000}" name="World Value (€)"/>
    <tableColumn id="10" xr3:uid="{00000000-0010-0000-0000-00000A000000}" name="Indirekt gesamt (€)"/>
    <tableColumn id="11" xr3:uid="{00000000-0010-0000-0000-00000B000000}" name="Gesamt-Exposure (€)"/>
    <tableColumn id="12" xr3:uid="{00000000-0010-0000-0000-00000C000000}" name="Anteil Gesamtvermögen"/>
    <tableColumn id="13" xr3:uid="{00000000-0010-0000-0000-00000D000000}" name="Enthalten in"/>
    <tableColumn id="14" xr3:uid="{00000000-0010-0000-0000-00000E000000}" name="Quell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HoldingsTable" displayName="SourceHoldingsTable" ref="A1:J1823">
  <tableColumns count="10">
    <tableColumn id="1" xr3:uid="{00000000-0010-0000-0100-000001000000}" name="Quelle"/>
    <tableColumn id="2" xr3:uid="{00000000-0010-0000-0100-000002000000}" name="Holdings-Stichtag"/>
    <tableColumn id="3" xr3:uid="{00000000-0010-0000-0100-000003000000}" name="Ticker"/>
    <tableColumn id="4" xr3:uid="{00000000-0010-0000-0100-000004000000}" name="Wertpapiername Original"/>
    <tableColumn id="5" xr3:uid="{00000000-0010-0000-0100-000005000000}" name="Unternehmen konsolidiert"/>
    <tableColumn id="6" xr3:uid="{00000000-0010-0000-0100-000006000000}" name="Sektor"/>
    <tableColumn id="7" xr3:uid="{00000000-0010-0000-0100-000007000000}" name="Asset Class"/>
    <tableColumn id="8" xr3:uid="{00000000-0010-0000-0100-000008000000}" name="Gewicht im Instrument (%)"/>
    <tableColumn id="9" xr3:uid="{00000000-0010-0000-0100-000009000000}" name="Anteil am Depot (€)"/>
    <tableColumn id="10" xr3:uid="{00000000-0010-0000-0100-00000A000000}" name="Offizielle Qu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rectHoldingsTable" displayName="DirectHoldingsTable" ref="A1:H14">
  <tableColumns count="8">
    <tableColumn id="1" xr3:uid="{00000000-0010-0000-0200-000001000000}" name="Unternehmen konsolidiert"/>
    <tableColumn id="2" xr3:uid="{00000000-0010-0000-0200-000002000000}" name="Wertpapier"/>
    <tableColumn id="3" xr3:uid="{00000000-0010-0000-0200-000003000000}" name="WKN"/>
    <tableColumn id="4" xr3:uid="{00000000-0010-0000-0200-000004000000}" name="ISIN"/>
    <tableColumn id="5" xr3:uid="{00000000-0010-0000-0200-000005000000}" name="Stückzahl"/>
    <tableColumn id="6" xr3:uid="{00000000-0010-0000-0200-000006000000}" name="Kurs (€)"/>
    <tableColumn id="7" xr3:uid="{00000000-0010-0000-0200-000007000000}" name="Aktueller Wert (€)"/>
    <tableColumn id="8" xr3:uid="{00000000-0010-0000-0200-000008000000}" name="St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/>
  </sheetViews>
  <sheetFormatPr baseColWidth="10" defaultColWidth="9" defaultRowHeight="14.25"/>
  <cols>
    <col min="1" max="1" width="8" customWidth="1"/>
    <col min="2" max="2" width="28" customWidth="1"/>
    <col min="3" max="3" width="24" customWidth="1"/>
    <col min="4" max="6" width="17" customWidth="1"/>
    <col min="7" max="7" width="16" customWidth="1"/>
    <col min="8" max="12" width="18" customWidth="1"/>
  </cols>
  <sheetData>
    <row r="1" spans="1:12" ht="27.9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30">
      <c r="A4" s="1" t="s">
        <v>2</v>
      </c>
      <c r="B4" s="1" t="s">
        <v>3</v>
      </c>
    </row>
    <row r="5" spans="1:12">
      <c r="A5" t="s">
        <v>4</v>
      </c>
      <c r="B5" s="2">
        <v>110400.89</v>
      </c>
    </row>
    <row r="6" spans="1:12">
      <c r="A6" t="s">
        <v>5</v>
      </c>
      <c r="B6" s="2">
        <v>52033.96</v>
      </c>
    </row>
    <row r="7" spans="1:12">
      <c r="A7" t="s">
        <v>6</v>
      </c>
      <c r="B7" s="2">
        <v>43140.442180000005</v>
      </c>
    </row>
    <row r="8" spans="1:12">
      <c r="A8" t="s">
        <v>7</v>
      </c>
      <c r="B8" s="2">
        <v>95174.402180000005</v>
      </c>
    </row>
    <row r="9" spans="1:12">
      <c r="A9" t="s">
        <v>8</v>
      </c>
      <c r="B9" s="2">
        <v>15226.487819999995</v>
      </c>
    </row>
    <row r="10" spans="1:12">
      <c r="A10" t="s">
        <v>9</v>
      </c>
      <c r="B10" s="3">
        <v>1288</v>
      </c>
    </row>
    <row r="12" spans="1:12" ht="4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20</v>
      </c>
      <c r="L12" s="1" t="s">
        <v>21</v>
      </c>
    </row>
    <row r="13" spans="1:12">
      <c r="A13">
        <v>1</v>
      </c>
      <c r="B13" t="s">
        <v>22</v>
      </c>
      <c r="C13" t="s">
        <v>23</v>
      </c>
      <c r="D13" s="2">
        <v>23600.5</v>
      </c>
      <c r="E13" s="2">
        <v>578.53781774127765</v>
      </c>
      <c r="F13" s="2">
        <v>24179.037817741279</v>
      </c>
      <c r="G13" s="4">
        <v>0.21901125813153571</v>
      </c>
      <c r="H13" s="2">
        <v>552.97810574127766</v>
      </c>
      <c r="I13" s="2">
        <v>0</v>
      </c>
      <c r="J13" s="2">
        <v>0</v>
      </c>
      <c r="K13" s="2">
        <v>25.559712000000001</v>
      </c>
      <c r="L13" s="2">
        <v>0</v>
      </c>
    </row>
    <row r="14" spans="1:12">
      <c r="A14">
        <v>2</v>
      </c>
      <c r="B14" t="s">
        <v>24</v>
      </c>
      <c r="C14" t="s">
        <v>25</v>
      </c>
      <c r="D14" s="2">
        <v>4430.5</v>
      </c>
      <c r="E14" s="2">
        <v>1929.2743279327965</v>
      </c>
      <c r="F14" s="2">
        <v>6359.774327932797</v>
      </c>
      <c r="G14" s="4">
        <v>5.7606187123426245E-2</v>
      </c>
      <c r="H14" s="2">
        <v>601.46405717738025</v>
      </c>
      <c r="I14" s="2">
        <v>1061.7517680000001</v>
      </c>
      <c r="J14" s="2">
        <v>86.804206755416203</v>
      </c>
      <c r="K14" s="2">
        <v>179.25429599999998</v>
      </c>
      <c r="L14" s="2">
        <v>0</v>
      </c>
    </row>
    <row r="15" spans="1:12">
      <c r="A15">
        <v>3</v>
      </c>
      <c r="B15" t="s">
        <v>26</v>
      </c>
      <c r="C15" t="s">
        <v>27</v>
      </c>
      <c r="D15" s="2">
        <v>3328.6</v>
      </c>
      <c r="E15" s="2">
        <v>1801.5608438397237</v>
      </c>
      <c r="F15" s="2">
        <v>5130.1608438397234</v>
      </c>
      <c r="G15" s="4">
        <v>4.6468473613208404E-2</v>
      </c>
      <c r="H15" s="2">
        <v>555.0820513720804</v>
      </c>
      <c r="I15" s="2">
        <v>1024.4973199999999</v>
      </c>
      <c r="J15" s="2">
        <v>83.420928467643336</v>
      </c>
      <c r="K15" s="2">
        <v>138.56054399999999</v>
      </c>
      <c r="L15" s="2">
        <v>0</v>
      </c>
    </row>
    <row r="16" spans="1:12">
      <c r="A16">
        <v>4</v>
      </c>
      <c r="B16" t="s">
        <v>28</v>
      </c>
      <c r="C16" t="s">
        <v>23</v>
      </c>
      <c r="D16" s="2">
        <v>4210</v>
      </c>
      <c r="E16" s="2">
        <v>580.02189652313643</v>
      </c>
      <c r="F16" s="2">
        <v>4790.0218965231361</v>
      </c>
      <c r="G16" s="4">
        <v>4.3387529724834069E-2</v>
      </c>
      <c r="H16" s="2">
        <v>573.29565652313647</v>
      </c>
      <c r="I16" s="2">
        <v>0</v>
      </c>
      <c r="J16" s="2">
        <v>0</v>
      </c>
      <c r="K16" s="2">
        <v>6.7262400000000007</v>
      </c>
      <c r="L16" s="2">
        <v>0</v>
      </c>
    </row>
    <row r="17" spans="1:12">
      <c r="A17">
        <v>5</v>
      </c>
      <c r="B17" t="s">
        <v>29</v>
      </c>
      <c r="C17" t="s">
        <v>25</v>
      </c>
      <c r="D17" s="2">
        <v>3896.55</v>
      </c>
      <c r="E17" s="2">
        <v>697.78379305244675</v>
      </c>
      <c r="F17" s="2">
        <v>4594.3337930524467</v>
      </c>
      <c r="G17" s="4">
        <v>4.1615006845075679E-2</v>
      </c>
      <c r="H17" s="2">
        <v>573.30193543815017</v>
      </c>
      <c r="I17" s="2">
        <v>0</v>
      </c>
      <c r="J17" s="2">
        <v>93.877465614296611</v>
      </c>
      <c r="K17" s="2">
        <v>30.604391999999997</v>
      </c>
      <c r="L17" s="2">
        <v>0</v>
      </c>
    </row>
    <row r="18" spans="1:12">
      <c r="A18">
        <v>6</v>
      </c>
      <c r="B18" t="s">
        <v>30</v>
      </c>
      <c r="C18" t="s">
        <v>25</v>
      </c>
      <c r="D18" s="2">
        <v>2410.1</v>
      </c>
      <c r="E18" s="2">
        <v>1806.3823481748152</v>
      </c>
      <c r="F18" s="2">
        <v>4216.4823481748153</v>
      </c>
      <c r="G18" s="4">
        <v>3.8192467000717253E-2</v>
      </c>
      <c r="H18" s="2">
        <v>573.75232031507801</v>
      </c>
      <c r="I18" s="2">
        <v>1036.4719640000001</v>
      </c>
      <c r="J18" s="2">
        <v>90.219783859737234</v>
      </c>
      <c r="K18" s="2">
        <v>105.93827999999999</v>
      </c>
      <c r="L18" s="2">
        <v>0</v>
      </c>
    </row>
    <row r="19" spans="1:12">
      <c r="A19">
        <v>7</v>
      </c>
      <c r="B19" t="s">
        <v>31</v>
      </c>
      <c r="C19" t="s">
        <v>25</v>
      </c>
      <c r="D19" s="2">
        <v>1458.25</v>
      </c>
      <c r="E19" s="2">
        <v>2068.3080613961442</v>
      </c>
      <c r="F19" s="2">
        <v>3526.5580613961442</v>
      </c>
      <c r="G19" s="4">
        <v>3.1943203187910392E-2</v>
      </c>
      <c r="H19" s="2">
        <v>615.12460044148384</v>
      </c>
      <c r="I19" s="2">
        <v>1173.515112</v>
      </c>
      <c r="J19" s="2">
        <v>96.714620954660347</v>
      </c>
      <c r="K19" s="2">
        <v>182.95372800000001</v>
      </c>
      <c r="L19" s="2">
        <v>0</v>
      </c>
    </row>
    <row r="20" spans="1:12">
      <c r="A20">
        <v>8</v>
      </c>
      <c r="B20" t="s">
        <v>32</v>
      </c>
      <c r="C20" t="s">
        <v>33</v>
      </c>
      <c r="D20" s="2">
        <v>2060.8000000000002</v>
      </c>
      <c r="E20" s="2">
        <v>933.23275099558259</v>
      </c>
      <c r="F20" s="2">
        <v>2994.0327509955828</v>
      </c>
      <c r="G20" s="4">
        <v>2.7119643247401203E-2</v>
      </c>
      <c r="H20" s="2">
        <v>536.35595099558259</v>
      </c>
      <c r="I20" s="2">
        <v>361.90035200000005</v>
      </c>
      <c r="J20" s="2">
        <v>0</v>
      </c>
      <c r="K20" s="2">
        <v>34.976447999999998</v>
      </c>
      <c r="L20" s="2">
        <v>0</v>
      </c>
    </row>
    <row r="21" spans="1:12">
      <c r="A21">
        <v>9</v>
      </c>
      <c r="B21" t="s">
        <v>34</v>
      </c>
      <c r="C21" t="s">
        <v>25</v>
      </c>
      <c r="D21" s="2">
        <v>696</v>
      </c>
      <c r="E21" s="2">
        <v>1324.8169007055506</v>
      </c>
      <c r="F21" s="2">
        <v>2020.8169007055506</v>
      </c>
      <c r="G21" s="4">
        <v>1.8304353349919103E-2</v>
      </c>
      <c r="H21" s="2">
        <v>529.24686159684188</v>
      </c>
      <c r="I21" s="2">
        <v>723.80070400000011</v>
      </c>
      <c r="J21" s="2">
        <v>71.769335108708646</v>
      </c>
      <c r="K21" s="2">
        <v>0</v>
      </c>
      <c r="L21" s="2">
        <v>0</v>
      </c>
    </row>
    <row r="22" spans="1:12">
      <c r="A22">
        <v>10</v>
      </c>
      <c r="B22" t="s">
        <v>35</v>
      </c>
      <c r="D22" s="2">
        <v>1851.5</v>
      </c>
      <c r="E22" s="2">
        <v>80.610658480209125</v>
      </c>
      <c r="F22" s="2">
        <v>1932.1106584802092</v>
      </c>
      <c r="G22" s="4">
        <v>1.7500861256464592E-2</v>
      </c>
      <c r="H22" s="2">
        <v>0</v>
      </c>
      <c r="I22" s="2">
        <v>0</v>
      </c>
      <c r="J22" s="2">
        <v>80.610658480209125</v>
      </c>
      <c r="K22" s="2">
        <v>0</v>
      </c>
      <c r="L22" s="2">
        <v>0</v>
      </c>
    </row>
    <row r="23" spans="1:12">
      <c r="A23">
        <v>11</v>
      </c>
      <c r="B23" t="s">
        <v>36</v>
      </c>
      <c r="C23" t="s">
        <v>23</v>
      </c>
      <c r="D23" s="2">
        <v>1702.16</v>
      </c>
      <c r="E23" s="2">
        <v>160.01699199999999</v>
      </c>
      <c r="F23" s="2">
        <v>1862.1769920000002</v>
      </c>
      <c r="G23" s="4">
        <v>1.6867409239182764E-2</v>
      </c>
      <c r="H23" s="2">
        <v>0</v>
      </c>
      <c r="I23" s="2">
        <v>135.71263199999999</v>
      </c>
      <c r="J23" s="2">
        <v>0</v>
      </c>
      <c r="K23" s="2">
        <v>12.779856000000001</v>
      </c>
      <c r="L23" s="2">
        <v>11.524504</v>
      </c>
    </row>
    <row r="24" spans="1:12">
      <c r="A24">
        <v>12</v>
      </c>
      <c r="B24" t="s">
        <v>37</v>
      </c>
      <c r="C24" t="s">
        <v>38</v>
      </c>
      <c r="D24" s="2">
        <v>0</v>
      </c>
      <c r="E24" s="2">
        <v>1705.675071477966</v>
      </c>
      <c r="F24" s="2">
        <v>1705.675071477966</v>
      </c>
      <c r="G24" s="4">
        <v>1.5449830807323799E-2</v>
      </c>
      <c r="H24" s="2">
        <v>567.84793409693634</v>
      </c>
      <c r="I24" s="2">
        <v>959.30203599999993</v>
      </c>
      <c r="J24" s="2">
        <v>88.057173381029742</v>
      </c>
      <c r="K24" s="2">
        <v>90.467927999999986</v>
      </c>
      <c r="L24" s="2">
        <v>0</v>
      </c>
    </row>
    <row r="25" spans="1:12">
      <c r="A25">
        <v>13</v>
      </c>
      <c r="B25" t="s">
        <v>39</v>
      </c>
      <c r="C25" t="s">
        <v>25</v>
      </c>
      <c r="D25" s="2">
        <v>1492.2</v>
      </c>
      <c r="E25" s="2">
        <v>186.48856000000001</v>
      </c>
      <c r="F25" s="2">
        <v>1678.6885600000001</v>
      </c>
      <c r="G25" s="4">
        <v>1.5205389739158807E-2</v>
      </c>
      <c r="H25" s="2">
        <v>0</v>
      </c>
      <c r="I25" s="2">
        <v>0</v>
      </c>
      <c r="J25" s="2">
        <v>0</v>
      </c>
      <c r="K25" s="2">
        <v>35.985383999999996</v>
      </c>
      <c r="L25" s="2">
        <v>150.503176</v>
      </c>
    </row>
    <row r="26" spans="1:12">
      <c r="A26">
        <v>14</v>
      </c>
      <c r="B26" t="s">
        <v>40</v>
      </c>
      <c r="C26" t="s">
        <v>41</v>
      </c>
      <c r="D26" s="2">
        <v>896.8</v>
      </c>
      <c r="E26" s="2">
        <v>103.54705999999999</v>
      </c>
      <c r="F26" s="2">
        <v>1000.3470599999999</v>
      </c>
      <c r="G26" s="4">
        <v>9.0610416274723871E-3</v>
      </c>
      <c r="H26" s="2">
        <v>0</v>
      </c>
      <c r="I26" s="2">
        <v>94.466635999999994</v>
      </c>
      <c r="J26" s="2">
        <v>0</v>
      </c>
      <c r="K26" s="2">
        <v>9.0804240000000007</v>
      </c>
      <c r="L26" s="2">
        <v>0</v>
      </c>
    </row>
    <row r="27" spans="1:12">
      <c r="A27">
        <v>15</v>
      </c>
      <c r="B27" t="s">
        <v>42</v>
      </c>
      <c r="C27" t="s">
        <v>25</v>
      </c>
      <c r="D27" s="2">
        <v>0</v>
      </c>
      <c r="E27" s="2">
        <v>931.18791259289605</v>
      </c>
      <c r="F27" s="2">
        <v>931.18791259289605</v>
      </c>
      <c r="G27" s="4">
        <v>8.4346051249486846E-3</v>
      </c>
      <c r="H27" s="2">
        <v>548.22920958606039</v>
      </c>
      <c r="I27" s="2">
        <v>278.07784399999997</v>
      </c>
      <c r="J27" s="2">
        <v>78.312211006835739</v>
      </c>
      <c r="K27" s="2">
        <v>26.568648</v>
      </c>
      <c r="L27" s="2">
        <v>0</v>
      </c>
    </row>
    <row r="28" spans="1:12">
      <c r="A28">
        <v>16</v>
      </c>
      <c r="B28" t="s">
        <v>43</v>
      </c>
      <c r="C28" t="s">
        <v>25</v>
      </c>
      <c r="D28" s="2">
        <v>0</v>
      </c>
      <c r="E28" s="2">
        <v>840.43930029920978</v>
      </c>
      <c r="F28" s="2">
        <v>840.43930029920978</v>
      </c>
      <c r="G28" s="4">
        <v>7.6126134517503418E-3</v>
      </c>
      <c r="H28" s="2">
        <v>0</v>
      </c>
      <c r="I28" s="2">
        <v>694.5293519999999</v>
      </c>
      <c r="J28" s="2">
        <v>83.019604299209874</v>
      </c>
      <c r="K28" s="2">
        <v>62.890344000000006</v>
      </c>
      <c r="L28" s="2">
        <v>0</v>
      </c>
    </row>
    <row r="29" spans="1:12">
      <c r="A29">
        <v>17</v>
      </c>
      <c r="B29" t="s">
        <v>44</v>
      </c>
      <c r="C29" t="s">
        <v>23</v>
      </c>
      <c r="D29" s="2">
        <v>0</v>
      </c>
      <c r="E29" s="2">
        <v>822.22895519460076</v>
      </c>
      <c r="F29" s="2">
        <v>822.22895519460076</v>
      </c>
      <c r="G29" s="4">
        <v>7.4476660033682765E-3</v>
      </c>
      <c r="H29" s="2">
        <v>561.19737519460068</v>
      </c>
      <c r="I29" s="2">
        <v>238.16236400000003</v>
      </c>
      <c r="J29" s="2">
        <v>0</v>
      </c>
      <c r="K29" s="2">
        <v>22.869216000000002</v>
      </c>
      <c r="L29" s="2">
        <v>0</v>
      </c>
    </row>
    <row r="30" spans="1:12">
      <c r="A30">
        <v>18</v>
      </c>
      <c r="B30" t="s">
        <v>45</v>
      </c>
      <c r="C30" t="s">
        <v>27</v>
      </c>
      <c r="D30" s="2">
        <v>0</v>
      </c>
      <c r="E30" s="2">
        <v>766.88359208328791</v>
      </c>
      <c r="F30" s="2">
        <v>766.88359208328791</v>
      </c>
      <c r="G30" s="4">
        <v>6.9463533498986098E-3</v>
      </c>
      <c r="H30" s="2">
        <v>545.71170406638316</v>
      </c>
      <c r="I30" s="2">
        <v>122.407472</v>
      </c>
      <c r="J30" s="2">
        <v>86.9934960169047</v>
      </c>
      <c r="K30" s="2">
        <v>11.770919999999998</v>
      </c>
      <c r="L30" s="2">
        <v>0</v>
      </c>
    </row>
    <row r="31" spans="1:12">
      <c r="A31">
        <v>19</v>
      </c>
      <c r="B31" t="s">
        <v>46</v>
      </c>
      <c r="C31" t="s">
        <v>23</v>
      </c>
      <c r="D31" s="2">
        <v>0</v>
      </c>
      <c r="E31" s="2">
        <v>760.81544643084362</v>
      </c>
      <c r="F31" s="2">
        <v>760.81544643084362</v>
      </c>
      <c r="G31" s="4">
        <v>6.8913887055697069E-3</v>
      </c>
      <c r="H31" s="2">
        <v>569.70225043084361</v>
      </c>
      <c r="I31" s="2">
        <v>174.297596</v>
      </c>
      <c r="J31" s="2">
        <v>0</v>
      </c>
      <c r="K31" s="2">
        <v>16.8156</v>
      </c>
      <c r="L31" s="2">
        <v>0</v>
      </c>
    </row>
    <row r="32" spans="1:12">
      <c r="A32">
        <v>20</v>
      </c>
      <c r="B32" t="s">
        <v>47</v>
      </c>
      <c r="C32" t="s">
        <v>25</v>
      </c>
      <c r="D32" s="2">
        <v>0</v>
      </c>
      <c r="E32" s="2">
        <v>714.61360275981463</v>
      </c>
      <c r="F32" s="2">
        <v>714.61360275981463</v>
      </c>
      <c r="G32" s="4">
        <v>6.4728971184907537E-3</v>
      </c>
      <c r="H32" s="2">
        <v>560.15032369096673</v>
      </c>
      <c r="I32" s="2">
        <v>62.534251999999995</v>
      </c>
      <c r="J32" s="2">
        <v>85.875411068847896</v>
      </c>
      <c r="K32" s="2">
        <v>6.0536159999999999</v>
      </c>
      <c r="L32" s="2">
        <v>0</v>
      </c>
    </row>
    <row r="33" spans="1:12">
      <c r="A33">
        <v>21</v>
      </c>
      <c r="B33" t="s">
        <v>48</v>
      </c>
      <c r="D33" s="2">
        <v>0</v>
      </c>
      <c r="E33" s="2">
        <v>688.23898554221091</v>
      </c>
      <c r="F33" s="2">
        <v>688.23898554221091</v>
      </c>
      <c r="G33" s="4">
        <v>6.2339985261188648E-3</v>
      </c>
      <c r="H33" s="2">
        <v>592.34452707141895</v>
      </c>
      <c r="I33" s="2">
        <v>0</v>
      </c>
      <c r="J33" s="2">
        <v>95.894458470791974</v>
      </c>
      <c r="K33" s="2">
        <v>0</v>
      </c>
      <c r="L33" s="2">
        <v>0</v>
      </c>
    </row>
    <row r="34" spans="1:12">
      <c r="A34">
        <v>22</v>
      </c>
      <c r="B34" t="s">
        <v>49</v>
      </c>
      <c r="C34" t="s">
        <v>50</v>
      </c>
      <c r="D34" s="2">
        <v>0</v>
      </c>
      <c r="E34" s="2">
        <v>687.87404151665737</v>
      </c>
      <c r="F34" s="2">
        <v>687.87404151665737</v>
      </c>
      <c r="G34" s="4">
        <v>6.2306929003621021E-3</v>
      </c>
      <c r="H34" s="2">
        <v>514.40859751665732</v>
      </c>
      <c r="I34" s="2">
        <v>158.33140399999999</v>
      </c>
      <c r="J34" s="2">
        <v>0</v>
      </c>
      <c r="K34" s="2">
        <v>15.134040000000001</v>
      </c>
      <c r="L34" s="2">
        <v>0</v>
      </c>
    </row>
    <row r="35" spans="1:12">
      <c r="A35">
        <v>23</v>
      </c>
      <c r="B35" t="s">
        <v>51</v>
      </c>
      <c r="C35" t="s">
        <v>38</v>
      </c>
      <c r="D35" s="2">
        <v>0</v>
      </c>
      <c r="E35" s="2">
        <v>647.3246309025202</v>
      </c>
      <c r="F35" s="2">
        <v>647.3246309025202</v>
      </c>
      <c r="G35" s="4">
        <v>5.8634004753269674E-3</v>
      </c>
      <c r="H35" s="2">
        <v>564.08635490252016</v>
      </c>
      <c r="I35" s="2">
        <v>75.839411999999996</v>
      </c>
      <c r="J35" s="2">
        <v>0</v>
      </c>
      <c r="K35" s="2">
        <v>7.3988639999999997</v>
      </c>
      <c r="L35" s="2">
        <v>0</v>
      </c>
    </row>
    <row r="36" spans="1:12">
      <c r="A36">
        <v>24</v>
      </c>
      <c r="B36" t="s">
        <v>52</v>
      </c>
      <c r="C36" t="s">
        <v>38</v>
      </c>
      <c r="D36" s="2">
        <v>0</v>
      </c>
      <c r="E36" s="2">
        <v>635.87321754529705</v>
      </c>
      <c r="F36" s="2">
        <v>635.87321754529705</v>
      </c>
      <c r="G36" s="4">
        <v>5.7596747412570412E-3</v>
      </c>
      <c r="H36" s="2">
        <v>543.19521674914051</v>
      </c>
      <c r="I36" s="2">
        <v>0</v>
      </c>
      <c r="J36" s="2">
        <v>86.960696796156526</v>
      </c>
      <c r="K36" s="2">
        <v>5.7173040000000004</v>
      </c>
      <c r="L36" s="2">
        <v>0</v>
      </c>
    </row>
    <row r="37" spans="1:12">
      <c r="A37">
        <v>25</v>
      </c>
      <c r="B37" t="s">
        <v>53</v>
      </c>
      <c r="C37" t="s">
        <v>23</v>
      </c>
      <c r="D37" s="2">
        <v>0</v>
      </c>
      <c r="E37" s="2">
        <v>631.04707909333922</v>
      </c>
      <c r="F37" s="2">
        <v>631.04707909333922</v>
      </c>
      <c r="G37" s="4">
        <v>5.7159600714572064E-3</v>
      </c>
      <c r="H37" s="2">
        <v>629.36551909333923</v>
      </c>
      <c r="I37" s="2">
        <v>0</v>
      </c>
      <c r="J37" s="2">
        <v>0</v>
      </c>
      <c r="K37" s="2">
        <v>1.6815600000000002</v>
      </c>
      <c r="L37" s="2">
        <v>0</v>
      </c>
    </row>
    <row r="39" spans="1:12">
      <c r="A39" s="15" t="s">
        <v>54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</sheetData>
  <mergeCells count="3">
    <mergeCell ref="A1:L1"/>
    <mergeCell ref="A2:L2"/>
    <mergeCell ref="A39:L41"/>
  </mergeCells>
  <conditionalFormatting sqref="F13:F37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{9C146CC0-49AA-2DB4-53FA-FCEE3279B5D4}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146CC0-49AA-2DB4-53FA-FCEE3279B5D4}">
            <x14:dataBar>
              <x14:cfvo type="min"/>
              <x14:cfvo type="max"/>
              <x14:negativeFillColor auto="1"/>
              <x14:axisColor auto="1"/>
            </x14:dataBar>
          </x14:cfRule>
          <xm:sqref>F13:F37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9"/>
  <sheetViews>
    <sheetView tabSelected="1" workbookViewId="0"/>
  </sheetViews>
  <sheetFormatPr baseColWidth="10" defaultColWidth="9" defaultRowHeight="14.25"/>
  <cols>
    <col min="1" max="1" width="8" customWidth="1"/>
    <col min="2" max="2" width="32" customWidth="1"/>
    <col min="3" max="3" width="24" customWidth="1"/>
    <col min="4" max="11" width="18" customWidth="1"/>
    <col min="12" max="12" width="16" customWidth="1"/>
    <col min="13" max="13" width="48" customWidth="1"/>
    <col min="14" max="14" width="65" customWidth="1"/>
  </cols>
  <sheetData>
    <row r="1" spans="1:14" ht="43.5" customHeight="1">
      <c r="A1" s="1" t="s">
        <v>10</v>
      </c>
      <c r="B1" s="1" t="s">
        <v>11</v>
      </c>
      <c r="C1" s="1" t="s">
        <v>12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20</v>
      </c>
      <c r="I1" s="1" t="s">
        <v>21</v>
      </c>
      <c r="J1" s="1" t="s">
        <v>59</v>
      </c>
      <c r="K1" s="1" t="s">
        <v>15</v>
      </c>
      <c r="L1" s="1" t="s">
        <v>16</v>
      </c>
      <c r="M1" s="1" t="s">
        <v>60</v>
      </c>
      <c r="N1" s="1" t="s">
        <v>61</v>
      </c>
    </row>
    <row r="2" spans="1:14" ht="18" customHeight="1">
      <c r="A2">
        <v>1</v>
      </c>
      <c r="B2" t="s">
        <v>22</v>
      </c>
      <c r="C2" t="s">
        <v>23</v>
      </c>
      <c r="D2" s="2">
        <v>23600.5</v>
      </c>
      <c r="E2" s="2">
        <v>552.97810574127766</v>
      </c>
      <c r="F2" s="2">
        <v>0</v>
      </c>
      <c r="G2" s="2">
        <v>0</v>
      </c>
      <c r="H2" s="2">
        <v>25.559712000000001</v>
      </c>
      <c r="I2" s="2">
        <v>0</v>
      </c>
      <c r="J2" s="5">
        <f t="shared" ref="J2:J65" si="0">SUM(E2:I2)</f>
        <v>578.53781774127765</v>
      </c>
      <c r="K2" s="5">
        <f t="shared" ref="K2:K65" si="1">D2+J2</f>
        <v>24179.037817741279</v>
      </c>
      <c r="L2" s="6">
        <f>K2/'Quellen &amp; Annahmen'!$B$2</f>
        <v>0.21901125813153571</v>
      </c>
      <c r="M2" s="7" t="s">
        <v>62</v>
      </c>
      <c r="N2" s="7" t="s">
        <v>63</v>
      </c>
    </row>
    <row r="3" spans="1:14" ht="18" customHeight="1">
      <c r="A3">
        <v>2</v>
      </c>
      <c r="B3" t="s">
        <v>24</v>
      </c>
      <c r="C3" t="s">
        <v>25</v>
      </c>
      <c r="D3" s="2">
        <v>4430.5</v>
      </c>
      <c r="E3" s="2">
        <v>601.46405717738025</v>
      </c>
      <c r="F3" s="2">
        <v>1061.7517680000001</v>
      </c>
      <c r="G3" s="2">
        <v>86.804206755416203</v>
      </c>
      <c r="H3" s="2">
        <v>179.25429599999998</v>
      </c>
      <c r="I3" s="2">
        <v>0</v>
      </c>
      <c r="J3" s="5">
        <f t="shared" si="0"/>
        <v>1929.2743279327965</v>
      </c>
      <c r="K3" s="5">
        <f t="shared" si="1"/>
        <v>6359.774327932797</v>
      </c>
      <c r="L3" s="6">
        <f>K3/'Quellen &amp; Annahmen'!$B$2</f>
        <v>5.7606187123426245E-2</v>
      </c>
      <c r="M3" s="7" t="s">
        <v>64</v>
      </c>
      <c r="N3" s="7" t="s">
        <v>65</v>
      </c>
    </row>
    <row r="4" spans="1:14" ht="18" customHeight="1">
      <c r="A4">
        <v>3</v>
      </c>
      <c r="B4" t="s">
        <v>26</v>
      </c>
      <c r="C4" t="s">
        <v>27</v>
      </c>
      <c r="D4" s="2">
        <v>3328.6</v>
      </c>
      <c r="E4" s="2">
        <v>555.0820513720804</v>
      </c>
      <c r="F4" s="2">
        <v>1024.4973199999999</v>
      </c>
      <c r="G4" s="2">
        <v>83.420928467643336</v>
      </c>
      <c r="H4" s="2">
        <v>138.56054399999999</v>
      </c>
      <c r="I4" s="2">
        <v>0</v>
      </c>
      <c r="J4" s="5">
        <f t="shared" si="0"/>
        <v>1801.5608438397237</v>
      </c>
      <c r="K4" s="5">
        <f t="shared" si="1"/>
        <v>5130.1608438397234</v>
      </c>
      <c r="L4" s="6">
        <f>K4/'Quellen &amp; Annahmen'!$B$2</f>
        <v>4.6468473613208404E-2</v>
      </c>
      <c r="M4" s="7" t="s">
        <v>64</v>
      </c>
      <c r="N4" s="7" t="s">
        <v>65</v>
      </c>
    </row>
    <row r="5" spans="1:14" ht="18" customHeight="1">
      <c r="A5">
        <v>4</v>
      </c>
      <c r="B5" t="s">
        <v>28</v>
      </c>
      <c r="C5" t="s">
        <v>23</v>
      </c>
      <c r="D5" s="2">
        <v>4210</v>
      </c>
      <c r="E5" s="2">
        <v>573.29565652313647</v>
      </c>
      <c r="F5" s="2">
        <v>0</v>
      </c>
      <c r="G5" s="2">
        <v>0</v>
      </c>
      <c r="H5" s="2">
        <v>6.7262400000000007</v>
      </c>
      <c r="I5" s="2">
        <v>0</v>
      </c>
      <c r="J5" s="5">
        <f t="shared" si="0"/>
        <v>580.02189652313643</v>
      </c>
      <c r="K5" s="5">
        <f t="shared" si="1"/>
        <v>4790.0218965231361</v>
      </c>
      <c r="L5" s="6">
        <f>K5/'Quellen &amp; Annahmen'!$B$2</f>
        <v>4.3387529724834069E-2</v>
      </c>
      <c r="M5" s="7" t="s">
        <v>62</v>
      </c>
      <c r="N5" s="7" t="s">
        <v>63</v>
      </c>
    </row>
    <row r="6" spans="1:14" ht="18" customHeight="1">
      <c r="A6">
        <v>5</v>
      </c>
      <c r="B6" t="s">
        <v>29</v>
      </c>
      <c r="C6" t="s">
        <v>25</v>
      </c>
      <c r="D6" s="2">
        <v>3896.55</v>
      </c>
      <c r="E6" s="2">
        <v>573.30193543815017</v>
      </c>
      <c r="F6" s="2">
        <v>0</v>
      </c>
      <c r="G6" s="2">
        <v>93.877465614296611</v>
      </c>
      <c r="H6" s="2">
        <v>30.604391999999997</v>
      </c>
      <c r="I6" s="2">
        <v>0</v>
      </c>
      <c r="J6" s="5">
        <f t="shared" si="0"/>
        <v>697.78379305244675</v>
      </c>
      <c r="K6" s="5">
        <f t="shared" si="1"/>
        <v>4594.3337930524467</v>
      </c>
      <c r="L6" s="6">
        <f>K6/'Quellen &amp; Annahmen'!$B$2</f>
        <v>4.1615006845075679E-2</v>
      </c>
      <c r="M6" s="7" t="s">
        <v>66</v>
      </c>
      <c r="N6" s="7" t="s">
        <v>67</v>
      </c>
    </row>
    <row r="7" spans="1:14" ht="18" customHeight="1">
      <c r="A7">
        <v>6</v>
      </c>
      <c r="B7" t="s">
        <v>30</v>
      </c>
      <c r="C7" t="s">
        <v>25</v>
      </c>
      <c r="D7" s="2">
        <v>2410.1</v>
      </c>
      <c r="E7" s="2">
        <v>573.75232031507801</v>
      </c>
      <c r="F7" s="2">
        <v>1036.4719640000001</v>
      </c>
      <c r="G7" s="2">
        <v>90.219783859737234</v>
      </c>
      <c r="H7" s="2">
        <v>105.93827999999999</v>
      </c>
      <c r="I7" s="2">
        <v>0</v>
      </c>
      <c r="J7" s="5">
        <f t="shared" si="0"/>
        <v>1806.3823481748152</v>
      </c>
      <c r="K7" s="5">
        <f t="shared" si="1"/>
        <v>4216.4823481748153</v>
      </c>
      <c r="L7" s="6">
        <f>K7/'Quellen &amp; Annahmen'!$B$2</f>
        <v>3.8192467000717253E-2</v>
      </c>
      <c r="M7" s="7" t="s">
        <v>64</v>
      </c>
      <c r="N7" s="7" t="s">
        <v>65</v>
      </c>
    </row>
    <row r="8" spans="1:14" ht="18" customHeight="1">
      <c r="A8">
        <v>7</v>
      </c>
      <c r="B8" t="s">
        <v>31</v>
      </c>
      <c r="C8" t="s">
        <v>25</v>
      </c>
      <c r="D8" s="2">
        <v>1458.25</v>
      </c>
      <c r="E8" s="2">
        <v>615.12460044148384</v>
      </c>
      <c r="F8" s="2">
        <v>1173.515112</v>
      </c>
      <c r="G8" s="2">
        <v>96.714620954660347</v>
      </c>
      <c r="H8" s="2">
        <v>182.95372800000001</v>
      </c>
      <c r="I8" s="2">
        <v>0</v>
      </c>
      <c r="J8" s="5">
        <f t="shared" si="0"/>
        <v>2068.3080613961442</v>
      </c>
      <c r="K8" s="5">
        <f t="shared" si="1"/>
        <v>3526.5580613961442</v>
      </c>
      <c r="L8" s="6">
        <f>K8/'Quellen &amp; Annahmen'!$B$2</f>
        <v>3.1943203187910392E-2</v>
      </c>
      <c r="M8" s="7" t="s">
        <v>64</v>
      </c>
      <c r="N8" s="7" t="s">
        <v>65</v>
      </c>
    </row>
    <row r="9" spans="1:14" ht="18" customHeight="1">
      <c r="A9">
        <v>8</v>
      </c>
      <c r="B9" t="s">
        <v>32</v>
      </c>
      <c r="C9" t="s">
        <v>33</v>
      </c>
      <c r="D9" s="2">
        <v>2060.8000000000002</v>
      </c>
      <c r="E9" s="2">
        <v>536.35595099558259</v>
      </c>
      <c r="F9" s="2">
        <v>361.90035200000005</v>
      </c>
      <c r="G9" s="2">
        <v>0</v>
      </c>
      <c r="H9" s="2">
        <v>34.976447999999998</v>
      </c>
      <c r="I9" s="2">
        <v>0</v>
      </c>
      <c r="J9" s="5">
        <f t="shared" si="0"/>
        <v>933.23275099558271</v>
      </c>
      <c r="K9" s="5">
        <f t="shared" si="1"/>
        <v>2994.0327509955828</v>
      </c>
      <c r="L9" s="6">
        <f>K9/'Quellen &amp; Annahmen'!$B$2</f>
        <v>2.7119643247401203E-2</v>
      </c>
      <c r="M9" s="7" t="s">
        <v>68</v>
      </c>
      <c r="N9" s="7" t="s">
        <v>69</v>
      </c>
    </row>
    <row r="10" spans="1:14" ht="18" customHeight="1">
      <c r="A10">
        <v>9</v>
      </c>
      <c r="B10" t="s">
        <v>34</v>
      </c>
      <c r="C10" t="s">
        <v>25</v>
      </c>
      <c r="D10" s="2">
        <v>696</v>
      </c>
      <c r="E10" s="2">
        <v>529.24686159684188</v>
      </c>
      <c r="F10" s="2">
        <v>723.80070400000011</v>
      </c>
      <c r="G10" s="2">
        <v>71.769335108708646</v>
      </c>
      <c r="H10" s="2">
        <v>0</v>
      </c>
      <c r="I10" s="2">
        <v>0</v>
      </c>
      <c r="J10" s="5">
        <f t="shared" si="0"/>
        <v>1324.8169007055508</v>
      </c>
      <c r="K10" s="5">
        <f t="shared" si="1"/>
        <v>2020.8169007055508</v>
      </c>
      <c r="L10" s="6">
        <f>K10/'Quellen &amp; Annahmen'!$B$2</f>
        <v>1.8304353349919106E-2</v>
      </c>
      <c r="M10" s="7" t="s">
        <v>70</v>
      </c>
      <c r="N10" s="7" t="s">
        <v>71</v>
      </c>
    </row>
    <row r="11" spans="1:14" ht="18" customHeight="1">
      <c r="A11">
        <v>10</v>
      </c>
      <c r="B11" t="s">
        <v>35</v>
      </c>
      <c r="D11" s="2">
        <v>1851.5</v>
      </c>
      <c r="E11" s="2">
        <v>0</v>
      </c>
      <c r="F11" s="2">
        <v>0</v>
      </c>
      <c r="G11" s="2">
        <v>80.610658480209125</v>
      </c>
      <c r="H11" s="2">
        <v>0</v>
      </c>
      <c r="I11" s="2">
        <v>0</v>
      </c>
      <c r="J11" s="5">
        <f t="shared" si="0"/>
        <v>80.610658480209125</v>
      </c>
      <c r="K11" s="5">
        <f t="shared" si="1"/>
        <v>1932.1106584802092</v>
      </c>
      <c r="L11" s="6">
        <f>K11/'Quellen &amp; Annahmen'!$B$2</f>
        <v>1.7500861256464592E-2</v>
      </c>
      <c r="M11" s="7" t="s">
        <v>72</v>
      </c>
      <c r="N11" s="7" t="s">
        <v>73</v>
      </c>
    </row>
    <row r="12" spans="1:14" ht="18" customHeight="1">
      <c r="A12">
        <v>11</v>
      </c>
      <c r="B12" t="s">
        <v>36</v>
      </c>
      <c r="C12" t="s">
        <v>23</v>
      </c>
      <c r="D12" s="2">
        <v>1702.16</v>
      </c>
      <c r="E12" s="2">
        <v>0</v>
      </c>
      <c r="F12" s="2">
        <v>135.71263199999999</v>
      </c>
      <c r="G12" s="2">
        <v>0</v>
      </c>
      <c r="H12" s="2">
        <v>12.779856000000001</v>
      </c>
      <c r="I12" s="2">
        <v>11.524504</v>
      </c>
      <c r="J12" s="5">
        <f t="shared" si="0"/>
        <v>160.01699199999999</v>
      </c>
      <c r="K12" s="5">
        <f t="shared" si="1"/>
        <v>1862.1769920000002</v>
      </c>
      <c r="L12" s="6">
        <f>K12/'Quellen &amp; Annahmen'!$B$2</f>
        <v>1.6867409239182764E-2</v>
      </c>
      <c r="M12" s="7" t="s">
        <v>74</v>
      </c>
      <c r="N12" s="7" t="s">
        <v>75</v>
      </c>
    </row>
    <row r="13" spans="1:14" ht="18" customHeight="1">
      <c r="A13">
        <v>12</v>
      </c>
      <c r="B13" t="s">
        <v>37</v>
      </c>
      <c r="C13" t="s">
        <v>38</v>
      </c>
      <c r="D13" s="2">
        <v>0</v>
      </c>
      <c r="E13" s="2">
        <v>567.84793409693634</v>
      </c>
      <c r="F13" s="2">
        <v>959.30203599999993</v>
      </c>
      <c r="G13" s="2">
        <v>88.057173381029742</v>
      </c>
      <c r="H13" s="2">
        <v>90.467927999999986</v>
      </c>
      <c r="I13" s="2">
        <v>0</v>
      </c>
      <c r="J13" s="5">
        <f t="shared" si="0"/>
        <v>1705.675071477966</v>
      </c>
      <c r="K13" s="5">
        <f t="shared" si="1"/>
        <v>1705.675071477966</v>
      </c>
      <c r="L13" s="6">
        <f>K13/'Quellen &amp; Annahmen'!$B$2</f>
        <v>1.5449830807323799E-2</v>
      </c>
      <c r="M13" s="7" t="s">
        <v>76</v>
      </c>
      <c r="N13" s="7" t="s">
        <v>77</v>
      </c>
    </row>
    <row r="14" spans="1:14" ht="18" customHeight="1">
      <c r="A14">
        <v>13</v>
      </c>
      <c r="B14" t="s">
        <v>39</v>
      </c>
      <c r="C14" t="s">
        <v>25</v>
      </c>
      <c r="D14" s="2">
        <v>1492.2</v>
      </c>
      <c r="E14" s="2">
        <v>0</v>
      </c>
      <c r="F14" s="2">
        <v>0</v>
      </c>
      <c r="G14" s="2">
        <v>0</v>
      </c>
      <c r="H14" s="2">
        <v>35.985383999999996</v>
      </c>
      <c r="I14" s="2">
        <v>150.503176</v>
      </c>
      <c r="J14" s="5">
        <f t="shared" si="0"/>
        <v>186.48856000000001</v>
      </c>
      <c r="K14" s="5">
        <f t="shared" si="1"/>
        <v>1678.6885600000001</v>
      </c>
      <c r="L14" s="6">
        <f>K14/'Quellen &amp; Annahmen'!$B$2</f>
        <v>1.5205389739158807E-2</v>
      </c>
      <c r="M14" s="7" t="s">
        <v>78</v>
      </c>
      <c r="N14" s="7" t="s">
        <v>79</v>
      </c>
    </row>
    <row r="15" spans="1:14" ht="18" customHeight="1">
      <c r="A15">
        <v>14</v>
      </c>
      <c r="B15" t="s">
        <v>40</v>
      </c>
      <c r="C15" t="s">
        <v>41</v>
      </c>
      <c r="D15" s="2">
        <v>896.8</v>
      </c>
      <c r="E15" s="2">
        <v>0</v>
      </c>
      <c r="F15" s="2">
        <v>94.466635999999994</v>
      </c>
      <c r="G15" s="2">
        <v>0</v>
      </c>
      <c r="H15" s="2">
        <v>9.0804240000000007</v>
      </c>
      <c r="I15" s="2">
        <v>0</v>
      </c>
      <c r="J15" s="5">
        <f t="shared" si="0"/>
        <v>103.54705999999999</v>
      </c>
      <c r="K15" s="5">
        <f t="shared" si="1"/>
        <v>1000.3470599999999</v>
      </c>
      <c r="L15" s="6">
        <f>K15/'Quellen &amp; Annahmen'!$B$2</f>
        <v>9.0610416274723871E-3</v>
      </c>
      <c r="M15" s="7" t="s">
        <v>80</v>
      </c>
      <c r="N15" s="7" t="s">
        <v>81</v>
      </c>
    </row>
    <row r="16" spans="1:14" ht="18" customHeight="1">
      <c r="A16">
        <v>15</v>
      </c>
      <c r="B16" t="s">
        <v>42</v>
      </c>
      <c r="C16" t="s">
        <v>25</v>
      </c>
      <c r="D16" s="2">
        <v>0</v>
      </c>
      <c r="E16" s="2">
        <v>548.22920958606039</v>
      </c>
      <c r="F16" s="2">
        <v>278.07784399999997</v>
      </c>
      <c r="G16" s="2">
        <v>78.312211006835739</v>
      </c>
      <c r="H16" s="2">
        <v>26.568648</v>
      </c>
      <c r="I16" s="2">
        <v>0</v>
      </c>
      <c r="J16" s="5">
        <f t="shared" si="0"/>
        <v>931.18791259289617</v>
      </c>
      <c r="K16" s="5">
        <f t="shared" si="1"/>
        <v>931.18791259289617</v>
      </c>
      <c r="L16" s="6">
        <f>K16/'Quellen &amp; Annahmen'!$B$2</f>
        <v>8.4346051249486863E-3</v>
      </c>
      <c r="M16" s="7" t="s">
        <v>76</v>
      </c>
      <c r="N16" s="7" t="s">
        <v>77</v>
      </c>
    </row>
    <row r="17" spans="1:14" ht="18" customHeight="1">
      <c r="A17">
        <v>16</v>
      </c>
      <c r="B17" t="s">
        <v>43</v>
      </c>
      <c r="C17" t="s">
        <v>25</v>
      </c>
      <c r="D17" s="2">
        <v>0</v>
      </c>
      <c r="E17" s="2">
        <v>0</v>
      </c>
      <c r="F17" s="2">
        <v>694.5293519999999</v>
      </c>
      <c r="G17" s="2">
        <v>83.019604299209874</v>
      </c>
      <c r="H17" s="2">
        <v>62.890344000000006</v>
      </c>
      <c r="I17" s="2">
        <v>0</v>
      </c>
      <c r="J17" s="5">
        <f t="shared" si="0"/>
        <v>840.43930029920978</v>
      </c>
      <c r="K17" s="5">
        <f t="shared" si="1"/>
        <v>840.43930029920978</v>
      </c>
      <c r="L17" s="6">
        <f>K17/'Quellen &amp; Annahmen'!$B$2</f>
        <v>7.6126134517503418E-3</v>
      </c>
      <c r="M17" s="7" t="s">
        <v>82</v>
      </c>
      <c r="N17" s="7" t="s">
        <v>83</v>
      </c>
    </row>
    <row r="18" spans="1:14" ht="18" customHeight="1">
      <c r="A18">
        <v>17</v>
      </c>
      <c r="B18" t="s">
        <v>44</v>
      </c>
      <c r="C18" t="s">
        <v>23</v>
      </c>
      <c r="D18" s="2">
        <v>0</v>
      </c>
      <c r="E18" s="2">
        <v>561.19737519460068</v>
      </c>
      <c r="F18" s="2">
        <v>238.16236400000003</v>
      </c>
      <c r="G18" s="2">
        <v>0</v>
      </c>
      <c r="H18" s="2">
        <v>22.869216000000002</v>
      </c>
      <c r="I18" s="2">
        <v>0</v>
      </c>
      <c r="J18" s="5">
        <f t="shared" si="0"/>
        <v>822.22895519460076</v>
      </c>
      <c r="K18" s="5">
        <f t="shared" si="1"/>
        <v>822.22895519460076</v>
      </c>
      <c r="L18" s="6">
        <f>K18/'Quellen &amp; Annahmen'!$B$2</f>
        <v>7.4476660033682765E-3</v>
      </c>
      <c r="M18" s="7" t="s">
        <v>84</v>
      </c>
      <c r="N18" s="7" t="s">
        <v>85</v>
      </c>
    </row>
    <row r="19" spans="1:14" ht="18" customHeight="1">
      <c r="A19">
        <v>18</v>
      </c>
      <c r="B19" t="s">
        <v>45</v>
      </c>
      <c r="C19" t="s">
        <v>27</v>
      </c>
      <c r="D19" s="2">
        <v>0</v>
      </c>
      <c r="E19" s="2">
        <v>545.71170406638316</v>
      </c>
      <c r="F19" s="2">
        <v>122.407472</v>
      </c>
      <c r="G19" s="2">
        <v>86.9934960169047</v>
      </c>
      <c r="H19" s="2">
        <v>11.770919999999998</v>
      </c>
      <c r="I19" s="2">
        <v>0</v>
      </c>
      <c r="J19" s="5">
        <f t="shared" si="0"/>
        <v>766.88359208328791</v>
      </c>
      <c r="K19" s="5">
        <f t="shared" si="1"/>
        <v>766.88359208328791</v>
      </c>
      <c r="L19" s="6">
        <f>K19/'Quellen &amp; Annahmen'!$B$2</f>
        <v>6.9463533498986098E-3</v>
      </c>
      <c r="M19" s="7" t="s">
        <v>76</v>
      </c>
      <c r="N19" s="7" t="s">
        <v>77</v>
      </c>
    </row>
    <row r="20" spans="1:14" ht="18" customHeight="1">
      <c r="A20">
        <v>19</v>
      </c>
      <c r="B20" t="s">
        <v>46</v>
      </c>
      <c r="C20" t="s">
        <v>23</v>
      </c>
      <c r="D20" s="2">
        <v>0</v>
      </c>
      <c r="E20" s="2">
        <v>569.70225043084361</v>
      </c>
      <c r="F20" s="2">
        <v>174.297596</v>
      </c>
      <c r="G20" s="2">
        <v>0</v>
      </c>
      <c r="H20" s="2">
        <v>16.8156</v>
      </c>
      <c r="I20" s="2">
        <v>0</v>
      </c>
      <c r="J20" s="5">
        <f t="shared" si="0"/>
        <v>760.81544643084362</v>
      </c>
      <c r="K20" s="5">
        <f t="shared" si="1"/>
        <v>760.81544643084362</v>
      </c>
      <c r="L20" s="6">
        <f>K20/'Quellen &amp; Annahmen'!$B$2</f>
        <v>6.8913887055697069E-3</v>
      </c>
      <c r="M20" s="7" t="s">
        <v>84</v>
      </c>
      <c r="N20" s="7" t="s">
        <v>85</v>
      </c>
    </row>
    <row r="21" spans="1:14" ht="18" customHeight="1">
      <c r="A21">
        <v>20</v>
      </c>
      <c r="B21" t="s">
        <v>47</v>
      </c>
      <c r="C21" t="s">
        <v>25</v>
      </c>
      <c r="D21" s="2">
        <v>0</v>
      </c>
      <c r="E21" s="2">
        <v>560.15032369096673</v>
      </c>
      <c r="F21" s="2">
        <v>62.534251999999995</v>
      </c>
      <c r="G21" s="2">
        <v>85.875411068847896</v>
      </c>
      <c r="H21" s="2">
        <v>6.0536159999999999</v>
      </c>
      <c r="I21" s="2">
        <v>0</v>
      </c>
      <c r="J21" s="5">
        <f t="shared" si="0"/>
        <v>714.61360275981474</v>
      </c>
      <c r="K21" s="5">
        <f t="shared" si="1"/>
        <v>714.61360275981474</v>
      </c>
      <c r="L21" s="6">
        <f>K21/'Quellen &amp; Annahmen'!$B$2</f>
        <v>6.4728971184907546E-3</v>
      </c>
      <c r="M21" s="7" t="s">
        <v>76</v>
      </c>
      <c r="N21" s="7" t="s">
        <v>77</v>
      </c>
    </row>
    <row r="22" spans="1:14" ht="18" customHeight="1">
      <c r="A22">
        <v>21</v>
      </c>
      <c r="B22" t="s">
        <v>48</v>
      </c>
      <c r="D22" s="2">
        <v>0</v>
      </c>
      <c r="E22" s="2">
        <v>592.34452707141895</v>
      </c>
      <c r="F22" s="2">
        <v>0</v>
      </c>
      <c r="G22" s="2">
        <v>95.894458470791974</v>
      </c>
      <c r="H22" s="2">
        <v>0</v>
      </c>
      <c r="I22" s="2">
        <v>0</v>
      </c>
      <c r="J22" s="5">
        <f t="shared" si="0"/>
        <v>688.23898554221091</v>
      </c>
      <c r="K22" s="5">
        <f t="shared" si="1"/>
        <v>688.23898554221091</v>
      </c>
      <c r="L22" s="6">
        <f>K22/'Quellen &amp; Annahmen'!$B$2</f>
        <v>6.2339985261188648E-3</v>
      </c>
      <c r="M22" s="7" t="s">
        <v>86</v>
      </c>
      <c r="N22" s="7" t="s">
        <v>87</v>
      </c>
    </row>
    <row r="23" spans="1:14" ht="18" customHeight="1">
      <c r="A23">
        <v>22</v>
      </c>
      <c r="B23" t="s">
        <v>49</v>
      </c>
      <c r="C23" t="s">
        <v>50</v>
      </c>
      <c r="D23" s="2">
        <v>0</v>
      </c>
      <c r="E23" s="2">
        <v>514.40859751665732</v>
      </c>
      <c r="F23" s="2">
        <v>158.33140399999999</v>
      </c>
      <c r="G23" s="2">
        <v>0</v>
      </c>
      <c r="H23" s="2">
        <v>15.134040000000001</v>
      </c>
      <c r="I23" s="2">
        <v>0</v>
      </c>
      <c r="J23" s="5">
        <f t="shared" si="0"/>
        <v>687.87404151665737</v>
      </c>
      <c r="K23" s="5">
        <f t="shared" si="1"/>
        <v>687.87404151665737</v>
      </c>
      <c r="L23" s="6">
        <f>K23/'Quellen &amp; Annahmen'!$B$2</f>
        <v>6.2306929003621021E-3</v>
      </c>
      <c r="M23" s="7" t="s">
        <v>84</v>
      </c>
      <c r="N23" s="7" t="s">
        <v>85</v>
      </c>
    </row>
    <row r="24" spans="1:14" ht="18" customHeight="1">
      <c r="A24">
        <v>23</v>
      </c>
      <c r="B24" t="s">
        <v>51</v>
      </c>
      <c r="C24" t="s">
        <v>38</v>
      </c>
      <c r="D24" s="2">
        <v>0</v>
      </c>
      <c r="E24" s="2">
        <v>564.08635490252016</v>
      </c>
      <c r="F24" s="2">
        <v>75.839411999999996</v>
      </c>
      <c r="G24" s="2">
        <v>0</v>
      </c>
      <c r="H24" s="2">
        <v>7.3988639999999997</v>
      </c>
      <c r="I24" s="2">
        <v>0</v>
      </c>
      <c r="J24" s="5">
        <f t="shared" si="0"/>
        <v>647.3246309025202</v>
      </c>
      <c r="K24" s="5">
        <f t="shared" si="1"/>
        <v>647.3246309025202</v>
      </c>
      <c r="L24" s="6">
        <f>K24/'Quellen &amp; Annahmen'!$B$2</f>
        <v>5.8634004753269674E-3</v>
      </c>
      <c r="M24" s="7" t="s">
        <v>84</v>
      </c>
      <c r="N24" s="7" t="s">
        <v>85</v>
      </c>
    </row>
    <row r="25" spans="1:14" ht="18" customHeight="1">
      <c r="A25">
        <v>24</v>
      </c>
      <c r="B25" t="s">
        <v>52</v>
      </c>
      <c r="C25" t="s">
        <v>38</v>
      </c>
      <c r="D25" s="2">
        <v>0</v>
      </c>
      <c r="E25" s="2">
        <v>543.19521674914051</v>
      </c>
      <c r="F25" s="2">
        <v>0</v>
      </c>
      <c r="G25" s="2">
        <v>86.960696796156526</v>
      </c>
      <c r="H25" s="2">
        <v>5.7173040000000004</v>
      </c>
      <c r="I25" s="2">
        <v>0</v>
      </c>
      <c r="J25" s="5">
        <f t="shared" si="0"/>
        <v>635.87321754529705</v>
      </c>
      <c r="K25" s="5">
        <f t="shared" si="1"/>
        <v>635.87321754529705</v>
      </c>
      <c r="L25" s="6">
        <f>K25/'Quellen &amp; Annahmen'!$B$2</f>
        <v>5.7596747412570412E-3</v>
      </c>
      <c r="M25" s="7" t="s">
        <v>88</v>
      </c>
      <c r="N25" s="7" t="s">
        <v>89</v>
      </c>
    </row>
    <row r="26" spans="1:14" ht="18" customHeight="1">
      <c r="A26">
        <v>25</v>
      </c>
      <c r="B26" t="s">
        <v>53</v>
      </c>
      <c r="C26" t="s">
        <v>23</v>
      </c>
      <c r="D26" s="2">
        <v>0</v>
      </c>
      <c r="E26" s="2">
        <v>629.36551909333923</v>
      </c>
      <c r="F26" s="2">
        <v>0</v>
      </c>
      <c r="G26" s="2">
        <v>0</v>
      </c>
      <c r="H26" s="2">
        <v>1.6815600000000002</v>
      </c>
      <c r="I26" s="2">
        <v>0</v>
      </c>
      <c r="J26" s="5">
        <f t="shared" si="0"/>
        <v>631.04707909333922</v>
      </c>
      <c r="K26" s="5">
        <f t="shared" si="1"/>
        <v>631.04707909333922</v>
      </c>
      <c r="L26" s="6">
        <f>K26/'Quellen &amp; Annahmen'!$B$2</f>
        <v>5.7159600714572064E-3</v>
      </c>
      <c r="M26" s="7" t="s">
        <v>90</v>
      </c>
      <c r="N26" s="7" t="s">
        <v>91</v>
      </c>
    </row>
    <row r="27" spans="1:14" ht="18" customHeight="1">
      <c r="A27">
        <v>26</v>
      </c>
      <c r="B27" t="s">
        <v>92</v>
      </c>
      <c r="C27" t="s">
        <v>27</v>
      </c>
      <c r="D27" s="2">
        <v>0</v>
      </c>
      <c r="E27" s="2">
        <v>0</v>
      </c>
      <c r="F27" s="2">
        <v>572.12187999999992</v>
      </c>
      <c r="G27" s="2">
        <v>0</v>
      </c>
      <c r="H27" s="2">
        <v>54.482543999999997</v>
      </c>
      <c r="I27" s="2">
        <v>0</v>
      </c>
      <c r="J27" s="5">
        <f t="shared" si="0"/>
        <v>626.60442399999988</v>
      </c>
      <c r="K27" s="5">
        <f t="shared" si="1"/>
        <v>626.60442399999988</v>
      </c>
      <c r="L27" s="6">
        <f>K27/'Quellen &amp; Annahmen'!$B$2</f>
        <v>5.6757189548019031E-3</v>
      </c>
      <c r="M27" s="7" t="s">
        <v>93</v>
      </c>
      <c r="N27" s="7" t="s">
        <v>94</v>
      </c>
    </row>
    <row r="28" spans="1:14" ht="18" customHeight="1">
      <c r="A28">
        <v>27</v>
      </c>
      <c r="B28" t="s">
        <v>95</v>
      </c>
      <c r="C28" t="s">
        <v>38</v>
      </c>
      <c r="D28" s="2">
        <v>0</v>
      </c>
      <c r="E28" s="2">
        <v>558.67545746437327</v>
      </c>
      <c r="F28" s="2">
        <v>57.212187999999998</v>
      </c>
      <c r="G28" s="2">
        <v>0</v>
      </c>
      <c r="H28" s="2">
        <v>5.380992</v>
      </c>
      <c r="I28" s="2">
        <v>0</v>
      </c>
      <c r="J28" s="5">
        <f t="shared" si="0"/>
        <v>621.26863746437323</v>
      </c>
      <c r="K28" s="5">
        <f t="shared" si="1"/>
        <v>621.26863746437323</v>
      </c>
      <c r="L28" s="6">
        <f>K28/'Quellen &amp; Annahmen'!$B$2</f>
        <v>5.6273879446476676E-3</v>
      </c>
      <c r="M28" s="7" t="s">
        <v>84</v>
      </c>
      <c r="N28" s="7" t="s">
        <v>85</v>
      </c>
    </row>
    <row r="29" spans="1:14" ht="18" customHeight="1">
      <c r="A29">
        <v>28</v>
      </c>
      <c r="B29" t="s">
        <v>96</v>
      </c>
      <c r="C29" t="s">
        <v>25</v>
      </c>
      <c r="D29" s="2">
        <v>0</v>
      </c>
      <c r="E29" s="2">
        <v>531.62758858946415</v>
      </c>
      <c r="F29" s="2">
        <v>0</v>
      </c>
      <c r="G29" s="2">
        <v>72.441105001619164</v>
      </c>
      <c r="H29" s="2">
        <v>7.0625519999999993</v>
      </c>
      <c r="I29" s="2">
        <v>0</v>
      </c>
      <c r="J29" s="5">
        <f t="shared" si="0"/>
        <v>611.13124559108326</v>
      </c>
      <c r="K29" s="5">
        <f t="shared" si="1"/>
        <v>611.13124559108326</v>
      </c>
      <c r="L29" s="6">
        <f>K29/'Quellen &amp; Annahmen'!$B$2</f>
        <v>5.5355644831403374E-3</v>
      </c>
      <c r="M29" s="7" t="s">
        <v>88</v>
      </c>
      <c r="N29" s="7" t="s">
        <v>89</v>
      </c>
    </row>
    <row r="30" spans="1:14" ht="18" customHeight="1">
      <c r="A30">
        <v>29</v>
      </c>
      <c r="B30" t="s">
        <v>97</v>
      </c>
      <c r="C30" t="s">
        <v>23</v>
      </c>
      <c r="D30" s="2">
        <v>0</v>
      </c>
      <c r="E30" s="2">
        <v>598.71983191558706</v>
      </c>
      <c r="F30" s="2">
        <v>0</v>
      </c>
      <c r="G30" s="2">
        <v>0</v>
      </c>
      <c r="H30" s="2">
        <v>6.0536159999999999</v>
      </c>
      <c r="I30" s="2">
        <v>0</v>
      </c>
      <c r="J30" s="5">
        <f t="shared" si="0"/>
        <v>604.7734479155871</v>
      </c>
      <c r="K30" s="5">
        <f t="shared" si="1"/>
        <v>604.7734479155871</v>
      </c>
      <c r="L30" s="6">
        <f>K30/'Quellen &amp; Annahmen'!$B$2</f>
        <v>5.4779762003330503E-3</v>
      </c>
      <c r="M30" s="7" t="s">
        <v>90</v>
      </c>
      <c r="N30" s="7" t="s">
        <v>91</v>
      </c>
    </row>
    <row r="31" spans="1:14" ht="18" customHeight="1">
      <c r="A31">
        <v>30</v>
      </c>
      <c r="B31" t="s">
        <v>98</v>
      </c>
      <c r="C31" t="s">
        <v>23</v>
      </c>
      <c r="D31" s="2">
        <v>0</v>
      </c>
      <c r="E31" s="2">
        <v>591.31512440998574</v>
      </c>
      <c r="F31" s="2">
        <v>0</v>
      </c>
      <c r="G31" s="2">
        <v>0</v>
      </c>
      <c r="H31" s="2">
        <v>1.6815600000000002</v>
      </c>
      <c r="I31" s="2">
        <v>0</v>
      </c>
      <c r="J31" s="5">
        <f t="shared" si="0"/>
        <v>592.99668440998573</v>
      </c>
      <c r="K31" s="5">
        <f t="shared" si="1"/>
        <v>592.99668440998573</v>
      </c>
      <c r="L31" s="6">
        <f>K31/'Quellen &amp; Annahmen'!$B$2</f>
        <v>5.3713034778069789E-3</v>
      </c>
      <c r="M31" s="7" t="s">
        <v>90</v>
      </c>
      <c r="N31" s="7" t="s">
        <v>91</v>
      </c>
    </row>
    <row r="32" spans="1:14" ht="18" customHeight="1">
      <c r="A32">
        <v>31</v>
      </c>
      <c r="B32" t="s">
        <v>99</v>
      </c>
      <c r="C32" t="s">
        <v>50</v>
      </c>
      <c r="D32" s="2">
        <v>0</v>
      </c>
      <c r="E32" s="2">
        <v>583.59630145329413</v>
      </c>
      <c r="F32" s="2">
        <v>0</v>
      </c>
      <c r="G32" s="2">
        <v>0</v>
      </c>
      <c r="H32" s="2">
        <v>2.690496</v>
      </c>
      <c r="I32" s="2">
        <v>0</v>
      </c>
      <c r="J32" s="5">
        <f t="shared" si="0"/>
        <v>586.28679745329418</v>
      </c>
      <c r="K32" s="5">
        <f t="shared" si="1"/>
        <v>586.28679745329418</v>
      </c>
      <c r="L32" s="6">
        <f>K32/'Quellen &amp; Annahmen'!$B$2</f>
        <v>5.3105260062060568E-3</v>
      </c>
      <c r="M32" s="7" t="s">
        <v>90</v>
      </c>
      <c r="N32" s="7" t="s">
        <v>91</v>
      </c>
    </row>
    <row r="33" spans="1:14" ht="18" customHeight="1">
      <c r="A33">
        <v>32</v>
      </c>
      <c r="B33" t="s">
        <v>100</v>
      </c>
      <c r="C33" t="s">
        <v>23</v>
      </c>
      <c r="D33" s="2">
        <v>0</v>
      </c>
      <c r="E33" s="2">
        <v>578.83348986480337</v>
      </c>
      <c r="F33" s="2">
        <v>0</v>
      </c>
      <c r="G33" s="2">
        <v>0</v>
      </c>
      <c r="H33" s="2">
        <v>5.380992</v>
      </c>
      <c r="I33" s="2">
        <v>0</v>
      </c>
      <c r="J33" s="5">
        <f t="shared" si="0"/>
        <v>584.21448186480336</v>
      </c>
      <c r="K33" s="5">
        <f t="shared" si="1"/>
        <v>584.21448186480336</v>
      </c>
      <c r="L33" s="6">
        <f>K33/'Quellen &amp; Annahmen'!$B$2</f>
        <v>5.2917551829953849E-3</v>
      </c>
      <c r="M33" s="7" t="s">
        <v>90</v>
      </c>
      <c r="N33" s="7" t="s">
        <v>91</v>
      </c>
    </row>
    <row r="34" spans="1:14" ht="18" customHeight="1">
      <c r="A34">
        <v>33</v>
      </c>
      <c r="B34" t="s">
        <v>101</v>
      </c>
      <c r="C34" t="s">
        <v>50</v>
      </c>
      <c r="D34" s="2">
        <v>0</v>
      </c>
      <c r="E34" s="2">
        <v>580.23266971042108</v>
      </c>
      <c r="F34" s="2">
        <v>0</v>
      </c>
      <c r="G34" s="2">
        <v>0</v>
      </c>
      <c r="H34" s="2">
        <v>3.6994319999999998</v>
      </c>
      <c r="I34" s="2">
        <v>0</v>
      </c>
      <c r="J34" s="5">
        <f t="shared" si="0"/>
        <v>583.93210171042108</v>
      </c>
      <c r="K34" s="5">
        <f t="shared" si="1"/>
        <v>583.93210171042108</v>
      </c>
      <c r="L34" s="6">
        <f>K34/'Quellen &amp; Annahmen'!$B$2</f>
        <v>5.2891974123616308E-3</v>
      </c>
      <c r="M34" s="7" t="s">
        <v>90</v>
      </c>
      <c r="N34" s="7" t="s">
        <v>91</v>
      </c>
    </row>
    <row r="35" spans="1:14" ht="18" customHeight="1">
      <c r="A35">
        <v>34</v>
      </c>
      <c r="B35" t="s">
        <v>102</v>
      </c>
      <c r="C35" t="s">
        <v>33</v>
      </c>
      <c r="D35" s="2">
        <v>0</v>
      </c>
      <c r="E35" s="2">
        <v>573.57091058130413</v>
      </c>
      <c r="F35" s="2">
        <v>0</v>
      </c>
      <c r="G35" s="2">
        <v>0</v>
      </c>
      <c r="H35" s="2">
        <v>4.7083680000000001</v>
      </c>
      <c r="I35" s="2">
        <v>0</v>
      </c>
      <c r="J35" s="5">
        <f t="shared" si="0"/>
        <v>578.27927858130408</v>
      </c>
      <c r="K35" s="5">
        <f t="shared" si="1"/>
        <v>578.27927858130408</v>
      </c>
      <c r="L35" s="6">
        <f>K35/'Quellen &amp; Annahmen'!$B$2</f>
        <v>5.2379947170833868E-3</v>
      </c>
      <c r="M35" s="7" t="s">
        <v>90</v>
      </c>
      <c r="N35" s="7" t="s">
        <v>91</v>
      </c>
    </row>
    <row r="36" spans="1:14" ht="18" customHeight="1">
      <c r="A36">
        <v>35</v>
      </c>
      <c r="B36" t="s">
        <v>103</v>
      </c>
      <c r="D36" s="2">
        <v>0</v>
      </c>
      <c r="E36" s="2">
        <v>577.23593024483421</v>
      </c>
      <c r="F36" s="2">
        <v>0</v>
      </c>
      <c r="G36" s="2">
        <v>0</v>
      </c>
      <c r="H36" s="2">
        <v>0</v>
      </c>
      <c r="I36" s="2">
        <v>0</v>
      </c>
      <c r="J36" s="5">
        <f t="shared" si="0"/>
        <v>577.23593024483421</v>
      </c>
      <c r="K36" s="5">
        <f t="shared" si="1"/>
        <v>577.23593024483421</v>
      </c>
      <c r="L36" s="6">
        <f>K36/'Quellen &amp; Annahmen'!$B$2</f>
        <v>5.2285441742800642E-3</v>
      </c>
      <c r="M36" s="7" t="s">
        <v>104</v>
      </c>
      <c r="N36" s="7" t="s">
        <v>105</v>
      </c>
    </row>
    <row r="37" spans="1:14" ht="18" customHeight="1">
      <c r="A37">
        <v>36</v>
      </c>
      <c r="B37" t="s">
        <v>106</v>
      </c>
      <c r="C37" t="s">
        <v>23</v>
      </c>
      <c r="D37" s="2">
        <v>0</v>
      </c>
      <c r="E37" s="2">
        <v>573.61706909167503</v>
      </c>
      <c r="F37" s="2">
        <v>0</v>
      </c>
      <c r="G37" s="2">
        <v>0</v>
      </c>
      <c r="H37" s="2">
        <v>2.0178719999999997</v>
      </c>
      <c r="I37" s="2">
        <v>0</v>
      </c>
      <c r="J37" s="5">
        <f t="shared" si="0"/>
        <v>575.63494109167505</v>
      </c>
      <c r="K37" s="5">
        <f t="shared" si="1"/>
        <v>575.63494109167505</v>
      </c>
      <c r="L37" s="6">
        <f>K37/'Quellen &amp; Annahmen'!$B$2</f>
        <v>5.2140425778422171E-3</v>
      </c>
      <c r="M37" s="7" t="s">
        <v>90</v>
      </c>
      <c r="N37" s="7" t="s">
        <v>91</v>
      </c>
    </row>
    <row r="38" spans="1:14" ht="18" customHeight="1">
      <c r="A38">
        <v>37</v>
      </c>
      <c r="B38" t="s">
        <v>107</v>
      </c>
      <c r="C38" t="s">
        <v>108</v>
      </c>
      <c r="D38" s="2">
        <v>0</v>
      </c>
      <c r="E38" s="2">
        <v>551.96007300703127</v>
      </c>
      <c r="F38" s="2">
        <v>0</v>
      </c>
      <c r="G38" s="2">
        <v>0</v>
      </c>
      <c r="H38" s="2">
        <v>18.833472</v>
      </c>
      <c r="I38" s="2">
        <v>0</v>
      </c>
      <c r="J38" s="5">
        <f t="shared" si="0"/>
        <v>570.7935450070313</v>
      </c>
      <c r="K38" s="5">
        <f t="shared" si="1"/>
        <v>570.7935450070313</v>
      </c>
      <c r="L38" s="6">
        <f>K38/'Quellen &amp; Annahmen'!$B$2</f>
        <v>5.1701897059618935E-3</v>
      </c>
      <c r="M38" s="7" t="s">
        <v>90</v>
      </c>
      <c r="N38" s="7" t="s">
        <v>91</v>
      </c>
    </row>
    <row r="39" spans="1:14" ht="18" customHeight="1">
      <c r="A39">
        <v>38</v>
      </c>
      <c r="B39" t="s">
        <v>109</v>
      </c>
      <c r="C39" t="s">
        <v>38</v>
      </c>
      <c r="D39" s="2">
        <v>0</v>
      </c>
      <c r="E39" s="2">
        <v>565.36063524948725</v>
      </c>
      <c r="F39" s="2">
        <v>0</v>
      </c>
      <c r="G39" s="2">
        <v>0</v>
      </c>
      <c r="H39" s="2">
        <v>1.6815600000000002</v>
      </c>
      <c r="I39" s="2">
        <v>0</v>
      </c>
      <c r="J39" s="5">
        <f t="shared" si="0"/>
        <v>567.04219524948724</v>
      </c>
      <c r="K39" s="5">
        <f t="shared" si="1"/>
        <v>567.04219524948724</v>
      </c>
      <c r="L39" s="6">
        <f>K39/'Quellen &amp; Annahmen'!$B$2</f>
        <v>5.1362103625205123E-3</v>
      </c>
      <c r="M39" s="7" t="s">
        <v>90</v>
      </c>
      <c r="N39" s="7" t="s">
        <v>91</v>
      </c>
    </row>
    <row r="40" spans="1:14" ht="18" customHeight="1">
      <c r="A40">
        <v>39</v>
      </c>
      <c r="B40" t="s">
        <v>110</v>
      </c>
      <c r="C40" t="s">
        <v>38</v>
      </c>
      <c r="D40" s="2">
        <v>0</v>
      </c>
      <c r="E40" s="2">
        <v>555.88134028328216</v>
      </c>
      <c r="F40" s="2">
        <v>0</v>
      </c>
      <c r="G40" s="2">
        <v>0</v>
      </c>
      <c r="H40" s="2">
        <v>6.3899280000000003</v>
      </c>
      <c r="I40" s="2">
        <v>0</v>
      </c>
      <c r="J40" s="5">
        <f t="shared" si="0"/>
        <v>562.27126828328221</v>
      </c>
      <c r="K40" s="5">
        <f t="shared" si="1"/>
        <v>562.27126828328221</v>
      </c>
      <c r="L40" s="6">
        <f>K40/'Quellen &amp; Annahmen'!$B$2</f>
        <v>5.092995792726691E-3</v>
      </c>
      <c r="M40" s="7" t="s">
        <v>90</v>
      </c>
      <c r="N40" s="7" t="s">
        <v>91</v>
      </c>
    </row>
    <row r="41" spans="1:14" ht="18" customHeight="1">
      <c r="A41">
        <v>40</v>
      </c>
      <c r="B41" t="s">
        <v>111</v>
      </c>
      <c r="C41" t="s">
        <v>38</v>
      </c>
      <c r="D41" s="2">
        <v>0</v>
      </c>
      <c r="E41" s="2">
        <v>543.66257166664582</v>
      </c>
      <c r="F41" s="2">
        <v>0</v>
      </c>
      <c r="G41" s="2">
        <v>0</v>
      </c>
      <c r="H41" s="2">
        <v>13.116168</v>
      </c>
      <c r="I41" s="2">
        <v>0</v>
      </c>
      <c r="J41" s="5">
        <f t="shared" si="0"/>
        <v>556.77873966664583</v>
      </c>
      <c r="K41" s="5">
        <f t="shared" si="1"/>
        <v>556.77873966664583</v>
      </c>
      <c r="L41" s="6">
        <f>K41/'Quellen &amp; Annahmen'!$B$2</f>
        <v>5.0432450287913972E-3</v>
      </c>
      <c r="M41" s="7" t="s">
        <v>90</v>
      </c>
      <c r="N41" s="7" t="s">
        <v>91</v>
      </c>
    </row>
    <row r="42" spans="1:14" ht="18" customHeight="1">
      <c r="A42">
        <v>41</v>
      </c>
      <c r="B42" t="s">
        <v>112</v>
      </c>
      <c r="C42" t="s">
        <v>33</v>
      </c>
      <c r="D42" s="2">
        <v>0</v>
      </c>
      <c r="E42" s="2">
        <v>549.5452362328482</v>
      </c>
      <c r="F42" s="2">
        <v>0</v>
      </c>
      <c r="G42" s="2">
        <v>0</v>
      </c>
      <c r="H42" s="2">
        <v>4.0357439999999993</v>
      </c>
      <c r="I42" s="2">
        <v>0</v>
      </c>
      <c r="J42" s="5">
        <f t="shared" si="0"/>
        <v>553.58098023284822</v>
      </c>
      <c r="K42" s="5">
        <f t="shared" si="1"/>
        <v>553.58098023284822</v>
      </c>
      <c r="L42" s="6">
        <f>K42/'Quellen &amp; Annahmen'!$B$2</f>
        <v>5.0142800500326424E-3</v>
      </c>
      <c r="M42" s="7" t="s">
        <v>90</v>
      </c>
      <c r="N42" s="7" t="s">
        <v>91</v>
      </c>
    </row>
    <row r="43" spans="1:14" ht="18" customHeight="1">
      <c r="A43">
        <v>42</v>
      </c>
      <c r="B43" t="s">
        <v>113</v>
      </c>
      <c r="C43" t="s">
        <v>108</v>
      </c>
      <c r="D43" s="2">
        <v>0</v>
      </c>
      <c r="E43" s="2">
        <v>537.49073760900239</v>
      </c>
      <c r="F43" s="2">
        <v>0</v>
      </c>
      <c r="G43" s="2">
        <v>0</v>
      </c>
      <c r="H43" s="2">
        <v>15.806663999999998</v>
      </c>
      <c r="I43" s="2">
        <v>0</v>
      </c>
      <c r="J43" s="5">
        <f t="shared" si="0"/>
        <v>553.29740160900235</v>
      </c>
      <c r="K43" s="5">
        <f t="shared" si="1"/>
        <v>553.29740160900235</v>
      </c>
      <c r="L43" s="6">
        <f>K43/'Quellen &amp; Annahmen'!$B$2</f>
        <v>5.0117114237847394E-3</v>
      </c>
      <c r="M43" s="7" t="s">
        <v>90</v>
      </c>
      <c r="N43" s="7" t="s">
        <v>91</v>
      </c>
    </row>
    <row r="44" spans="1:14" ht="18" customHeight="1">
      <c r="A44">
        <v>43</v>
      </c>
      <c r="B44" t="s">
        <v>114</v>
      </c>
      <c r="C44" t="s">
        <v>108</v>
      </c>
      <c r="D44" s="2">
        <v>0</v>
      </c>
      <c r="E44" s="2">
        <v>546.53593893723394</v>
      </c>
      <c r="F44" s="2">
        <v>0</v>
      </c>
      <c r="G44" s="2">
        <v>0</v>
      </c>
      <c r="H44" s="2">
        <v>3.6994319999999998</v>
      </c>
      <c r="I44" s="2">
        <v>0</v>
      </c>
      <c r="J44" s="5">
        <f t="shared" si="0"/>
        <v>550.23537093723394</v>
      </c>
      <c r="K44" s="5">
        <f t="shared" si="1"/>
        <v>550.23537093723394</v>
      </c>
      <c r="L44" s="6">
        <f>K44/'Quellen &amp; Annahmen'!$B$2</f>
        <v>4.9839758623072142E-3</v>
      </c>
      <c r="M44" s="7" t="s">
        <v>90</v>
      </c>
      <c r="N44" s="7" t="s">
        <v>91</v>
      </c>
    </row>
    <row r="45" spans="1:14" ht="18" customHeight="1">
      <c r="A45">
        <v>44</v>
      </c>
      <c r="B45" t="s">
        <v>115</v>
      </c>
      <c r="C45" t="s">
        <v>41</v>
      </c>
      <c r="D45" s="2">
        <v>0</v>
      </c>
      <c r="E45" s="2">
        <v>546.94254110947168</v>
      </c>
      <c r="F45" s="2">
        <v>0</v>
      </c>
      <c r="G45" s="2">
        <v>0</v>
      </c>
      <c r="H45" s="2">
        <v>2.690496</v>
      </c>
      <c r="I45" s="2">
        <v>0</v>
      </c>
      <c r="J45" s="5">
        <f t="shared" si="0"/>
        <v>549.63303710947173</v>
      </c>
      <c r="K45" s="5">
        <f t="shared" si="1"/>
        <v>549.63303710947173</v>
      </c>
      <c r="L45" s="6">
        <f>K45/'Quellen &amp; Annahmen'!$B$2</f>
        <v>4.9785199839373732E-3</v>
      </c>
      <c r="M45" s="7" t="s">
        <v>90</v>
      </c>
      <c r="N45" s="7" t="s">
        <v>91</v>
      </c>
    </row>
    <row r="46" spans="1:14" ht="18" customHeight="1">
      <c r="A46">
        <v>45</v>
      </c>
      <c r="B46" t="s">
        <v>116</v>
      </c>
      <c r="D46" s="2">
        <v>0</v>
      </c>
      <c r="E46" s="2">
        <v>542.69375205007441</v>
      </c>
      <c r="F46" s="2">
        <v>0</v>
      </c>
      <c r="G46" s="2">
        <v>0</v>
      </c>
      <c r="H46" s="2">
        <v>0</v>
      </c>
      <c r="I46" s="2">
        <v>0</v>
      </c>
      <c r="J46" s="5">
        <f t="shared" si="0"/>
        <v>542.69375205007441</v>
      </c>
      <c r="K46" s="5">
        <f t="shared" si="1"/>
        <v>542.69375205007441</v>
      </c>
      <c r="L46" s="6">
        <f>K46/'Quellen &amp; Annahmen'!$B$2</f>
        <v>4.915664647722264E-3</v>
      </c>
      <c r="M46" s="7" t="s">
        <v>104</v>
      </c>
      <c r="N46" s="7" t="s">
        <v>105</v>
      </c>
    </row>
    <row r="47" spans="1:14" ht="18" customHeight="1">
      <c r="A47">
        <v>46</v>
      </c>
      <c r="B47" t="s">
        <v>117</v>
      </c>
      <c r="D47" s="2">
        <v>0</v>
      </c>
      <c r="E47" s="2">
        <v>541.47224852930356</v>
      </c>
      <c r="F47" s="2">
        <v>0</v>
      </c>
      <c r="G47" s="2">
        <v>0</v>
      </c>
      <c r="H47" s="2">
        <v>0</v>
      </c>
      <c r="I47" s="2">
        <v>0</v>
      </c>
      <c r="J47" s="5">
        <f t="shared" si="0"/>
        <v>541.47224852930356</v>
      </c>
      <c r="K47" s="5">
        <f t="shared" si="1"/>
        <v>541.47224852930356</v>
      </c>
      <c r="L47" s="6">
        <f>K47/'Quellen &amp; Annahmen'!$B$2</f>
        <v>4.904600393432549E-3</v>
      </c>
      <c r="M47" s="7" t="s">
        <v>104</v>
      </c>
      <c r="N47" s="7" t="s">
        <v>105</v>
      </c>
    </row>
    <row r="48" spans="1:14" ht="18" customHeight="1">
      <c r="A48">
        <v>47</v>
      </c>
      <c r="B48" t="s">
        <v>118</v>
      </c>
      <c r="C48" t="s">
        <v>38</v>
      </c>
      <c r="D48" s="2">
        <v>0</v>
      </c>
      <c r="E48" s="2">
        <v>0</v>
      </c>
      <c r="F48" s="2">
        <v>431.08718400000004</v>
      </c>
      <c r="G48" s="2">
        <v>0</v>
      </c>
      <c r="H48" s="2">
        <v>41.030064000000003</v>
      </c>
      <c r="I48" s="2">
        <v>0</v>
      </c>
      <c r="J48" s="5">
        <f t="shared" si="0"/>
        <v>472.11724800000002</v>
      </c>
      <c r="K48" s="5">
        <f t="shared" si="1"/>
        <v>472.11724800000002</v>
      </c>
      <c r="L48" s="6">
        <f>K48/'Quellen &amp; Annahmen'!$B$2</f>
        <v>4.2763898733062747E-3</v>
      </c>
      <c r="M48" s="7" t="s">
        <v>93</v>
      </c>
      <c r="N48" s="7" t="s">
        <v>94</v>
      </c>
    </row>
    <row r="49" spans="1:14" ht="18" customHeight="1">
      <c r="A49">
        <v>48</v>
      </c>
      <c r="B49" t="s">
        <v>119</v>
      </c>
      <c r="C49" t="s">
        <v>23</v>
      </c>
      <c r="D49" s="2">
        <v>0</v>
      </c>
      <c r="E49" s="2">
        <v>0</v>
      </c>
      <c r="F49" s="2">
        <v>360.56983600000001</v>
      </c>
      <c r="G49" s="2">
        <v>0</v>
      </c>
      <c r="H49" s="2">
        <v>34.303823999999999</v>
      </c>
      <c r="I49" s="2">
        <v>0</v>
      </c>
      <c r="J49" s="5">
        <f t="shared" si="0"/>
        <v>394.87366000000003</v>
      </c>
      <c r="K49" s="5">
        <f t="shared" si="1"/>
        <v>394.87366000000003</v>
      </c>
      <c r="L49" s="6">
        <f>K49/'Quellen &amp; Annahmen'!$B$2</f>
        <v>3.5767253325584606E-3</v>
      </c>
      <c r="M49" s="7" t="s">
        <v>93</v>
      </c>
      <c r="N49" s="7" t="s">
        <v>94</v>
      </c>
    </row>
    <row r="50" spans="1:14" ht="18" customHeight="1">
      <c r="A50">
        <v>49</v>
      </c>
      <c r="B50" t="s">
        <v>120</v>
      </c>
      <c r="C50" t="s">
        <v>25</v>
      </c>
      <c r="D50" s="2">
        <v>0</v>
      </c>
      <c r="E50" s="2">
        <v>0</v>
      </c>
      <c r="F50" s="2">
        <v>331.29848400000003</v>
      </c>
      <c r="G50" s="2">
        <v>0</v>
      </c>
      <c r="H50" s="2">
        <v>0</v>
      </c>
      <c r="I50" s="2">
        <v>0</v>
      </c>
      <c r="J50" s="5">
        <f t="shared" si="0"/>
        <v>331.29848400000003</v>
      </c>
      <c r="K50" s="5">
        <f t="shared" si="1"/>
        <v>331.29848400000003</v>
      </c>
      <c r="L50" s="6">
        <f>K50/'Quellen &amp; Annahmen'!$B$2</f>
        <v>3.0008678734383394E-3</v>
      </c>
      <c r="M50" s="7" t="s">
        <v>121</v>
      </c>
      <c r="N50" s="7" t="s">
        <v>122</v>
      </c>
    </row>
    <row r="51" spans="1:14" ht="18" customHeight="1">
      <c r="A51">
        <v>50</v>
      </c>
      <c r="B51" t="s">
        <v>123</v>
      </c>
      <c r="C51" t="s">
        <v>124</v>
      </c>
      <c r="D51" s="2">
        <v>0</v>
      </c>
      <c r="E51" s="2">
        <v>0</v>
      </c>
      <c r="F51" s="2">
        <v>236.83184799999998</v>
      </c>
      <c r="G51" s="2">
        <v>0</v>
      </c>
      <c r="H51" s="2">
        <v>22.869216000000002</v>
      </c>
      <c r="I51" s="2">
        <v>0</v>
      </c>
      <c r="J51" s="5">
        <f t="shared" si="0"/>
        <v>259.70106399999997</v>
      </c>
      <c r="K51" s="5">
        <f t="shared" si="1"/>
        <v>259.70106399999997</v>
      </c>
      <c r="L51" s="6">
        <f>K51/'Quellen &amp; Annahmen'!$B$2</f>
        <v>2.352345746488094E-3</v>
      </c>
      <c r="M51" s="7" t="s">
        <v>93</v>
      </c>
      <c r="N51" s="7" t="s">
        <v>94</v>
      </c>
    </row>
    <row r="52" spans="1:14" ht="18" customHeight="1">
      <c r="A52">
        <v>51</v>
      </c>
      <c r="B52" t="s">
        <v>125</v>
      </c>
      <c r="C52" t="s">
        <v>33</v>
      </c>
      <c r="D52" s="2">
        <v>0</v>
      </c>
      <c r="E52" s="2">
        <v>0</v>
      </c>
      <c r="F52" s="2">
        <v>235.50133199999999</v>
      </c>
      <c r="G52" s="2">
        <v>0</v>
      </c>
      <c r="H52" s="2">
        <v>22.532903999999998</v>
      </c>
      <c r="I52" s="2">
        <v>0</v>
      </c>
      <c r="J52" s="5">
        <f t="shared" si="0"/>
        <v>258.03423599999996</v>
      </c>
      <c r="K52" s="5">
        <f t="shared" si="1"/>
        <v>258.03423599999996</v>
      </c>
      <c r="L52" s="6">
        <f>K52/'Quellen &amp; Annahmen'!$B$2</f>
        <v>2.33724778849156E-3</v>
      </c>
      <c r="M52" s="7" t="s">
        <v>93</v>
      </c>
      <c r="N52" s="7" t="s">
        <v>94</v>
      </c>
    </row>
    <row r="53" spans="1:14" ht="18" customHeight="1">
      <c r="A53">
        <v>52</v>
      </c>
      <c r="B53" t="s">
        <v>126</v>
      </c>
      <c r="C53" t="s">
        <v>25</v>
      </c>
      <c r="D53" s="2">
        <v>0</v>
      </c>
      <c r="E53" s="2">
        <v>0</v>
      </c>
      <c r="F53" s="2">
        <v>170.306048</v>
      </c>
      <c r="G53" s="2">
        <v>0</v>
      </c>
      <c r="H53" s="2">
        <v>16.142975999999997</v>
      </c>
      <c r="I53" s="2">
        <v>35.486344000000003</v>
      </c>
      <c r="J53" s="5">
        <f t="shared" si="0"/>
        <v>221.93536800000001</v>
      </c>
      <c r="K53" s="5">
        <f t="shared" si="1"/>
        <v>221.93536800000001</v>
      </c>
      <c r="L53" s="6">
        <f>K53/'Quellen &amp; Annahmen'!$B$2</f>
        <v>2.0102679244705366E-3</v>
      </c>
      <c r="M53" s="7" t="s">
        <v>127</v>
      </c>
      <c r="N53" s="7" t="s">
        <v>128</v>
      </c>
    </row>
    <row r="54" spans="1:14" ht="18" customHeight="1">
      <c r="A54">
        <v>53</v>
      </c>
      <c r="B54" t="s">
        <v>129</v>
      </c>
      <c r="C54" t="s">
        <v>33</v>
      </c>
      <c r="D54" s="2">
        <v>0</v>
      </c>
      <c r="E54" s="2">
        <v>0</v>
      </c>
      <c r="F54" s="2">
        <v>175.62811199999999</v>
      </c>
      <c r="G54" s="2">
        <v>0</v>
      </c>
      <c r="H54" s="2">
        <v>16.8156</v>
      </c>
      <c r="I54" s="2">
        <v>0</v>
      </c>
      <c r="J54" s="5">
        <f t="shared" si="0"/>
        <v>192.44371199999998</v>
      </c>
      <c r="K54" s="5">
        <f t="shared" si="1"/>
        <v>192.44371199999998</v>
      </c>
      <c r="L54" s="6">
        <f>K54/'Quellen &amp; Annahmen'!$B$2</f>
        <v>1.7431355127662466E-3</v>
      </c>
      <c r="M54" s="7" t="s">
        <v>93</v>
      </c>
      <c r="N54" s="7" t="s">
        <v>94</v>
      </c>
    </row>
    <row r="55" spans="1:14" ht="18" customHeight="1">
      <c r="A55">
        <v>54</v>
      </c>
      <c r="B55" t="s">
        <v>130</v>
      </c>
      <c r="C55" t="s">
        <v>50</v>
      </c>
      <c r="D55" s="2">
        <v>0</v>
      </c>
      <c r="E55" s="2">
        <v>0</v>
      </c>
      <c r="F55" s="2">
        <v>141.034696</v>
      </c>
      <c r="G55" s="2">
        <v>0</v>
      </c>
      <c r="H55" s="2">
        <v>13.452480000000001</v>
      </c>
      <c r="I55" s="2">
        <v>0</v>
      </c>
      <c r="J55" s="5">
        <f t="shared" si="0"/>
        <v>154.48717600000001</v>
      </c>
      <c r="K55" s="5">
        <f t="shared" si="1"/>
        <v>154.48717600000001</v>
      </c>
      <c r="L55" s="6">
        <f>K55/'Quellen &amp; Annahmen'!$B$2</f>
        <v>1.3993290814956292E-3</v>
      </c>
      <c r="M55" s="7" t="s">
        <v>93</v>
      </c>
      <c r="N55" s="7" t="s">
        <v>94</v>
      </c>
    </row>
    <row r="56" spans="1:14" ht="18" customHeight="1">
      <c r="A56">
        <v>55</v>
      </c>
      <c r="B56" t="s">
        <v>131</v>
      </c>
      <c r="C56" t="s">
        <v>108</v>
      </c>
      <c r="D56" s="2">
        <v>0</v>
      </c>
      <c r="E56" s="2">
        <v>0</v>
      </c>
      <c r="F56" s="2">
        <v>138.37366400000002</v>
      </c>
      <c r="G56" s="2">
        <v>0</v>
      </c>
      <c r="H56" s="2">
        <v>13.116168</v>
      </c>
      <c r="I56" s="2">
        <v>0</v>
      </c>
      <c r="J56" s="5">
        <f t="shared" si="0"/>
        <v>151.48983200000001</v>
      </c>
      <c r="K56" s="5">
        <f t="shared" si="1"/>
        <v>151.48983200000001</v>
      </c>
      <c r="L56" s="6">
        <f>K56/'Quellen &amp; Annahmen'!$B$2</f>
        <v>1.3721794452925154E-3</v>
      </c>
      <c r="M56" s="7" t="s">
        <v>93</v>
      </c>
      <c r="N56" s="7" t="s">
        <v>94</v>
      </c>
    </row>
    <row r="57" spans="1:14" ht="18" customHeight="1">
      <c r="A57">
        <v>56</v>
      </c>
      <c r="B57" t="s">
        <v>132</v>
      </c>
      <c r="C57" t="s">
        <v>124</v>
      </c>
      <c r="D57" s="2">
        <v>0</v>
      </c>
      <c r="E57" s="2">
        <v>0</v>
      </c>
      <c r="F57" s="2">
        <v>134.382116</v>
      </c>
      <c r="G57" s="2">
        <v>0</v>
      </c>
      <c r="H57" s="2">
        <v>12.779856000000001</v>
      </c>
      <c r="I57" s="2">
        <v>0</v>
      </c>
      <c r="J57" s="5">
        <f t="shared" si="0"/>
        <v>147.16197199999999</v>
      </c>
      <c r="K57" s="5">
        <f t="shared" si="1"/>
        <v>147.16197199999999</v>
      </c>
      <c r="L57" s="6">
        <f>K57/'Quellen &amp; Annahmen'!$B$2</f>
        <v>1.3329781308828216E-3</v>
      </c>
      <c r="M57" s="7" t="s">
        <v>93</v>
      </c>
      <c r="N57" s="7" t="s">
        <v>94</v>
      </c>
    </row>
    <row r="58" spans="1:14" ht="18" customHeight="1">
      <c r="A58">
        <v>57</v>
      </c>
      <c r="B58" t="s">
        <v>133</v>
      </c>
      <c r="C58" t="s">
        <v>108</v>
      </c>
      <c r="D58" s="2">
        <v>0</v>
      </c>
      <c r="E58" s="2">
        <v>0</v>
      </c>
      <c r="F58" s="2">
        <v>129.06005199999998</v>
      </c>
      <c r="G58" s="2">
        <v>0</v>
      </c>
      <c r="H58" s="2">
        <v>12.443543999999999</v>
      </c>
      <c r="I58" s="2">
        <v>0</v>
      </c>
      <c r="J58" s="5">
        <f t="shared" si="0"/>
        <v>141.50359599999999</v>
      </c>
      <c r="K58" s="5">
        <f t="shared" si="1"/>
        <v>141.50359599999999</v>
      </c>
      <c r="L58" s="6">
        <f>K58/'Quellen &amp; Annahmen'!$B$2</f>
        <v>1.2817251382665482E-3</v>
      </c>
      <c r="M58" s="7" t="s">
        <v>93</v>
      </c>
      <c r="N58" s="7" t="s">
        <v>94</v>
      </c>
    </row>
    <row r="59" spans="1:14" ht="18" customHeight="1">
      <c r="A59">
        <v>58</v>
      </c>
      <c r="B59" t="s">
        <v>134</v>
      </c>
      <c r="C59" t="s">
        <v>23</v>
      </c>
      <c r="D59" s="2">
        <v>0</v>
      </c>
      <c r="E59" s="2">
        <v>0</v>
      </c>
      <c r="F59" s="2">
        <v>127.729536</v>
      </c>
      <c r="G59" s="2">
        <v>0</v>
      </c>
      <c r="H59" s="2">
        <v>12.107232</v>
      </c>
      <c r="I59" s="2">
        <v>0</v>
      </c>
      <c r="J59" s="5">
        <f t="shared" si="0"/>
        <v>139.83676800000001</v>
      </c>
      <c r="K59" s="5">
        <f t="shared" si="1"/>
        <v>139.83676800000001</v>
      </c>
      <c r="L59" s="6">
        <f>K59/'Quellen &amp; Annahmen'!$B$2</f>
        <v>1.2666271802700142E-3</v>
      </c>
      <c r="M59" s="7" t="s">
        <v>93</v>
      </c>
      <c r="N59" s="7" t="s">
        <v>94</v>
      </c>
    </row>
    <row r="60" spans="1:14" ht="18" customHeight="1">
      <c r="A60">
        <v>59</v>
      </c>
      <c r="B60" t="s">
        <v>135</v>
      </c>
      <c r="C60" t="s">
        <v>33</v>
      </c>
      <c r="D60" s="2">
        <v>0</v>
      </c>
      <c r="E60" s="2">
        <v>0</v>
      </c>
      <c r="F60" s="2">
        <v>123.737988</v>
      </c>
      <c r="G60" s="2">
        <v>0</v>
      </c>
      <c r="H60" s="2">
        <v>11.770919999999998</v>
      </c>
      <c r="I60" s="2">
        <v>0</v>
      </c>
      <c r="J60" s="5">
        <f t="shared" si="0"/>
        <v>135.50890799999999</v>
      </c>
      <c r="K60" s="5">
        <f t="shared" si="1"/>
        <v>135.50890799999999</v>
      </c>
      <c r="L60" s="6">
        <f>K60/'Quellen &amp; Annahmen'!$B$2</f>
        <v>1.2274258658603204E-3</v>
      </c>
      <c r="M60" s="7" t="s">
        <v>93</v>
      </c>
      <c r="N60" s="7" t="s">
        <v>94</v>
      </c>
    </row>
    <row r="61" spans="1:14" ht="18" customHeight="1">
      <c r="A61">
        <v>60</v>
      </c>
      <c r="B61" t="s">
        <v>136</v>
      </c>
      <c r="C61" t="s">
        <v>23</v>
      </c>
      <c r="D61" s="2">
        <v>0</v>
      </c>
      <c r="E61" s="2">
        <v>0</v>
      </c>
      <c r="F61" s="2">
        <v>118.41592399999999</v>
      </c>
      <c r="G61" s="2">
        <v>0</v>
      </c>
      <c r="H61" s="2">
        <v>11.434608000000001</v>
      </c>
      <c r="I61" s="2">
        <v>0</v>
      </c>
      <c r="J61" s="5">
        <f t="shared" si="0"/>
        <v>129.85053199999999</v>
      </c>
      <c r="K61" s="5">
        <f t="shared" si="1"/>
        <v>129.85053199999999</v>
      </c>
      <c r="L61" s="6">
        <f>K61/'Quellen &amp; Annahmen'!$B$2</f>
        <v>1.176172873244047E-3</v>
      </c>
      <c r="M61" s="7" t="s">
        <v>93</v>
      </c>
      <c r="N61" s="7" t="s">
        <v>94</v>
      </c>
    </row>
    <row r="62" spans="1:14" ht="18" customHeight="1">
      <c r="A62">
        <v>61</v>
      </c>
      <c r="B62" t="s">
        <v>137</v>
      </c>
      <c r="C62" t="s">
        <v>108</v>
      </c>
      <c r="D62" s="2">
        <v>0</v>
      </c>
      <c r="E62" s="2">
        <v>0</v>
      </c>
      <c r="F62" s="2">
        <v>115.754892</v>
      </c>
      <c r="G62" s="2">
        <v>0</v>
      </c>
      <c r="H62" s="2">
        <v>11.098295999999999</v>
      </c>
      <c r="I62" s="2">
        <v>0</v>
      </c>
      <c r="J62" s="5">
        <f t="shared" si="0"/>
        <v>126.853188</v>
      </c>
      <c r="K62" s="5">
        <f t="shared" si="1"/>
        <v>126.853188</v>
      </c>
      <c r="L62" s="6">
        <f>K62/'Quellen &amp; Annahmen'!$B$2</f>
        <v>1.1490232370409332E-3</v>
      </c>
      <c r="M62" s="7" t="s">
        <v>93</v>
      </c>
      <c r="N62" s="7" t="s">
        <v>94</v>
      </c>
    </row>
    <row r="63" spans="1:14" ht="18" customHeight="1">
      <c r="A63">
        <v>62</v>
      </c>
      <c r="B63" t="s">
        <v>138</v>
      </c>
      <c r="C63" t="s">
        <v>33</v>
      </c>
      <c r="D63" s="2">
        <v>0</v>
      </c>
      <c r="E63" s="2">
        <v>0</v>
      </c>
      <c r="F63" s="2">
        <v>113.09386000000001</v>
      </c>
      <c r="G63" s="2">
        <v>0</v>
      </c>
      <c r="H63" s="2">
        <v>10.761984</v>
      </c>
      <c r="I63" s="2">
        <v>0</v>
      </c>
      <c r="J63" s="5">
        <f t="shared" si="0"/>
        <v>123.855844</v>
      </c>
      <c r="K63" s="5">
        <f t="shared" si="1"/>
        <v>123.855844</v>
      </c>
      <c r="L63" s="6">
        <f>K63/'Quellen &amp; Annahmen'!$B$2</f>
        <v>1.1218736008378194E-3</v>
      </c>
      <c r="M63" s="7" t="s">
        <v>93</v>
      </c>
      <c r="N63" s="7" t="s">
        <v>94</v>
      </c>
    </row>
    <row r="64" spans="1:14" ht="18" customHeight="1">
      <c r="A64">
        <v>63</v>
      </c>
      <c r="B64" t="s">
        <v>139</v>
      </c>
      <c r="C64" t="s">
        <v>33</v>
      </c>
      <c r="D64" s="2">
        <v>0</v>
      </c>
      <c r="E64" s="2">
        <v>0</v>
      </c>
      <c r="F64" s="2">
        <v>109.10231199999998</v>
      </c>
      <c r="G64" s="2">
        <v>0</v>
      </c>
      <c r="H64" s="2">
        <v>10.425671999999999</v>
      </c>
      <c r="I64" s="2">
        <v>0</v>
      </c>
      <c r="J64" s="5">
        <f t="shared" si="0"/>
        <v>119.52798399999998</v>
      </c>
      <c r="K64" s="5">
        <f t="shared" si="1"/>
        <v>119.52798399999998</v>
      </c>
      <c r="L64" s="6">
        <f>K64/'Quellen &amp; Annahmen'!$B$2</f>
        <v>1.0826722864281256E-3</v>
      </c>
      <c r="M64" s="7" t="s">
        <v>93</v>
      </c>
      <c r="N64" s="7" t="s">
        <v>94</v>
      </c>
    </row>
    <row r="65" spans="1:14" ht="18" customHeight="1">
      <c r="A65">
        <v>64</v>
      </c>
      <c r="B65" t="s">
        <v>140</v>
      </c>
      <c r="C65" t="s">
        <v>124</v>
      </c>
      <c r="D65" s="2">
        <v>0</v>
      </c>
      <c r="E65" s="2">
        <v>0</v>
      </c>
      <c r="F65" s="2">
        <v>94.466635999999994</v>
      </c>
      <c r="G65" s="2">
        <v>0</v>
      </c>
      <c r="H65" s="2">
        <v>9.0804240000000007</v>
      </c>
      <c r="I65" s="2">
        <v>12.095024</v>
      </c>
      <c r="J65" s="5">
        <f t="shared" si="0"/>
        <v>115.64208399999998</v>
      </c>
      <c r="K65" s="5">
        <f t="shared" si="1"/>
        <v>115.64208399999998</v>
      </c>
      <c r="L65" s="6">
        <f>K65/'Quellen &amp; Annahmen'!$B$2</f>
        <v>1.0474742006155928E-3</v>
      </c>
      <c r="M65" s="7" t="s">
        <v>127</v>
      </c>
      <c r="N65" s="7" t="s">
        <v>128</v>
      </c>
    </row>
    <row r="66" spans="1:14" ht="18" customHeight="1">
      <c r="A66">
        <v>65</v>
      </c>
      <c r="B66" t="s">
        <v>141</v>
      </c>
      <c r="C66" t="s">
        <v>108</v>
      </c>
      <c r="D66" s="2">
        <v>0</v>
      </c>
      <c r="E66" s="2">
        <v>0</v>
      </c>
      <c r="F66" s="2">
        <v>105.110764</v>
      </c>
      <c r="G66" s="2">
        <v>0</v>
      </c>
      <c r="H66" s="2">
        <v>10.089359999999999</v>
      </c>
      <c r="I66" s="2">
        <v>0</v>
      </c>
      <c r="J66" s="5">
        <f t="shared" ref="J66:J129" si="2">SUM(E66:I66)</f>
        <v>115.200124</v>
      </c>
      <c r="K66" s="5">
        <f t="shared" ref="K66:K129" si="3">D66+J66</f>
        <v>115.200124</v>
      </c>
      <c r="L66" s="6">
        <f>K66/'Quellen &amp; Annahmen'!$B$2</f>
        <v>1.0434709720184322E-3</v>
      </c>
      <c r="M66" s="7" t="s">
        <v>93</v>
      </c>
      <c r="N66" s="7" t="s">
        <v>94</v>
      </c>
    </row>
    <row r="67" spans="1:14" ht="18" customHeight="1">
      <c r="A67">
        <v>66</v>
      </c>
      <c r="B67" t="s">
        <v>142</v>
      </c>
      <c r="C67" t="s">
        <v>33</v>
      </c>
      <c r="D67" s="2">
        <v>0</v>
      </c>
      <c r="E67" s="2">
        <v>0</v>
      </c>
      <c r="F67" s="2">
        <v>103.78024800000001</v>
      </c>
      <c r="G67" s="2">
        <v>0</v>
      </c>
      <c r="H67" s="2">
        <v>9.7530479999999997</v>
      </c>
      <c r="I67" s="2">
        <v>0</v>
      </c>
      <c r="J67" s="5">
        <f t="shared" si="2"/>
        <v>113.53329600000001</v>
      </c>
      <c r="K67" s="5">
        <f t="shared" si="3"/>
        <v>113.53329600000001</v>
      </c>
      <c r="L67" s="6">
        <f>K67/'Quellen &amp; Annahmen'!$B$2</f>
        <v>1.028373014021898E-3</v>
      </c>
      <c r="M67" s="7" t="s">
        <v>93</v>
      </c>
      <c r="N67" s="7" t="s">
        <v>94</v>
      </c>
    </row>
    <row r="68" spans="1:14" ht="18" customHeight="1">
      <c r="A68">
        <v>67</v>
      </c>
      <c r="B68" t="s">
        <v>143</v>
      </c>
      <c r="C68" t="s">
        <v>38</v>
      </c>
      <c r="D68" s="2">
        <v>0</v>
      </c>
      <c r="E68" s="2">
        <v>0</v>
      </c>
      <c r="F68" s="2">
        <v>82.491991999999996</v>
      </c>
      <c r="G68" s="2">
        <v>0</v>
      </c>
      <c r="H68" s="2">
        <v>6.0536159999999999</v>
      </c>
      <c r="I68" s="2">
        <v>18.713055999999998</v>
      </c>
      <c r="J68" s="5">
        <f t="shared" si="2"/>
        <v>107.258664</v>
      </c>
      <c r="K68" s="5">
        <f t="shared" si="3"/>
        <v>107.258664</v>
      </c>
      <c r="L68" s="6">
        <f>K68/'Quellen &amp; Annahmen'!$B$2</f>
        <v>9.7153803741980703E-4</v>
      </c>
      <c r="M68" s="7" t="s">
        <v>127</v>
      </c>
      <c r="N68" s="7" t="s">
        <v>128</v>
      </c>
    </row>
    <row r="69" spans="1:14" ht="18" customHeight="1">
      <c r="A69">
        <v>68</v>
      </c>
      <c r="B69" t="s">
        <v>144</v>
      </c>
      <c r="D69" s="2">
        <v>0</v>
      </c>
      <c r="E69" s="2">
        <v>0</v>
      </c>
      <c r="F69" s="2">
        <v>0</v>
      </c>
      <c r="G69" s="2">
        <v>91.931757610661734</v>
      </c>
      <c r="H69" s="2">
        <v>0</v>
      </c>
      <c r="I69" s="2">
        <v>0</v>
      </c>
      <c r="J69" s="5">
        <f t="shared" si="2"/>
        <v>91.931757610661734</v>
      </c>
      <c r="K69" s="5">
        <f t="shared" si="3"/>
        <v>91.931757610661734</v>
      </c>
      <c r="L69" s="6">
        <f>K69/'Quellen &amp; Annahmen'!$B$2</f>
        <v>8.3270848279087004E-4</v>
      </c>
      <c r="M69" s="7" t="s">
        <v>145</v>
      </c>
      <c r="N69" s="7" t="s">
        <v>146</v>
      </c>
    </row>
    <row r="70" spans="1:14" ht="18" customHeight="1">
      <c r="A70">
        <v>69</v>
      </c>
      <c r="B70" t="s">
        <v>147</v>
      </c>
      <c r="C70" t="s">
        <v>25</v>
      </c>
      <c r="D70" s="2">
        <v>0</v>
      </c>
      <c r="E70" s="2">
        <v>0</v>
      </c>
      <c r="F70" s="2">
        <v>0</v>
      </c>
      <c r="G70" s="2">
        <v>81.886234277406345</v>
      </c>
      <c r="H70" s="2">
        <v>9.7530479999999997</v>
      </c>
      <c r="I70" s="2">
        <v>0</v>
      </c>
      <c r="J70" s="5">
        <f t="shared" si="2"/>
        <v>91.639282277406352</v>
      </c>
      <c r="K70" s="5">
        <f t="shared" si="3"/>
        <v>91.639282277406352</v>
      </c>
      <c r="L70" s="6">
        <f>K70/'Quellen &amp; Annahmen'!$B$2</f>
        <v>8.3005927105665863E-4</v>
      </c>
      <c r="M70" s="7" t="s">
        <v>148</v>
      </c>
      <c r="N70" s="7" t="s">
        <v>149</v>
      </c>
    </row>
    <row r="71" spans="1:14" ht="18" customHeight="1">
      <c r="A71">
        <v>70</v>
      </c>
      <c r="B71" t="s">
        <v>150</v>
      </c>
      <c r="C71" t="s">
        <v>25</v>
      </c>
      <c r="D71" s="2">
        <v>0</v>
      </c>
      <c r="E71" s="2">
        <v>0</v>
      </c>
      <c r="F71" s="2">
        <v>0</v>
      </c>
      <c r="G71" s="2">
        <v>89.889744544164273</v>
      </c>
      <c r="H71" s="2">
        <v>1.345248</v>
      </c>
      <c r="I71" s="2">
        <v>0</v>
      </c>
      <c r="J71" s="5">
        <f t="shared" si="2"/>
        <v>91.234992544164271</v>
      </c>
      <c r="K71" s="5">
        <f t="shared" si="3"/>
        <v>91.234992544164271</v>
      </c>
      <c r="L71" s="6">
        <f>K71/'Quellen &amp; Annahmen'!$B$2</f>
        <v>8.2639725589317501E-4</v>
      </c>
      <c r="M71" s="7" t="s">
        <v>148</v>
      </c>
      <c r="N71" s="7" t="s">
        <v>149</v>
      </c>
    </row>
    <row r="72" spans="1:14" ht="18" customHeight="1">
      <c r="A72">
        <v>71</v>
      </c>
      <c r="B72" t="s">
        <v>151</v>
      </c>
      <c r="C72" t="s">
        <v>25</v>
      </c>
      <c r="D72" s="2">
        <v>0</v>
      </c>
      <c r="E72" s="2">
        <v>0</v>
      </c>
      <c r="F72" s="2">
        <v>82.491991999999996</v>
      </c>
      <c r="G72" s="2">
        <v>0</v>
      </c>
      <c r="H72" s="2">
        <v>8.0714879999999987</v>
      </c>
      <c r="I72" s="2">
        <v>0</v>
      </c>
      <c r="J72" s="5">
        <f t="shared" si="2"/>
        <v>90.563479999999998</v>
      </c>
      <c r="K72" s="5">
        <f t="shared" si="3"/>
        <v>90.563479999999998</v>
      </c>
      <c r="L72" s="6">
        <f>K72/'Quellen &amp; Annahmen'!$B$2</f>
        <v>8.2031476376685005E-4</v>
      </c>
      <c r="M72" s="7" t="s">
        <v>93</v>
      </c>
      <c r="N72" s="7" t="s">
        <v>94</v>
      </c>
    </row>
    <row r="73" spans="1:14" ht="18" customHeight="1">
      <c r="A73">
        <v>72</v>
      </c>
      <c r="B73" t="s">
        <v>152</v>
      </c>
      <c r="C73" t="s">
        <v>25</v>
      </c>
      <c r="D73" s="2">
        <v>0</v>
      </c>
      <c r="E73" s="2">
        <v>0</v>
      </c>
      <c r="F73" s="2">
        <v>0</v>
      </c>
      <c r="G73" s="2">
        <v>83.353919796128665</v>
      </c>
      <c r="H73" s="2">
        <v>6.7262400000000007</v>
      </c>
      <c r="I73" s="2">
        <v>0</v>
      </c>
      <c r="J73" s="5">
        <f t="shared" si="2"/>
        <v>90.080159796128669</v>
      </c>
      <c r="K73" s="5">
        <f t="shared" si="3"/>
        <v>90.080159796128669</v>
      </c>
      <c r="L73" s="6">
        <f>K73/'Quellen &amp; Annahmen'!$B$2</f>
        <v>8.1593689866203678E-4</v>
      </c>
      <c r="M73" s="7" t="s">
        <v>148</v>
      </c>
      <c r="N73" s="7" t="s">
        <v>149</v>
      </c>
    </row>
    <row r="74" spans="1:14" ht="18" customHeight="1">
      <c r="A74">
        <v>73</v>
      </c>
      <c r="B74" t="s">
        <v>153</v>
      </c>
      <c r="C74" t="s">
        <v>25</v>
      </c>
      <c r="D74" s="2">
        <v>0</v>
      </c>
      <c r="E74" s="2">
        <v>0</v>
      </c>
      <c r="F74" s="2">
        <v>81.161475999999993</v>
      </c>
      <c r="G74" s="2">
        <v>0</v>
      </c>
      <c r="H74" s="2">
        <v>7.7351760000000001</v>
      </c>
      <c r="I74" s="2">
        <v>0</v>
      </c>
      <c r="J74" s="5">
        <f t="shared" si="2"/>
        <v>88.896651999999989</v>
      </c>
      <c r="K74" s="5">
        <f t="shared" si="3"/>
        <v>88.896651999999989</v>
      </c>
      <c r="L74" s="6">
        <f>K74/'Quellen &amp; Annahmen'!$B$2</f>
        <v>8.0521680577031569E-4</v>
      </c>
      <c r="M74" s="7" t="s">
        <v>93</v>
      </c>
      <c r="N74" s="7" t="s">
        <v>94</v>
      </c>
    </row>
    <row r="75" spans="1:14" ht="18" customHeight="1">
      <c r="A75">
        <v>74</v>
      </c>
      <c r="B75" t="s">
        <v>154</v>
      </c>
      <c r="C75" t="s">
        <v>33</v>
      </c>
      <c r="D75" s="2">
        <v>0</v>
      </c>
      <c r="E75" s="2">
        <v>0</v>
      </c>
      <c r="F75" s="2">
        <v>0</v>
      </c>
      <c r="G75" s="2">
        <v>87.84045287112076</v>
      </c>
      <c r="H75" s="2">
        <v>1.0089359999999998</v>
      </c>
      <c r="I75" s="2">
        <v>0</v>
      </c>
      <c r="J75" s="5">
        <f t="shared" si="2"/>
        <v>88.849388871120766</v>
      </c>
      <c r="K75" s="5">
        <f t="shared" si="3"/>
        <v>88.849388871120766</v>
      </c>
      <c r="L75" s="6">
        <f>K75/'Quellen &amp; Annahmen'!$B$2</f>
        <v>8.04788701170079E-4</v>
      </c>
      <c r="M75" s="7" t="s">
        <v>148</v>
      </c>
      <c r="N75" s="7" t="s">
        <v>149</v>
      </c>
    </row>
    <row r="76" spans="1:14" ht="18" customHeight="1">
      <c r="A76">
        <v>75</v>
      </c>
      <c r="B76" t="s">
        <v>155</v>
      </c>
      <c r="C76" t="s">
        <v>25</v>
      </c>
      <c r="D76" s="2">
        <v>0</v>
      </c>
      <c r="E76" s="2">
        <v>0</v>
      </c>
      <c r="F76" s="2">
        <v>0</v>
      </c>
      <c r="G76" s="2">
        <v>88.477103487446527</v>
      </c>
      <c r="H76" s="2">
        <v>0.336312</v>
      </c>
      <c r="I76" s="2">
        <v>0</v>
      </c>
      <c r="J76" s="5">
        <f t="shared" si="2"/>
        <v>88.813415487446534</v>
      </c>
      <c r="K76" s="5">
        <f t="shared" si="3"/>
        <v>88.813415487446534</v>
      </c>
      <c r="L76" s="6">
        <f>K76/'Quellen &amp; Annahmen'!$B$2</f>
        <v>8.0446285793028057E-4</v>
      </c>
      <c r="M76" s="7" t="s">
        <v>148</v>
      </c>
      <c r="N76" s="7" t="s">
        <v>149</v>
      </c>
    </row>
    <row r="77" spans="1:14" ht="18" customHeight="1">
      <c r="A77">
        <v>76</v>
      </c>
      <c r="B77" t="s">
        <v>156</v>
      </c>
      <c r="C77" t="s">
        <v>25</v>
      </c>
      <c r="D77" s="2">
        <v>0</v>
      </c>
      <c r="E77" s="2">
        <v>0</v>
      </c>
      <c r="F77" s="2">
        <v>0</v>
      </c>
      <c r="G77" s="2">
        <v>87.190928219466613</v>
      </c>
      <c r="H77" s="2">
        <v>1.0089359999999998</v>
      </c>
      <c r="I77" s="2">
        <v>0</v>
      </c>
      <c r="J77" s="5">
        <f t="shared" si="2"/>
        <v>88.199864219466619</v>
      </c>
      <c r="K77" s="5">
        <f t="shared" si="3"/>
        <v>88.199864219466619</v>
      </c>
      <c r="L77" s="6">
        <f>K77/'Quellen &amp; Annahmen'!$B$2</f>
        <v>7.9890537313120045E-4</v>
      </c>
      <c r="M77" s="7" t="s">
        <v>148</v>
      </c>
      <c r="N77" s="7" t="s">
        <v>149</v>
      </c>
    </row>
    <row r="78" spans="1:14" ht="18" customHeight="1">
      <c r="A78">
        <v>77</v>
      </c>
      <c r="B78" t="s">
        <v>157</v>
      </c>
      <c r="D78" s="2">
        <v>0</v>
      </c>
      <c r="E78" s="2">
        <v>0</v>
      </c>
      <c r="F78" s="2">
        <v>0</v>
      </c>
      <c r="G78" s="2">
        <v>87.774263042842506</v>
      </c>
      <c r="H78" s="2">
        <v>0</v>
      </c>
      <c r="I78" s="2">
        <v>0</v>
      </c>
      <c r="J78" s="5">
        <f t="shared" si="2"/>
        <v>87.774263042842506</v>
      </c>
      <c r="K78" s="5">
        <f t="shared" si="3"/>
        <v>87.774263042842506</v>
      </c>
      <c r="L78" s="6">
        <f>K78/'Quellen &amp; Annahmen'!$B$2</f>
        <v>7.9505032108747047E-4</v>
      </c>
      <c r="M78" s="7" t="s">
        <v>145</v>
      </c>
      <c r="N78" s="7" t="s">
        <v>146</v>
      </c>
    </row>
    <row r="79" spans="1:14" ht="18" customHeight="1">
      <c r="A79">
        <v>78</v>
      </c>
      <c r="B79" t="s">
        <v>158</v>
      </c>
      <c r="C79" t="s">
        <v>33</v>
      </c>
      <c r="D79" s="2">
        <v>0</v>
      </c>
      <c r="E79" s="2">
        <v>0</v>
      </c>
      <c r="F79" s="2">
        <v>79.83095999999999</v>
      </c>
      <c r="G79" s="2">
        <v>0</v>
      </c>
      <c r="H79" s="2">
        <v>7.7351760000000001</v>
      </c>
      <c r="I79" s="2">
        <v>0</v>
      </c>
      <c r="J79" s="5">
        <f t="shared" si="2"/>
        <v>87.566135999999986</v>
      </c>
      <c r="K79" s="5">
        <f t="shared" si="3"/>
        <v>87.566135999999986</v>
      </c>
      <c r="L79" s="6">
        <f>K79/'Quellen &amp; Annahmen'!$B$2</f>
        <v>7.9316512756373602E-4</v>
      </c>
      <c r="M79" s="7" t="s">
        <v>93</v>
      </c>
      <c r="N79" s="7" t="s">
        <v>94</v>
      </c>
    </row>
    <row r="80" spans="1:14" ht="18" customHeight="1">
      <c r="A80">
        <v>79</v>
      </c>
      <c r="B80" t="s">
        <v>159</v>
      </c>
      <c r="D80" s="2">
        <v>0</v>
      </c>
      <c r="E80" s="2">
        <v>0</v>
      </c>
      <c r="F80" s="2">
        <v>0</v>
      </c>
      <c r="G80" s="2">
        <v>87.530930127749514</v>
      </c>
      <c r="H80" s="2">
        <v>0</v>
      </c>
      <c r="I80" s="2">
        <v>0</v>
      </c>
      <c r="J80" s="5">
        <f t="shared" si="2"/>
        <v>87.530930127749514</v>
      </c>
      <c r="K80" s="5">
        <f t="shared" si="3"/>
        <v>87.530930127749514</v>
      </c>
      <c r="L80" s="6">
        <f>K80/'Quellen &amp; Annahmen'!$B$2</f>
        <v>7.9284623636412276E-4</v>
      </c>
      <c r="M80" s="7" t="s">
        <v>145</v>
      </c>
      <c r="N80" s="7" t="s">
        <v>146</v>
      </c>
    </row>
    <row r="81" spans="1:14" ht="18" customHeight="1">
      <c r="A81">
        <v>80</v>
      </c>
      <c r="B81" t="s">
        <v>160</v>
      </c>
      <c r="D81" s="2">
        <v>0</v>
      </c>
      <c r="E81" s="2">
        <v>0</v>
      </c>
      <c r="F81" s="2">
        <v>0</v>
      </c>
      <c r="G81" s="2">
        <v>86.655313760258352</v>
      </c>
      <c r="H81" s="2">
        <v>0</v>
      </c>
      <c r="I81" s="2">
        <v>0</v>
      </c>
      <c r="J81" s="5">
        <f t="shared" si="2"/>
        <v>86.655313760258352</v>
      </c>
      <c r="K81" s="5">
        <f t="shared" si="3"/>
        <v>86.655313760258352</v>
      </c>
      <c r="L81" s="6">
        <f>K81/'Quellen &amp; Annahmen'!$B$2</f>
        <v>7.8491499262604088E-4</v>
      </c>
      <c r="M81" s="7" t="s">
        <v>145</v>
      </c>
      <c r="N81" s="7" t="s">
        <v>146</v>
      </c>
    </row>
    <row r="82" spans="1:14" ht="18" customHeight="1">
      <c r="A82">
        <v>81</v>
      </c>
      <c r="B82" t="s">
        <v>161</v>
      </c>
      <c r="C82" t="s">
        <v>25</v>
      </c>
      <c r="D82" s="2">
        <v>0</v>
      </c>
      <c r="E82" s="2">
        <v>0</v>
      </c>
      <c r="F82" s="2">
        <v>0</v>
      </c>
      <c r="G82" s="2">
        <v>83.663260574336263</v>
      </c>
      <c r="H82" s="2">
        <v>2.3541840000000001</v>
      </c>
      <c r="I82" s="2">
        <v>0</v>
      </c>
      <c r="J82" s="5">
        <f t="shared" si="2"/>
        <v>86.017444574336267</v>
      </c>
      <c r="K82" s="5">
        <f t="shared" si="3"/>
        <v>86.017444574336267</v>
      </c>
      <c r="L82" s="6">
        <f>K82/'Quellen &amp; Annahmen'!$B$2</f>
        <v>7.7913723860682891E-4</v>
      </c>
      <c r="M82" s="7" t="s">
        <v>148</v>
      </c>
      <c r="N82" s="7" t="s">
        <v>149</v>
      </c>
    </row>
    <row r="83" spans="1:14" ht="18" customHeight="1">
      <c r="A83">
        <v>82</v>
      </c>
      <c r="B83" t="s">
        <v>162</v>
      </c>
      <c r="C83" t="s">
        <v>25</v>
      </c>
      <c r="D83" s="2">
        <v>0</v>
      </c>
      <c r="E83" s="2">
        <v>0</v>
      </c>
      <c r="F83" s="2">
        <v>0</v>
      </c>
      <c r="G83" s="2">
        <v>82.064514646493919</v>
      </c>
      <c r="H83" s="2">
        <v>3.6994319999999998</v>
      </c>
      <c r="I83" s="2">
        <v>0</v>
      </c>
      <c r="J83" s="5">
        <f t="shared" si="2"/>
        <v>85.76394664649392</v>
      </c>
      <c r="K83" s="5">
        <f t="shared" si="3"/>
        <v>85.76394664649392</v>
      </c>
      <c r="L83" s="6">
        <f>K83/'Quellen &amp; Annahmen'!$B$2</f>
        <v>7.7684108023489589E-4</v>
      </c>
      <c r="M83" s="7" t="s">
        <v>148</v>
      </c>
      <c r="N83" s="7" t="s">
        <v>149</v>
      </c>
    </row>
    <row r="84" spans="1:14" ht="18" customHeight="1">
      <c r="A84">
        <v>83</v>
      </c>
      <c r="B84" t="s">
        <v>163</v>
      </c>
      <c r="C84" t="s">
        <v>50</v>
      </c>
      <c r="D84" s="2">
        <v>0</v>
      </c>
      <c r="E84" s="2">
        <v>0</v>
      </c>
      <c r="F84" s="2">
        <v>0</v>
      </c>
      <c r="G84" s="2">
        <v>82.309348774187058</v>
      </c>
      <c r="H84" s="2">
        <v>2.0178719999999997</v>
      </c>
      <c r="I84" s="2">
        <v>0</v>
      </c>
      <c r="J84" s="5">
        <f t="shared" si="2"/>
        <v>84.327220774187055</v>
      </c>
      <c r="K84" s="5">
        <f t="shared" si="3"/>
        <v>84.327220774187055</v>
      </c>
      <c r="L84" s="6">
        <f>K84/'Quellen &amp; Annahmen'!$B$2</f>
        <v>7.6382736383906913E-4</v>
      </c>
      <c r="M84" s="7" t="s">
        <v>148</v>
      </c>
      <c r="N84" s="7" t="s">
        <v>149</v>
      </c>
    </row>
    <row r="85" spans="1:14" ht="18" customHeight="1">
      <c r="A85">
        <v>84</v>
      </c>
      <c r="B85" t="s">
        <v>164</v>
      </c>
      <c r="C85" t="s">
        <v>50</v>
      </c>
      <c r="D85" s="2">
        <v>0</v>
      </c>
      <c r="E85" s="2">
        <v>0</v>
      </c>
      <c r="F85" s="2">
        <v>0</v>
      </c>
      <c r="G85" s="2">
        <v>81.926721526318801</v>
      </c>
      <c r="H85" s="2">
        <v>1.345248</v>
      </c>
      <c r="I85" s="2">
        <v>0</v>
      </c>
      <c r="J85" s="5">
        <f t="shared" si="2"/>
        <v>83.271969526318799</v>
      </c>
      <c r="K85" s="5">
        <f t="shared" si="3"/>
        <v>83.271969526318799</v>
      </c>
      <c r="L85" s="6">
        <f>K85/'Quellen &amp; Annahmen'!$B$2</f>
        <v>7.5426900567847593E-4</v>
      </c>
      <c r="M85" s="7" t="s">
        <v>148</v>
      </c>
      <c r="N85" s="7" t="s">
        <v>149</v>
      </c>
    </row>
    <row r="86" spans="1:14" ht="18" customHeight="1">
      <c r="A86">
        <v>85</v>
      </c>
      <c r="B86" t="s">
        <v>165</v>
      </c>
      <c r="C86" t="s">
        <v>25</v>
      </c>
      <c r="D86" s="2">
        <v>0</v>
      </c>
      <c r="E86" s="2">
        <v>0</v>
      </c>
      <c r="F86" s="2">
        <v>0</v>
      </c>
      <c r="G86" s="2">
        <v>79.467234883113818</v>
      </c>
      <c r="H86" s="2">
        <v>2.3541840000000001</v>
      </c>
      <c r="I86" s="2">
        <v>0</v>
      </c>
      <c r="J86" s="5">
        <f t="shared" si="2"/>
        <v>81.821418883113822</v>
      </c>
      <c r="K86" s="5">
        <f t="shared" si="3"/>
        <v>81.821418883113822</v>
      </c>
      <c r="L86" s="6">
        <f>K86/'Quellen &amp; Annahmen'!$B$2</f>
        <v>7.4113006591807211E-4</v>
      </c>
      <c r="M86" s="7" t="s">
        <v>148</v>
      </c>
      <c r="N86" s="7" t="s">
        <v>149</v>
      </c>
    </row>
    <row r="87" spans="1:14" ht="18" customHeight="1">
      <c r="A87">
        <v>86</v>
      </c>
      <c r="B87" t="s">
        <v>166</v>
      </c>
      <c r="C87" t="s">
        <v>108</v>
      </c>
      <c r="D87" s="2">
        <v>0</v>
      </c>
      <c r="E87" s="2">
        <v>0</v>
      </c>
      <c r="F87" s="2">
        <v>74.508896000000007</v>
      </c>
      <c r="G87" s="2">
        <v>0</v>
      </c>
      <c r="H87" s="2">
        <v>7.0625519999999993</v>
      </c>
      <c r="I87" s="2">
        <v>0</v>
      </c>
      <c r="J87" s="5">
        <f t="shared" si="2"/>
        <v>81.571448000000004</v>
      </c>
      <c r="K87" s="5">
        <f t="shared" si="3"/>
        <v>81.571448000000004</v>
      </c>
      <c r="L87" s="6">
        <f>K87/'Quellen &amp; Annahmen'!$B$2</f>
        <v>7.3886585515750829E-4</v>
      </c>
      <c r="M87" s="7" t="s">
        <v>93</v>
      </c>
      <c r="N87" s="7" t="s">
        <v>94</v>
      </c>
    </row>
    <row r="88" spans="1:14" ht="18" customHeight="1">
      <c r="A88">
        <v>87</v>
      </c>
      <c r="B88" t="s">
        <v>167</v>
      </c>
      <c r="C88" t="s">
        <v>25</v>
      </c>
      <c r="D88" s="2">
        <v>0</v>
      </c>
      <c r="E88" s="2">
        <v>0</v>
      </c>
      <c r="F88" s="2">
        <v>0</v>
      </c>
      <c r="G88" s="2">
        <v>78.484077103904625</v>
      </c>
      <c r="H88" s="2">
        <v>3.0268079999999999</v>
      </c>
      <c r="I88" s="2">
        <v>0</v>
      </c>
      <c r="J88" s="5">
        <f t="shared" si="2"/>
        <v>81.510885103904627</v>
      </c>
      <c r="K88" s="5">
        <f t="shared" si="3"/>
        <v>81.510885103904627</v>
      </c>
      <c r="L88" s="6">
        <f>K88/'Quellen &amp; Annahmen'!$B$2</f>
        <v>7.3831728262249176E-4</v>
      </c>
      <c r="M88" s="7" t="s">
        <v>148</v>
      </c>
      <c r="N88" s="7" t="s">
        <v>149</v>
      </c>
    </row>
    <row r="89" spans="1:14" ht="18" customHeight="1">
      <c r="A89">
        <v>88</v>
      </c>
      <c r="B89" t="s">
        <v>168</v>
      </c>
      <c r="C89" t="s">
        <v>25</v>
      </c>
      <c r="D89" s="2">
        <v>0</v>
      </c>
      <c r="E89" s="2">
        <v>0</v>
      </c>
      <c r="F89" s="2">
        <v>0</v>
      </c>
      <c r="G89" s="2">
        <v>79.321162347992555</v>
      </c>
      <c r="H89" s="2">
        <v>1.345248</v>
      </c>
      <c r="I89" s="2">
        <v>0</v>
      </c>
      <c r="J89" s="5">
        <f t="shared" si="2"/>
        <v>80.666410347992553</v>
      </c>
      <c r="K89" s="5">
        <f t="shared" si="3"/>
        <v>80.666410347992553</v>
      </c>
      <c r="L89" s="6">
        <f>K89/'Quellen &amp; Annahmen'!$B$2</f>
        <v>7.3066811642544325E-4</v>
      </c>
      <c r="M89" s="7" t="s">
        <v>148</v>
      </c>
      <c r="N89" s="7" t="s">
        <v>149</v>
      </c>
    </row>
    <row r="90" spans="1:14" ht="18" customHeight="1">
      <c r="A90">
        <v>89</v>
      </c>
      <c r="B90" t="s">
        <v>169</v>
      </c>
      <c r="C90" t="s">
        <v>25</v>
      </c>
      <c r="D90" s="2">
        <v>0</v>
      </c>
      <c r="E90" s="2">
        <v>0</v>
      </c>
      <c r="F90" s="2">
        <v>0</v>
      </c>
      <c r="G90" s="2">
        <v>63.721425342019735</v>
      </c>
      <c r="H90" s="2">
        <v>15.134040000000001</v>
      </c>
      <c r="I90" s="2">
        <v>0</v>
      </c>
      <c r="J90" s="5">
        <f t="shared" si="2"/>
        <v>78.855465342019741</v>
      </c>
      <c r="K90" s="5">
        <f t="shared" si="3"/>
        <v>78.855465342019741</v>
      </c>
      <c r="L90" s="6">
        <f>K90/'Quellen &amp; Annahmen'!$B$2</f>
        <v>7.1426476128969376E-4</v>
      </c>
      <c r="M90" s="7" t="s">
        <v>148</v>
      </c>
      <c r="N90" s="7" t="s">
        <v>149</v>
      </c>
    </row>
    <row r="91" spans="1:14" ht="18" customHeight="1">
      <c r="A91">
        <v>90</v>
      </c>
      <c r="B91" t="s">
        <v>170</v>
      </c>
      <c r="C91" t="s">
        <v>33</v>
      </c>
      <c r="D91" s="2">
        <v>0</v>
      </c>
      <c r="E91" s="2">
        <v>0</v>
      </c>
      <c r="F91" s="2">
        <v>67.856315999999993</v>
      </c>
      <c r="G91" s="2">
        <v>0</v>
      </c>
      <c r="H91" s="2">
        <v>6.3899280000000003</v>
      </c>
      <c r="I91" s="2">
        <v>0</v>
      </c>
      <c r="J91" s="5">
        <f t="shared" si="2"/>
        <v>74.24624399999999</v>
      </c>
      <c r="K91" s="5">
        <f t="shared" si="3"/>
        <v>74.24624399999999</v>
      </c>
      <c r="L91" s="6">
        <f>K91/'Quellen &amp; Annahmen'!$B$2</f>
        <v>6.7251490454470057E-4</v>
      </c>
      <c r="M91" s="7" t="s">
        <v>93</v>
      </c>
      <c r="N91" s="7" t="s">
        <v>94</v>
      </c>
    </row>
    <row r="92" spans="1:14" ht="18" customHeight="1">
      <c r="A92">
        <v>91</v>
      </c>
      <c r="B92" t="s">
        <v>171</v>
      </c>
      <c r="C92" t="s">
        <v>33</v>
      </c>
      <c r="D92" s="2">
        <v>0</v>
      </c>
      <c r="E92" s="2">
        <v>0</v>
      </c>
      <c r="F92" s="2">
        <v>55.881672000000002</v>
      </c>
      <c r="G92" s="2">
        <v>0</v>
      </c>
      <c r="H92" s="2">
        <v>5.380992</v>
      </c>
      <c r="I92" s="2">
        <v>12.095024</v>
      </c>
      <c r="J92" s="5">
        <f t="shared" si="2"/>
        <v>73.357687999999996</v>
      </c>
      <c r="K92" s="5">
        <f t="shared" si="3"/>
        <v>73.357687999999996</v>
      </c>
      <c r="L92" s="6">
        <f>K92/'Quellen &amp; Annahmen'!$B$2</f>
        <v>6.6446645493528178E-4</v>
      </c>
      <c r="M92" s="7" t="s">
        <v>127</v>
      </c>
      <c r="N92" s="7" t="s">
        <v>128</v>
      </c>
    </row>
    <row r="93" spans="1:14" ht="18" customHeight="1">
      <c r="A93">
        <v>92</v>
      </c>
      <c r="B93" t="s">
        <v>172</v>
      </c>
      <c r="C93" t="s">
        <v>33</v>
      </c>
      <c r="D93" s="2">
        <v>0</v>
      </c>
      <c r="E93" s="2">
        <v>0</v>
      </c>
      <c r="F93" s="2">
        <v>63.864767999999998</v>
      </c>
      <c r="G93" s="2">
        <v>0</v>
      </c>
      <c r="H93" s="2">
        <v>6.0536159999999999</v>
      </c>
      <c r="I93" s="2">
        <v>0</v>
      </c>
      <c r="J93" s="5">
        <f t="shared" si="2"/>
        <v>69.918384000000003</v>
      </c>
      <c r="K93" s="5">
        <f t="shared" si="3"/>
        <v>69.918384000000003</v>
      </c>
      <c r="L93" s="6">
        <f>K93/'Quellen &amp; Annahmen'!$B$2</f>
        <v>6.3331359013500709E-4</v>
      </c>
      <c r="M93" s="7" t="s">
        <v>93</v>
      </c>
      <c r="N93" s="7" t="s">
        <v>94</v>
      </c>
    </row>
    <row r="94" spans="1:14" ht="18" customHeight="1">
      <c r="A94">
        <v>93</v>
      </c>
      <c r="B94" t="s">
        <v>173</v>
      </c>
      <c r="C94" t="s">
        <v>25</v>
      </c>
      <c r="D94" s="2">
        <v>0</v>
      </c>
      <c r="E94" s="2">
        <v>0</v>
      </c>
      <c r="F94" s="2">
        <v>55.881672000000002</v>
      </c>
      <c r="G94" s="2">
        <v>0</v>
      </c>
      <c r="H94" s="2">
        <v>5.0446799999999996</v>
      </c>
      <c r="I94" s="2">
        <v>6.2757199999999997</v>
      </c>
      <c r="J94" s="5">
        <f t="shared" si="2"/>
        <v>67.202072000000001</v>
      </c>
      <c r="K94" s="5">
        <f t="shared" si="3"/>
        <v>67.202072000000001</v>
      </c>
      <c r="L94" s="6">
        <f>K94/'Quellen &amp; Annahmen'!$B$2</f>
        <v>6.087095131207729E-4</v>
      </c>
      <c r="M94" s="7" t="s">
        <v>127</v>
      </c>
      <c r="N94" s="7" t="s">
        <v>128</v>
      </c>
    </row>
    <row r="95" spans="1:14" ht="18" customHeight="1">
      <c r="A95">
        <v>94</v>
      </c>
      <c r="B95" t="s">
        <v>174</v>
      </c>
      <c r="C95" t="s">
        <v>25</v>
      </c>
      <c r="D95" s="2">
        <v>0</v>
      </c>
      <c r="E95" s="2">
        <v>0</v>
      </c>
      <c r="F95" s="2">
        <v>0</v>
      </c>
      <c r="G95" s="2">
        <v>55.988451782320709</v>
      </c>
      <c r="H95" s="2">
        <v>10.761984</v>
      </c>
      <c r="I95" s="2">
        <v>0</v>
      </c>
      <c r="J95" s="5">
        <f t="shared" si="2"/>
        <v>66.750435782320707</v>
      </c>
      <c r="K95" s="5">
        <f t="shared" si="3"/>
        <v>66.750435782320707</v>
      </c>
      <c r="L95" s="6">
        <f>K95/'Quellen &amp; Annahmen'!$B$2</f>
        <v>6.0461863833091115E-4</v>
      </c>
      <c r="M95" s="7" t="s">
        <v>148</v>
      </c>
      <c r="N95" s="7" t="s">
        <v>149</v>
      </c>
    </row>
    <row r="96" spans="1:14" ht="18" customHeight="1">
      <c r="A96">
        <v>95</v>
      </c>
      <c r="B96" t="s">
        <v>175</v>
      </c>
      <c r="C96" t="s">
        <v>108</v>
      </c>
      <c r="D96" s="2">
        <v>0</v>
      </c>
      <c r="E96" s="2">
        <v>0</v>
      </c>
      <c r="F96" s="2">
        <v>53.220640000000003</v>
      </c>
      <c r="G96" s="2">
        <v>0</v>
      </c>
      <c r="H96" s="2">
        <v>5.0446799999999996</v>
      </c>
      <c r="I96" s="2">
        <v>0</v>
      </c>
      <c r="J96" s="5">
        <f t="shared" si="2"/>
        <v>58.265320000000003</v>
      </c>
      <c r="K96" s="5">
        <f t="shared" si="3"/>
        <v>58.265320000000003</v>
      </c>
      <c r="L96" s="6">
        <f>K96/'Quellen &amp; Annahmen'!$B$2</f>
        <v>5.2776132511250589E-4</v>
      </c>
      <c r="M96" s="7" t="s">
        <v>93</v>
      </c>
      <c r="N96" s="7" t="s">
        <v>94</v>
      </c>
    </row>
    <row r="97" spans="1:14" ht="18" customHeight="1">
      <c r="A97">
        <v>96</v>
      </c>
      <c r="B97" t="s">
        <v>176</v>
      </c>
      <c r="C97" t="s">
        <v>25</v>
      </c>
      <c r="D97" s="2">
        <v>0</v>
      </c>
      <c r="E97" s="2">
        <v>0</v>
      </c>
      <c r="F97" s="2">
        <v>34.593416000000005</v>
      </c>
      <c r="G97" s="2">
        <v>0</v>
      </c>
      <c r="H97" s="2">
        <v>3.3631200000000003</v>
      </c>
      <c r="I97" s="2">
        <v>3.9936399999999996</v>
      </c>
      <c r="J97" s="5">
        <f t="shared" si="2"/>
        <v>41.950176000000006</v>
      </c>
      <c r="K97" s="5">
        <f t="shared" si="3"/>
        <v>41.950176000000006</v>
      </c>
      <c r="L97" s="6">
        <f>K97/'Quellen &amp; Annahmen'!$B$2</f>
        <v>3.7998041501295876E-4</v>
      </c>
      <c r="M97" s="7" t="s">
        <v>127</v>
      </c>
      <c r="N97" s="7" t="s">
        <v>128</v>
      </c>
    </row>
    <row r="98" spans="1:14" ht="18" customHeight="1">
      <c r="A98">
        <v>97</v>
      </c>
      <c r="B98" t="s">
        <v>177</v>
      </c>
      <c r="C98" t="s">
        <v>25</v>
      </c>
      <c r="D98" s="2">
        <v>0</v>
      </c>
      <c r="E98" s="2">
        <v>0</v>
      </c>
      <c r="F98" s="2">
        <v>35.923932000000001</v>
      </c>
      <c r="G98" s="2">
        <v>0</v>
      </c>
      <c r="H98" s="2">
        <v>0</v>
      </c>
      <c r="I98" s="2">
        <v>0</v>
      </c>
      <c r="J98" s="5">
        <f t="shared" si="2"/>
        <v>35.923932000000001</v>
      </c>
      <c r="K98" s="5">
        <f t="shared" si="3"/>
        <v>35.923932000000001</v>
      </c>
      <c r="L98" s="6">
        <f>K98/'Quellen &amp; Annahmen'!$B$2</f>
        <v>3.2539531157765124E-4</v>
      </c>
      <c r="M98" s="7" t="s">
        <v>121</v>
      </c>
      <c r="N98" s="7" t="s">
        <v>122</v>
      </c>
    </row>
    <row r="99" spans="1:14" ht="18" customHeight="1">
      <c r="A99">
        <v>98</v>
      </c>
      <c r="B99" t="s">
        <v>178</v>
      </c>
      <c r="C99" t="s">
        <v>27</v>
      </c>
      <c r="D99" s="2">
        <v>0</v>
      </c>
      <c r="E99" s="2">
        <v>0</v>
      </c>
      <c r="F99" s="2">
        <v>0</v>
      </c>
      <c r="G99" s="2">
        <v>0</v>
      </c>
      <c r="H99" s="2">
        <v>6.7262400000000007</v>
      </c>
      <c r="I99" s="2">
        <v>23.277215999999999</v>
      </c>
      <c r="J99" s="5">
        <f t="shared" si="2"/>
        <v>30.003456</v>
      </c>
      <c r="K99" s="5">
        <f t="shared" si="3"/>
        <v>30.003456</v>
      </c>
      <c r="L99" s="6">
        <f>K99/'Quellen &amp; Annahmen'!$B$2</f>
        <v>2.7176824389730917E-4</v>
      </c>
      <c r="M99" s="7" t="s">
        <v>179</v>
      </c>
      <c r="N99" s="7" t="s">
        <v>180</v>
      </c>
    </row>
    <row r="100" spans="1:14" ht="18" customHeight="1">
      <c r="A100">
        <v>99</v>
      </c>
      <c r="B100" t="s">
        <v>181</v>
      </c>
      <c r="C100" t="s">
        <v>25</v>
      </c>
      <c r="D100" s="2">
        <v>0</v>
      </c>
      <c r="E100" s="2">
        <v>0</v>
      </c>
      <c r="F100" s="2">
        <v>0</v>
      </c>
      <c r="G100" s="2">
        <v>0</v>
      </c>
      <c r="H100" s="2">
        <v>6.7262400000000007</v>
      </c>
      <c r="I100" s="2">
        <v>16.773288000000001</v>
      </c>
      <c r="J100" s="5">
        <f t="shared" si="2"/>
        <v>23.499528000000002</v>
      </c>
      <c r="K100" s="5">
        <f t="shared" si="3"/>
        <v>23.499528000000002</v>
      </c>
      <c r="L100" s="6">
        <f>K100/'Quellen &amp; Annahmen'!$B$2</f>
        <v>2.1285632751692491E-4</v>
      </c>
      <c r="M100" s="7" t="s">
        <v>179</v>
      </c>
      <c r="N100" s="7" t="s">
        <v>180</v>
      </c>
    </row>
    <row r="101" spans="1:14" ht="18" customHeight="1">
      <c r="A101">
        <v>100</v>
      </c>
      <c r="B101" t="s">
        <v>182</v>
      </c>
      <c r="C101" t="s">
        <v>27</v>
      </c>
      <c r="D101" s="2">
        <v>0</v>
      </c>
      <c r="E101" s="2">
        <v>0</v>
      </c>
      <c r="F101" s="2">
        <v>0</v>
      </c>
      <c r="G101" s="2">
        <v>0</v>
      </c>
      <c r="H101" s="2">
        <v>5.7173040000000004</v>
      </c>
      <c r="I101" s="2">
        <v>17.457912</v>
      </c>
      <c r="J101" s="5">
        <f t="shared" si="2"/>
        <v>23.175215999999999</v>
      </c>
      <c r="K101" s="5">
        <f t="shared" si="3"/>
        <v>23.175215999999999</v>
      </c>
      <c r="L101" s="6">
        <f>K101/'Quellen &amp; Annahmen'!$B$2</f>
        <v>2.0991874250289106E-4</v>
      </c>
      <c r="M101" s="7" t="s">
        <v>179</v>
      </c>
      <c r="N101" s="7" t="s">
        <v>180</v>
      </c>
    </row>
    <row r="102" spans="1:14" ht="18" customHeight="1">
      <c r="A102">
        <v>101</v>
      </c>
      <c r="B102" t="s">
        <v>183</v>
      </c>
      <c r="C102" t="s">
        <v>27</v>
      </c>
      <c r="D102" s="2">
        <v>0</v>
      </c>
      <c r="E102" s="2">
        <v>0</v>
      </c>
      <c r="F102" s="2">
        <v>0</v>
      </c>
      <c r="G102" s="2">
        <v>0</v>
      </c>
      <c r="H102" s="2">
        <v>3.3631200000000003</v>
      </c>
      <c r="I102" s="2">
        <v>15.860455999999999</v>
      </c>
      <c r="J102" s="5">
        <f t="shared" si="2"/>
        <v>19.223576000000001</v>
      </c>
      <c r="K102" s="5">
        <f t="shared" si="3"/>
        <v>19.223576000000001</v>
      </c>
      <c r="L102" s="6">
        <f>K102/'Quellen &amp; Annahmen'!$B$2</f>
        <v>1.7412519047627244E-4</v>
      </c>
      <c r="M102" s="7" t="s">
        <v>179</v>
      </c>
      <c r="N102" s="7" t="s">
        <v>180</v>
      </c>
    </row>
    <row r="103" spans="1:14" ht="18" customHeight="1">
      <c r="A103">
        <v>102</v>
      </c>
      <c r="B103" t="s">
        <v>184</v>
      </c>
      <c r="C103" t="s">
        <v>23</v>
      </c>
      <c r="D103" s="2">
        <v>0</v>
      </c>
      <c r="E103" s="2">
        <v>0</v>
      </c>
      <c r="F103" s="2">
        <v>0</v>
      </c>
      <c r="G103" s="2">
        <v>0</v>
      </c>
      <c r="H103" s="2">
        <v>8.4077999999999999</v>
      </c>
      <c r="I103" s="2">
        <v>10.041152</v>
      </c>
      <c r="J103" s="5">
        <f t="shared" si="2"/>
        <v>18.448951999999998</v>
      </c>
      <c r="K103" s="5">
        <f t="shared" si="3"/>
        <v>18.448951999999998</v>
      </c>
      <c r="L103" s="6">
        <f>K103/'Quellen &amp; Annahmen'!$B$2</f>
        <v>1.6710872530103696E-4</v>
      </c>
      <c r="M103" s="7" t="s">
        <v>179</v>
      </c>
      <c r="N103" s="7" t="s">
        <v>180</v>
      </c>
    </row>
    <row r="104" spans="1:14" ht="18" customHeight="1">
      <c r="A104">
        <v>103</v>
      </c>
      <c r="B104" t="s">
        <v>185</v>
      </c>
      <c r="C104" t="s">
        <v>108</v>
      </c>
      <c r="D104" s="2">
        <v>0</v>
      </c>
      <c r="E104" s="2">
        <v>0</v>
      </c>
      <c r="F104" s="2">
        <v>0</v>
      </c>
      <c r="G104" s="2">
        <v>0</v>
      </c>
      <c r="H104" s="2">
        <v>4.7083680000000001</v>
      </c>
      <c r="I104" s="2">
        <v>13.350167999999998</v>
      </c>
      <c r="J104" s="5">
        <f t="shared" si="2"/>
        <v>18.058535999999997</v>
      </c>
      <c r="K104" s="5">
        <f t="shared" si="3"/>
        <v>18.058535999999997</v>
      </c>
      <c r="L104" s="6">
        <f>K104/'Quellen &amp; Annahmen'!$B$2</f>
        <v>1.6357237699804773E-4</v>
      </c>
      <c r="M104" s="7" t="s">
        <v>179</v>
      </c>
      <c r="N104" s="7" t="s">
        <v>180</v>
      </c>
    </row>
    <row r="105" spans="1:14" ht="18" customHeight="1">
      <c r="A105">
        <v>104</v>
      </c>
      <c r="B105" t="s">
        <v>186</v>
      </c>
      <c r="C105" t="s">
        <v>25</v>
      </c>
      <c r="D105" s="2">
        <v>0</v>
      </c>
      <c r="E105" s="2">
        <v>0</v>
      </c>
      <c r="F105" s="2">
        <v>0</v>
      </c>
      <c r="G105" s="2">
        <v>0</v>
      </c>
      <c r="H105" s="2">
        <v>16.8156</v>
      </c>
      <c r="I105" s="2">
        <v>0</v>
      </c>
      <c r="J105" s="5">
        <f t="shared" si="2"/>
        <v>16.8156</v>
      </c>
      <c r="K105" s="5">
        <f t="shared" si="3"/>
        <v>16.8156</v>
      </c>
      <c r="L105" s="6">
        <f>K105/'Quellen &amp; Annahmen'!$B$2</f>
        <v>1.5231398949772958E-4</v>
      </c>
      <c r="M105" s="7" t="s">
        <v>187</v>
      </c>
      <c r="N105" s="7" t="s">
        <v>188</v>
      </c>
    </row>
    <row r="106" spans="1:14" ht="18" customHeight="1">
      <c r="A106">
        <v>105</v>
      </c>
      <c r="B106" t="s">
        <v>189</v>
      </c>
      <c r="C106" t="s">
        <v>25</v>
      </c>
      <c r="D106" s="2">
        <v>0</v>
      </c>
      <c r="E106" s="2">
        <v>0</v>
      </c>
      <c r="F106" s="2">
        <v>0</v>
      </c>
      <c r="G106" s="2">
        <v>0</v>
      </c>
      <c r="H106" s="2">
        <v>16.142975999999997</v>
      </c>
      <c r="I106" s="2">
        <v>0</v>
      </c>
      <c r="J106" s="5">
        <f t="shared" si="2"/>
        <v>16.142975999999997</v>
      </c>
      <c r="K106" s="5">
        <f t="shared" si="3"/>
        <v>16.142975999999997</v>
      </c>
      <c r="L106" s="6">
        <f>K106/'Quellen &amp; Annahmen'!$B$2</f>
        <v>1.4622142991782037E-4</v>
      </c>
      <c r="M106" s="7" t="s">
        <v>187</v>
      </c>
      <c r="N106" s="7" t="s">
        <v>188</v>
      </c>
    </row>
    <row r="107" spans="1:14" ht="18" customHeight="1">
      <c r="A107">
        <v>106</v>
      </c>
      <c r="B107" t="s">
        <v>190</v>
      </c>
      <c r="C107" t="s">
        <v>23</v>
      </c>
      <c r="D107" s="2">
        <v>0</v>
      </c>
      <c r="E107" s="2">
        <v>0</v>
      </c>
      <c r="F107" s="2">
        <v>0</v>
      </c>
      <c r="G107" s="2">
        <v>0</v>
      </c>
      <c r="H107" s="2">
        <v>7.3988639999999997</v>
      </c>
      <c r="I107" s="2">
        <v>8.6719039999999996</v>
      </c>
      <c r="J107" s="5">
        <f t="shared" si="2"/>
        <v>16.070768000000001</v>
      </c>
      <c r="K107" s="5">
        <f t="shared" si="3"/>
        <v>16.070768000000001</v>
      </c>
      <c r="L107" s="6">
        <f>K107/'Quellen &amp; Annahmen'!$B$2</f>
        <v>1.4556737721951337E-4</v>
      </c>
      <c r="M107" s="7" t="s">
        <v>179</v>
      </c>
      <c r="N107" s="7" t="s">
        <v>180</v>
      </c>
    </row>
    <row r="108" spans="1:14" ht="18" customHeight="1">
      <c r="A108">
        <v>107</v>
      </c>
      <c r="B108" t="s">
        <v>191</v>
      </c>
      <c r="C108" t="s">
        <v>23</v>
      </c>
      <c r="D108" s="2">
        <v>0</v>
      </c>
      <c r="E108" s="2">
        <v>0</v>
      </c>
      <c r="F108" s="2">
        <v>0</v>
      </c>
      <c r="G108" s="2">
        <v>0</v>
      </c>
      <c r="H108" s="2">
        <v>9.0804240000000007</v>
      </c>
      <c r="I108" s="2">
        <v>6.9603440000000001</v>
      </c>
      <c r="J108" s="5">
        <f t="shared" si="2"/>
        <v>16.040768</v>
      </c>
      <c r="K108" s="5">
        <f t="shared" si="3"/>
        <v>16.040768</v>
      </c>
      <c r="L108" s="6">
        <f>K108/'Quellen &amp; Annahmen'!$B$2</f>
        <v>1.452956402797115E-4</v>
      </c>
      <c r="M108" s="7" t="s">
        <v>179</v>
      </c>
      <c r="N108" s="7" t="s">
        <v>180</v>
      </c>
    </row>
    <row r="109" spans="1:14" ht="18" customHeight="1">
      <c r="A109">
        <v>108</v>
      </c>
      <c r="B109" t="s">
        <v>192</v>
      </c>
      <c r="C109" t="s">
        <v>33</v>
      </c>
      <c r="D109" s="2">
        <v>0</v>
      </c>
      <c r="E109" s="2">
        <v>0</v>
      </c>
      <c r="F109" s="2">
        <v>0</v>
      </c>
      <c r="G109" s="2">
        <v>0</v>
      </c>
      <c r="H109" s="2">
        <v>5.0446799999999996</v>
      </c>
      <c r="I109" s="2">
        <v>10.725775999999998</v>
      </c>
      <c r="J109" s="5">
        <f t="shared" si="2"/>
        <v>15.770455999999998</v>
      </c>
      <c r="K109" s="5">
        <f t="shared" si="3"/>
        <v>15.770455999999998</v>
      </c>
      <c r="L109" s="6">
        <f>K109/'Quellen &amp; Annahmen'!$B$2</f>
        <v>1.4284718175732096E-4</v>
      </c>
      <c r="M109" s="7" t="s">
        <v>179</v>
      </c>
      <c r="N109" s="7" t="s">
        <v>180</v>
      </c>
    </row>
    <row r="110" spans="1:14" ht="18" customHeight="1">
      <c r="A110">
        <v>109</v>
      </c>
      <c r="B110" t="s">
        <v>193</v>
      </c>
      <c r="C110" t="s">
        <v>25</v>
      </c>
      <c r="D110" s="2">
        <v>0</v>
      </c>
      <c r="E110" s="2">
        <v>0</v>
      </c>
      <c r="F110" s="2">
        <v>0</v>
      </c>
      <c r="G110" s="2">
        <v>0</v>
      </c>
      <c r="H110" s="2">
        <v>2.3541840000000001</v>
      </c>
      <c r="I110" s="2">
        <v>13.350167999999998</v>
      </c>
      <c r="J110" s="5">
        <f t="shared" si="2"/>
        <v>15.704351999999998</v>
      </c>
      <c r="K110" s="5">
        <f t="shared" si="3"/>
        <v>15.704351999999998</v>
      </c>
      <c r="L110" s="6">
        <f>K110/'Quellen &amp; Annahmen'!$B$2</f>
        <v>1.422484184683656E-4</v>
      </c>
      <c r="M110" s="7" t="s">
        <v>179</v>
      </c>
      <c r="N110" s="7" t="s">
        <v>180</v>
      </c>
    </row>
    <row r="111" spans="1:14" ht="18" customHeight="1">
      <c r="A111">
        <v>110</v>
      </c>
      <c r="B111" t="s">
        <v>194</v>
      </c>
      <c r="C111" t="s">
        <v>23</v>
      </c>
      <c r="D111" s="2">
        <v>0</v>
      </c>
      <c r="E111" s="2">
        <v>0</v>
      </c>
      <c r="F111" s="2">
        <v>0</v>
      </c>
      <c r="G111" s="2">
        <v>0</v>
      </c>
      <c r="H111" s="2">
        <v>15.470352</v>
      </c>
      <c r="I111" s="2">
        <v>0</v>
      </c>
      <c r="J111" s="5">
        <f t="shared" si="2"/>
        <v>15.470352</v>
      </c>
      <c r="K111" s="5">
        <f t="shared" si="3"/>
        <v>15.470352</v>
      </c>
      <c r="L111" s="6">
        <f>K111/'Quellen &amp; Annahmen'!$B$2</f>
        <v>1.4012887033791122E-4</v>
      </c>
      <c r="M111" s="7" t="s">
        <v>187</v>
      </c>
      <c r="N111" s="7" t="s">
        <v>188</v>
      </c>
    </row>
    <row r="112" spans="1:14" ht="18" customHeight="1">
      <c r="A112">
        <v>111</v>
      </c>
      <c r="B112" t="s">
        <v>195</v>
      </c>
      <c r="C112" t="s">
        <v>38</v>
      </c>
      <c r="D112" s="2">
        <v>0</v>
      </c>
      <c r="E112" s="2">
        <v>0</v>
      </c>
      <c r="F112" s="2">
        <v>0</v>
      </c>
      <c r="G112" s="2">
        <v>0</v>
      </c>
      <c r="H112" s="2">
        <v>2.690496</v>
      </c>
      <c r="I112" s="2">
        <v>12.095024</v>
      </c>
      <c r="J112" s="5">
        <f t="shared" si="2"/>
        <v>14.78552</v>
      </c>
      <c r="K112" s="5">
        <f t="shared" si="3"/>
        <v>14.78552</v>
      </c>
      <c r="L112" s="6">
        <f>K112/'Quellen &amp; Annahmen'!$B$2</f>
        <v>1.3392573193929868E-4</v>
      </c>
      <c r="M112" s="7" t="s">
        <v>179</v>
      </c>
      <c r="N112" s="7" t="s">
        <v>180</v>
      </c>
    </row>
    <row r="113" spans="1:14" ht="18" customHeight="1">
      <c r="A113">
        <v>112</v>
      </c>
      <c r="B113" t="s">
        <v>196</v>
      </c>
      <c r="C113" t="s">
        <v>33</v>
      </c>
      <c r="D113" s="2">
        <v>0</v>
      </c>
      <c r="E113" s="2">
        <v>0</v>
      </c>
      <c r="F113" s="2">
        <v>0</v>
      </c>
      <c r="G113" s="2">
        <v>0</v>
      </c>
      <c r="H113" s="2">
        <v>14.461416</v>
      </c>
      <c r="I113" s="2">
        <v>0</v>
      </c>
      <c r="J113" s="5">
        <f t="shared" si="2"/>
        <v>14.461416</v>
      </c>
      <c r="K113" s="5">
        <f t="shared" si="3"/>
        <v>14.461416</v>
      </c>
      <c r="L113" s="6">
        <f>K113/'Quellen &amp; Annahmen'!$B$2</f>
        <v>1.3099003096804745E-4</v>
      </c>
      <c r="M113" s="7" t="s">
        <v>187</v>
      </c>
      <c r="N113" s="7" t="s">
        <v>188</v>
      </c>
    </row>
    <row r="114" spans="1:14" ht="18" customHeight="1">
      <c r="A114">
        <v>113</v>
      </c>
      <c r="B114" t="s">
        <v>197</v>
      </c>
      <c r="C114" t="s">
        <v>124</v>
      </c>
      <c r="D114" s="2">
        <v>0</v>
      </c>
      <c r="E114" s="2">
        <v>0</v>
      </c>
      <c r="F114" s="2">
        <v>0</v>
      </c>
      <c r="G114" s="2">
        <v>0</v>
      </c>
      <c r="H114" s="2">
        <v>6.0536159999999999</v>
      </c>
      <c r="I114" s="2">
        <v>7.873176</v>
      </c>
      <c r="J114" s="5">
        <f t="shared" si="2"/>
        <v>13.926791999999999</v>
      </c>
      <c r="K114" s="5">
        <f t="shared" si="3"/>
        <v>13.926791999999999</v>
      </c>
      <c r="L114" s="6">
        <f>K114/'Quellen &amp; Annahmen'!$B$2</f>
        <v>1.2614746131122675E-4</v>
      </c>
      <c r="M114" s="7" t="s">
        <v>179</v>
      </c>
      <c r="N114" s="7" t="s">
        <v>180</v>
      </c>
    </row>
    <row r="115" spans="1:14" ht="18" customHeight="1">
      <c r="A115">
        <v>114</v>
      </c>
      <c r="B115" t="s">
        <v>198</v>
      </c>
      <c r="C115" t="s">
        <v>23</v>
      </c>
      <c r="D115" s="2">
        <v>0</v>
      </c>
      <c r="E115" s="2">
        <v>0</v>
      </c>
      <c r="F115" s="2">
        <v>0</v>
      </c>
      <c r="G115" s="2">
        <v>0</v>
      </c>
      <c r="H115" s="2">
        <v>4.3720559999999997</v>
      </c>
      <c r="I115" s="2">
        <v>9.0142159999999993</v>
      </c>
      <c r="J115" s="5">
        <f t="shared" si="2"/>
        <v>13.386271999999998</v>
      </c>
      <c r="K115" s="5">
        <f t="shared" si="3"/>
        <v>13.386271999999998</v>
      </c>
      <c r="L115" s="6">
        <f>K115/'Quellen &amp; Annahmen'!$B$2</f>
        <v>1.2125148628783698E-4</v>
      </c>
      <c r="M115" s="7" t="s">
        <v>179</v>
      </c>
      <c r="N115" s="7" t="s">
        <v>180</v>
      </c>
    </row>
    <row r="116" spans="1:14" ht="18" customHeight="1">
      <c r="A116">
        <v>115</v>
      </c>
      <c r="B116" t="s">
        <v>199</v>
      </c>
      <c r="C116" t="s">
        <v>33</v>
      </c>
      <c r="D116" s="2">
        <v>0</v>
      </c>
      <c r="E116" s="2">
        <v>0</v>
      </c>
      <c r="F116" s="2">
        <v>0</v>
      </c>
      <c r="G116" s="2">
        <v>0</v>
      </c>
      <c r="H116" s="2">
        <v>4.7083680000000001</v>
      </c>
      <c r="I116" s="2">
        <v>7.41676</v>
      </c>
      <c r="J116" s="5">
        <f t="shared" si="2"/>
        <v>12.125128</v>
      </c>
      <c r="K116" s="5">
        <f t="shared" si="3"/>
        <v>12.125128</v>
      </c>
      <c r="L116" s="6">
        <f>K116/'Quellen &amp; Annahmen'!$B$2</f>
        <v>1.098281725808551E-4</v>
      </c>
      <c r="M116" s="7" t="s">
        <v>179</v>
      </c>
      <c r="N116" s="7" t="s">
        <v>180</v>
      </c>
    </row>
    <row r="117" spans="1:14" ht="18" customHeight="1">
      <c r="A117">
        <v>116</v>
      </c>
      <c r="B117" t="s">
        <v>200</v>
      </c>
      <c r="C117" t="s">
        <v>33</v>
      </c>
      <c r="D117" s="2">
        <v>0</v>
      </c>
      <c r="E117" s="2">
        <v>0</v>
      </c>
      <c r="F117" s="2">
        <v>0</v>
      </c>
      <c r="G117" s="2">
        <v>0</v>
      </c>
      <c r="H117" s="2">
        <v>3.6994319999999998</v>
      </c>
      <c r="I117" s="2">
        <v>8.3295919999999999</v>
      </c>
      <c r="J117" s="5">
        <f t="shared" si="2"/>
        <v>12.029024</v>
      </c>
      <c r="K117" s="5">
        <f t="shared" si="3"/>
        <v>12.029024</v>
      </c>
      <c r="L117" s="6">
        <f>K117/'Quellen &amp; Annahmen'!$B$2</f>
        <v>1.0895767235209789E-4</v>
      </c>
      <c r="M117" s="7" t="s">
        <v>179</v>
      </c>
      <c r="N117" s="7" t="s">
        <v>180</v>
      </c>
    </row>
    <row r="118" spans="1:14" ht="18" customHeight="1">
      <c r="A118">
        <v>117</v>
      </c>
      <c r="B118" t="s">
        <v>201</v>
      </c>
      <c r="C118" t="s">
        <v>25</v>
      </c>
      <c r="D118" s="2">
        <v>0</v>
      </c>
      <c r="E118" s="2">
        <v>0</v>
      </c>
      <c r="F118" s="2">
        <v>0</v>
      </c>
      <c r="G118" s="2">
        <v>0</v>
      </c>
      <c r="H118" s="2">
        <v>4.3720559999999997</v>
      </c>
      <c r="I118" s="2">
        <v>7.1885519999999996</v>
      </c>
      <c r="J118" s="5">
        <f t="shared" si="2"/>
        <v>11.560607999999998</v>
      </c>
      <c r="K118" s="5">
        <f t="shared" si="3"/>
        <v>11.560607999999998</v>
      </c>
      <c r="L118" s="6">
        <f>K118/'Quellen &amp; Annahmen'!$B$2</f>
        <v>1.0471480800562385E-4</v>
      </c>
      <c r="M118" s="7" t="s">
        <v>179</v>
      </c>
      <c r="N118" s="7" t="s">
        <v>180</v>
      </c>
    </row>
    <row r="119" spans="1:14" ht="18" customHeight="1">
      <c r="A119">
        <v>118</v>
      </c>
      <c r="B119" t="s">
        <v>202</v>
      </c>
      <c r="C119" t="s">
        <v>23</v>
      </c>
      <c r="D119" s="2">
        <v>0</v>
      </c>
      <c r="E119" s="2">
        <v>0</v>
      </c>
      <c r="F119" s="2">
        <v>0</v>
      </c>
      <c r="G119" s="2">
        <v>0</v>
      </c>
      <c r="H119" s="2">
        <v>6.0536159999999999</v>
      </c>
      <c r="I119" s="2">
        <v>5.4769920000000001</v>
      </c>
      <c r="J119" s="5">
        <f t="shared" si="2"/>
        <v>11.530608000000001</v>
      </c>
      <c r="K119" s="5">
        <f t="shared" si="3"/>
        <v>11.530608000000001</v>
      </c>
      <c r="L119" s="6">
        <f>K119/'Quellen &amp; Annahmen'!$B$2</f>
        <v>1.0444307106582203E-4</v>
      </c>
      <c r="M119" s="7" t="s">
        <v>179</v>
      </c>
      <c r="N119" s="7" t="s">
        <v>180</v>
      </c>
    </row>
    <row r="120" spans="1:14" ht="18" customHeight="1">
      <c r="A120">
        <v>119</v>
      </c>
      <c r="B120" t="s">
        <v>203</v>
      </c>
      <c r="C120" t="s">
        <v>33</v>
      </c>
      <c r="D120" s="2">
        <v>0</v>
      </c>
      <c r="E120" s="2">
        <v>0</v>
      </c>
      <c r="F120" s="2">
        <v>0</v>
      </c>
      <c r="G120" s="2">
        <v>0</v>
      </c>
      <c r="H120" s="2">
        <v>6.3899280000000003</v>
      </c>
      <c r="I120" s="2">
        <v>5.0205760000000001</v>
      </c>
      <c r="J120" s="5">
        <f t="shared" si="2"/>
        <v>11.410504</v>
      </c>
      <c r="K120" s="5">
        <f t="shared" si="3"/>
        <v>11.410504</v>
      </c>
      <c r="L120" s="6">
        <f>K120/'Quellen &amp; Annahmen'!$B$2</f>
        <v>1.0335518128522333E-4</v>
      </c>
      <c r="M120" s="7" t="s">
        <v>179</v>
      </c>
      <c r="N120" s="7" t="s">
        <v>180</v>
      </c>
    </row>
    <row r="121" spans="1:14" ht="18" customHeight="1">
      <c r="A121">
        <v>120</v>
      </c>
      <c r="B121" t="s">
        <v>204</v>
      </c>
      <c r="C121" t="s">
        <v>25</v>
      </c>
      <c r="D121" s="2">
        <v>0</v>
      </c>
      <c r="E121" s="2">
        <v>0</v>
      </c>
      <c r="F121" s="2">
        <v>0</v>
      </c>
      <c r="G121" s="2">
        <v>0</v>
      </c>
      <c r="H121" s="2">
        <v>4.3720559999999997</v>
      </c>
      <c r="I121" s="2">
        <v>6.7321359999999997</v>
      </c>
      <c r="J121" s="5">
        <f t="shared" si="2"/>
        <v>11.104191999999999</v>
      </c>
      <c r="K121" s="5">
        <f t="shared" si="3"/>
        <v>11.104191999999999</v>
      </c>
      <c r="L121" s="6">
        <f>K121/'Quellen &amp; Annahmen'!$B$2</f>
        <v>1.0058063843507059E-4</v>
      </c>
      <c r="M121" s="7" t="s">
        <v>179</v>
      </c>
      <c r="N121" s="7" t="s">
        <v>180</v>
      </c>
    </row>
    <row r="122" spans="1:14" ht="18" customHeight="1">
      <c r="A122">
        <v>121</v>
      </c>
      <c r="B122" t="s">
        <v>205</v>
      </c>
      <c r="C122" t="s">
        <v>25</v>
      </c>
      <c r="D122" s="2">
        <v>0</v>
      </c>
      <c r="E122" s="2">
        <v>0</v>
      </c>
      <c r="F122" s="2">
        <v>0</v>
      </c>
      <c r="G122" s="2">
        <v>0</v>
      </c>
      <c r="H122" s="2">
        <v>11.098295999999999</v>
      </c>
      <c r="I122" s="2">
        <v>0</v>
      </c>
      <c r="J122" s="5">
        <f t="shared" si="2"/>
        <v>11.098295999999999</v>
      </c>
      <c r="K122" s="5">
        <f t="shared" si="3"/>
        <v>11.098295999999999</v>
      </c>
      <c r="L122" s="6">
        <f>K122/'Quellen &amp; Annahmen'!$B$2</f>
        <v>1.0052723306850153E-4</v>
      </c>
      <c r="M122" s="7" t="s">
        <v>187</v>
      </c>
      <c r="N122" s="7" t="s">
        <v>188</v>
      </c>
    </row>
    <row r="123" spans="1:14" ht="18" customHeight="1">
      <c r="A123">
        <v>122</v>
      </c>
      <c r="B123" t="s">
        <v>206</v>
      </c>
      <c r="C123" t="s">
        <v>23</v>
      </c>
      <c r="D123" s="2">
        <v>0</v>
      </c>
      <c r="E123" s="2">
        <v>0</v>
      </c>
      <c r="F123" s="2">
        <v>0</v>
      </c>
      <c r="G123" s="2">
        <v>0</v>
      </c>
      <c r="H123" s="2">
        <v>5.380992</v>
      </c>
      <c r="I123" s="2">
        <v>5.7051999999999996</v>
      </c>
      <c r="J123" s="5">
        <f t="shared" si="2"/>
        <v>11.086192</v>
      </c>
      <c r="K123" s="5">
        <f t="shared" si="3"/>
        <v>11.086192</v>
      </c>
      <c r="L123" s="6">
        <f>K123/'Quellen &amp; Annahmen'!$B$2</f>
        <v>1.0041759627118948E-4</v>
      </c>
      <c r="M123" s="7" t="s">
        <v>179</v>
      </c>
      <c r="N123" s="7" t="s">
        <v>180</v>
      </c>
    </row>
    <row r="124" spans="1:14" ht="18" customHeight="1">
      <c r="A124">
        <v>123</v>
      </c>
      <c r="B124" t="s">
        <v>207</v>
      </c>
      <c r="C124" t="s">
        <v>25</v>
      </c>
      <c r="D124" s="2">
        <v>0</v>
      </c>
      <c r="E124" s="2">
        <v>0</v>
      </c>
      <c r="F124" s="2">
        <v>0</v>
      </c>
      <c r="G124" s="2">
        <v>0</v>
      </c>
      <c r="H124" s="2">
        <v>3.0268079999999999</v>
      </c>
      <c r="I124" s="2">
        <v>7.873176</v>
      </c>
      <c r="J124" s="5">
        <f t="shared" si="2"/>
        <v>10.899984</v>
      </c>
      <c r="K124" s="5">
        <f t="shared" si="3"/>
        <v>10.899984</v>
      </c>
      <c r="L124" s="6">
        <f>K124/'Quellen &amp; Annahmen'!$B$2</f>
        <v>9.8730943201635418E-5</v>
      </c>
      <c r="M124" s="7" t="s">
        <v>179</v>
      </c>
      <c r="N124" s="7" t="s">
        <v>180</v>
      </c>
    </row>
    <row r="125" spans="1:14" ht="18" customHeight="1">
      <c r="A125">
        <v>124</v>
      </c>
      <c r="B125" t="s">
        <v>208</v>
      </c>
      <c r="C125" t="s">
        <v>25</v>
      </c>
      <c r="D125" s="2">
        <v>0</v>
      </c>
      <c r="E125" s="2">
        <v>0</v>
      </c>
      <c r="F125" s="2">
        <v>0</v>
      </c>
      <c r="G125" s="2">
        <v>0</v>
      </c>
      <c r="H125" s="2">
        <v>10.761984</v>
      </c>
      <c r="I125" s="2">
        <v>0</v>
      </c>
      <c r="J125" s="5">
        <f t="shared" si="2"/>
        <v>10.761984</v>
      </c>
      <c r="K125" s="5">
        <f t="shared" si="3"/>
        <v>10.761984</v>
      </c>
      <c r="L125" s="6">
        <f>K125/'Quellen &amp; Annahmen'!$B$2</f>
        <v>9.7480953278546943E-5</v>
      </c>
      <c r="M125" s="7" t="s">
        <v>187</v>
      </c>
      <c r="N125" s="7" t="s">
        <v>188</v>
      </c>
    </row>
    <row r="126" spans="1:14" ht="18" customHeight="1">
      <c r="A126">
        <v>125</v>
      </c>
      <c r="B126" t="s">
        <v>209</v>
      </c>
      <c r="C126" t="s">
        <v>23</v>
      </c>
      <c r="D126" s="2">
        <v>0</v>
      </c>
      <c r="E126" s="2">
        <v>0</v>
      </c>
      <c r="F126" s="2">
        <v>0</v>
      </c>
      <c r="G126" s="2">
        <v>0</v>
      </c>
      <c r="H126" s="2">
        <v>5.0446799999999996</v>
      </c>
      <c r="I126" s="2">
        <v>5.7051999999999996</v>
      </c>
      <c r="J126" s="5">
        <f t="shared" si="2"/>
        <v>10.749879999999999</v>
      </c>
      <c r="K126" s="5">
        <f t="shared" si="3"/>
        <v>10.749879999999999</v>
      </c>
      <c r="L126" s="6">
        <f>K126/'Quellen &amp; Annahmen'!$B$2</f>
        <v>9.7371316481234882E-5</v>
      </c>
      <c r="M126" s="7" t="s">
        <v>179</v>
      </c>
      <c r="N126" s="7" t="s">
        <v>180</v>
      </c>
    </row>
    <row r="127" spans="1:14" ht="18" customHeight="1">
      <c r="A127">
        <v>126</v>
      </c>
      <c r="B127" t="s">
        <v>210</v>
      </c>
      <c r="C127" t="s">
        <v>50</v>
      </c>
      <c r="D127" s="2">
        <v>0</v>
      </c>
      <c r="E127" s="2">
        <v>0</v>
      </c>
      <c r="F127" s="2">
        <v>0</v>
      </c>
      <c r="G127" s="2">
        <v>0</v>
      </c>
      <c r="H127" s="2">
        <v>10.425671999999999</v>
      </c>
      <c r="I127" s="2">
        <v>0</v>
      </c>
      <c r="J127" s="5">
        <f t="shared" si="2"/>
        <v>10.425671999999999</v>
      </c>
      <c r="K127" s="5">
        <f t="shared" si="3"/>
        <v>10.425671999999999</v>
      </c>
      <c r="L127" s="6">
        <f>K127/'Quellen &amp; Annahmen'!$B$2</f>
        <v>9.443467348859234E-5</v>
      </c>
      <c r="M127" s="7" t="s">
        <v>187</v>
      </c>
      <c r="N127" s="7" t="s">
        <v>188</v>
      </c>
    </row>
    <row r="128" spans="1:14" ht="18" customHeight="1">
      <c r="A128">
        <v>127</v>
      </c>
      <c r="B128" t="s">
        <v>211</v>
      </c>
      <c r="C128" t="s">
        <v>23</v>
      </c>
      <c r="D128" s="2">
        <v>0</v>
      </c>
      <c r="E128" s="2">
        <v>0</v>
      </c>
      <c r="F128" s="2">
        <v>0</v>
      </c>
      <c r="G128" s="2">
        <v>0</v>
      </c>
      <c r="H128" s="2">
        <v>3.6994319999999998</v>
      </c>
      <c r="I128" s="2">
        <v>6.6180319999999995</v>
      </c>
      <c r="J128" s="5">
        <f t="shared" si="2"/>
        <v>10.317463999999999</v>
      </c>
      <c r="K128" s="5">
        <f t="shared" si="3"/>
        <v>10.317463999999999</v>
      </c>
      <c r="L128" s="6">
        <f>K128/'Quellen &amp; Annahmen'!$B$2</f>
        <v>9.3454536462523076E-5</v>
      </c>
      <c r="M128" s="7" t="s">
        <v>179</v>
      </c>
      <c r="N128" s="7" t="s">
        <v>180</v>
      </c>
    </row>
    <row r="129" spans="1:14" ht="18" customHeight="1">
      <c r="A129">
        <v>128</v>
      </c>
      <c r="B129" t="s">
        <v>212</v>
      </c>
      <c r="C129" t="s">
        <v>23</v>
      </c>
      <c r="D129" s="2">
        <v>0</v>
      </c>
      <c r="E129" s="2">
        <v>0</v>
      </c>
      <c r="F129" s="2">
        <v>0</v>
      </c>
      <c r="G129" s="2">
        <v>0</v>
      </c>
      <c r="H129" s="2">
        <v>4.7083680000000001</v>
      </c>
      <c r="I129" s="2">
        <v>5.4769920000000001</v>
      </c>
      <c r="J129" s="5">
        <f t="shared" si="2"/>
        <v>10.185359999999999</v>
      </c>
      <c r="K129" s="5">
        <f t="shared" si="3"/>
        <v>10.185359999999999</v>
      </c>
      <c r="L129" s="6">
        <f>K129/'Quellen &amp; Annahmen'!$B$2</f>
        <v>9.2257951906003655E-5</v>
      </c>
      <c r="M129" s="7" t="s">
        <v>179</v>
      </c>
      <c r="N129" s="7" t="s">
        <v>180</v>
      </c>
    </row>
    <row r="130" spans="1:14" ht="18" customHeight="1">
      <c r="A130">
        <v>129</v>
      </c>
      <c r="B130" t="s">
        <v>213</v>
      </c>
      <c r="C130" t="s">
        <v>23</v>
      </c>
      <c r="D130" s="2">
        <v>0</v>
      </c>
      <c r="E130" s="2">
        <v>0</v>
      </c>
      <c r="F130" s="2">
        <v>0</v>
      </c>
      <c r="G130" s="2">
        <v>0</v>
      </c>
      <c r="H130" s="2">
        <v>10.089359999999999</v>
      </c>
      <c r="I130" s="2">
        <v>0</v>
      </c>
      <c r="J130" s="5">
        <f t="shared" ref="J130:J193" si="4">SUM(E130:I130)</f>
        <v>10.089359999999999</v>
      </c>
      <c r="K130" s="5">
        <f t="shared" ref="K130:K193" si="5">D130+J130</f>
        <v>10.089359999999999</v>
      </c>
      <c r="L130" s="6">
        <f>K130/'Quellen &amp; Annahmen'!$B$2</f>
        <v>9.138839369863775E-5</v>
      </c>
      <c r="M130" s="7" t="s">
        <v>187</v>
      </c>
      <c r="N130" s="7" t="s">
        <v>188</v>
      </c>
    </row>
    <row r="131" spans="1:14" ht="18" customHeight="1">
      <c r="A131">
        <v>130</v>
      </c>
      <c r="B131" t="s">
        <v>214</v>
      </c>
      <c r="C131" t="s">
        <v>50</v>
      </c>
      <c r="D131" s="2">
        <v>0</v>
      </c>
      <c r="E131" s="2">
        <v>0</v>
      </c>
      <c r="F131" s="2">
        <v>0</v>
      </c>
      <c r="G131" s="2">
        <v>0</v>
      </c>
      <c r="H131" s="2">
        <v>3.0268079999999999</v>
      </c>
      <c r="I131" s="2">
        <v>6.9603440000000001</v>
      </c>
      <c r="J131" s="5">
        <f t="shared" si="4"/>
        <v>9.987152</v>
      </c>
      <c r="K131" s="5">
        <f t="shared" si="5"/>
        <v>9.987152</v>
      </c>
      <c r="L131" s="6">
        <f>K131/'Quellen &amp; Annahmen'!$B$2</f>
        <v>9.0462604060528867E-5</v>
      </c>
      <c r="M131" s="7" t="s">
        <v>179</v>
      </c>
      <c r="N131" s="7" t="s">
        <v>180</v>
      </c>
    </row>
    <row r="132" spans="1:14" ht="18" customHeight="1">
      <c r="A132">
        <v>131</v>
      </c>
      <c r="B132" t="s">
        <v>215</v>
      </c>
      <c r="C132" t="s">
        <v>33</v>
      </c>
      <c r="D132" s="2">
        <v>0</v>
      </c>
      <c r="E132" s="2">
        <v>0</v>
      </c>
      <c r="F132" s="2">
        <v>0</v>
      </c>
      <c r="G132" s="2">
        <v>0</v>
      </c>
      <c r="H132" s="2">
        <v>4.0357439999999993</v>
      </c>
      <c r="I132" s="2">
        <v>5.8193039999999998</v>
      </c>
      <c r="J132" s="5">
        <f t="shared" si="4"/>
        <v>9.855048</v>
      </c>
      <c r="K132" s="5">
        <f t="shared" si="5"/>
        <v>9.855048</v>
      </c>
      <c r="L132" s="6">
        <f>K132/'Quellen &amp; Annahmen'!$B$2</f>
        <v>8.9266019504009433E-5</v>
      </c>
      <c r="M132" s="7" t="s">
        <v>179</v>
      </c>
      <c r="N132" s="7" t="s">
        <v>180</v>
      </c>
    </row>
    <row r="133" spans="1:14" ht="18" customHeight="1">
      <c r="A133">
        <v>132</v>
      </c>
      <c r="B133" t="s">
        <v>216</v>
      </c>
      <c r="C133" t="s">
        <v>25</v>
      </c>
      <c r="D133" s="2">
        <v>0</v>
      </c>
      <c r="E133" s="2">
        <v>0</v>
      </c>
      <c r="F133" s="2">
        <v>0</v>
      </c>
      <c r="G133" s="2">
        <v>0</v>
      </c>
      <c r="H133" s="2">
        <v>2.0178719999999997</v>
      </c>
      <c r="I133" s="2">
        <v>7.7590719999999997</v>
      </c>
      <c r="J133" s="5">
        <f t="shared" si="4"/>
        <v>9.7769440000000003</v>
      </c>
      <c r="K133" s="5">
        <f t="shared" si="5"/>
        <v>9.7769440000000003</v>
      </c>
      <c r="L133" s="6">
        <f>K133/'Quellen &amp; Annahmen'!$B$2</f>
        <v>8.8558561439133331E-5</v>
      </c>
      <c r="M133" s="7" t="s">
        <v>179</v>
      </c>
      <c r="N133" s="7" t="s">
        <v>180</v>
      </c>
    </row>
    <row r="134" spans="1:14" ht="18" customHeight="1">
      <c r="A134">
        <v>133</v>
      </c>
      <c r="B134" t="s">
        <v>217</v>
      </c>
      <c r="C134" t="s">
        <v>50</v>
      </c>
      <c r="D134" s="2">
        <v>0</v>
      </c>
      <c r="E134" s="2">
        <v>0</v>
      </c>
      <c r="F134" s="2">
        <v>0</v>
      </c>
      <c r="G134" s="2">
        <v>0</v>
      </c>
      <c r="H134" s="2">
        <v>9.7530479999999997</v>
      </c>
      <c r="I134" s="2">
        <v>0</v>
      </c>
      <c r="J134" s="5">
        <f t="shared" si="4"/>
        <v>9.7530479999999997</v>
      </c>
      <c r="K134" s="5">
        <f t="shared" si="5"/>
        <v>9.7530479999999997</v>
      </c>
      <c r="L134" s="6">
        <f>K134/'Quellen &amp; Annahmen'!$B$2</f>
        <v>8.8342113908683161E-5</v>
      </c>
      <c r="M134" s="7" t="s">
        <v>187</v>
      </c>
      <c r="N134" s="7" t="s">
        <v>188</v>
      </c>
    </row>
    <row r="135" spans="1:14" ht="18" customHeight="1">
      <c r="A135">
        <v>134</v>
      </c>
      <c r="B135" t="s">
        <v>218</v>
      </c>
      <c r="C135" t="s">
        <v>23</v>
      </c>
      <c r="D135" s="2">
        <v>0</v>
      </c>
      <c r="E135" s="2">
        <v>0</v>
      </c>
      <c r="F135" s="2">
        <v>0</v>
      </c>
      <c r="G135" s="2">
        <v>0</v>
      </c>
      <c r="H135" s="2">
        <v>9.7530479999999997</v>
      </c>
      <c r="I135" s="2">
        <v>0</v>
      </c>
      <c r="J135" s="5">
        <f t="shared" si="4"/>
        <v>9.7530479999999997</v>
      </c>
      <c r="K135" s="5">
        <f t="shared" si="5"/>
        <v>9.7530479999999997</v>
      </c>
      <c r="L135" s="6">
        <f>K135/'Quellen &amp; Annahmen'!$B$2</f>
        <v>8.8342113908683161E-5</v>
      </c>
      <c r="M135" s="7" t="s">
        <v>187</v>
      </c>
      <c r="N135" s="7" t="s">
        <v>188</v>
      </c>
    </row>
    <row r="136" spans="1:14" ht="18" customHeight="1">
      <c r="A136">
        <v>135</v>
      </c>
      <c r="B136" t="s">
        <v>219</v>
      </c>
      <c r="C136" t="s">
        <v>50</v>
      </c>
      <c r="D136" s="2">
        <v>0</v>
      </c>
      <c r="E136" s="2">
        <v>0</v>
      </c>
      <c r="F136" s="2">
        <v>0</v>
      </c>
      <c r="G136" s="2">
        <v>0</v>
      </c>
      <c r="H136" s="2">
        <v>2.690496</v>
      </c>
      <c r="I136" s="2">
        <v>6.6180319999999995</v>
      </c>
      <c r="J136" s="5">
        <f t="shared" si="4"/>
        <v>9.308527999999999</v>
      </c>
      <c r="K136" s="5">
        <f t="shared" si="5"/>
        <v>9.308527999999999</v>
      </c>
      <c r="L136" s="6">
        <f>K136/'Quellen &amp; Annahmen'!$B$2</f>
        <v>8.4315697092659294E-5</v>
      </c>
      <c r="M136" s="7" t="s">
        <v>179</v>
      </c>
      <c r="N136" s="7" t="s">
        <v>180</v>
      </c>
    </row>
    <row r="137" spans="1:14" ht="18" customHeight="1">
      <c r="A137">
        <v>136</v>
      </c>
      <c r="B137" t="s">
        <v>220</v>
      </c>
      <c r="C137" t="s">
        <v>25</v>
      </c>
      <c r="D137" s="2">
        <v>0</v>
      </c>
      <c r="E137" s="2">
        <v>0</v>
      </c>
      <c r="F137" s="2">
        <v>0</v>
      </c>
      <c r="G137" s="2">
        <v>0</v>
      </c>
      <c r="H137" s="2">
        <v>1.6815600000000002</v>
      </c>
      <c r="I137" s="2">
        <v>7.1885519999999996</v>
      </c>
      <c r="J137" s="5">
        <f t="shared" si="4"/>
        <v>8.8701119999999989</v>
      </c>
      <c r="K137" s="5">
        <f t="shared" si="5"/>
        <v>8.8701119999999989</v>
      </c>
      <c r="L137" s="6">
        <f>K137/'Quellen &amp; Annahmen'!$B$2</f>
        <v>8.034456968598712E-5</v>
      </c>
      <c r="M137" s="7" t="s">
        <v>179</v>
      </c>
      <c r="N137" s="7" t="s">
        <v>180</v>
      </c>
    </row>
    <row r="138" spans="1:14" ht="18" customHeight="1">
      <c r="A138">
        <v>137</v>
      </c>
      <c r="B138" t="s">
        <v>221</v>
      </c>
      <c r="C138" t="s">
        <v>33</v>
      </c>
      <c r="D138" s="2">
        <v>0</v>
      </c>
      <c r="E138" s="2">
        <v>0</v>
      </c>
      <c r="F138" s="2">
        <v>0</v>
      </c>
      <c r="G138" s="2">
        <v>0</v>
      </c>
      <c r="H138" s="2">
        <v>2.690496</v>
      </c>
      <c r="I138" s="2">
        <v>6.1616160000000004</v>
      </c>
      <c r="J138" s="5">
        <f t="shared" si="4"/>
        <v>8.852112</v>
      </c>
      <c r="K138" s="5">
        <f t="shared" si="5"/>
        <v>8.852112</v>
      </c>
      <c r="L138" s="6">
        <f>K138/'Quellen &amp; Annahmen'!$B$2</f>
        <v>8.0181527522106032E-5</v>
      </c>
      <c r="M138" s="7" t="s">
        <v>179</v>
      </c>
      <c r="N138" s="7" t="s">
        <v>180</v>
      </c>
    </row>
    <row r="139" spans="1:14" ht="18" customHeight="1">
      <c r="A139">
        <v>138</v>
      </c>
      <c r="B139" t="s">
        <v>222</v>
      </c>
      <c r="C139" t="s">
        <v>41</v>
      </c>
      <c r="D139" s="2">
        <v>0</v>
      </c>
      <c r="E139" s="2">
        <v>0</v>
      </c>
      <c r="F139" s="2">
        <v>0</v>
      </c>
      <c r="G139" s="2">
        <v>0</v>
      </c>
      <c r="H139" s="2">
        <v>3.6994319999999998</v>
      </c>
      <c r="I139" s="2">
        <v>5.1346799999999995</v>
      </c>
      <c r="J139" s="5">
        <f t="shared" si="4"/>
        <v>8.8341119999999993</v>
      </c>
      <c r="K139" s="5">
        <f t="shared" si="5"/>
        <v>8.8341119999999993</v>
      </c>
      <c r="L139" s="6">
        <f>K139/'Quellen &amp; Annahmen'!$B$2</f>
        <v>8.0018485358224916E-5</v>
      </c>
      <c r="M139" s="7" t="s">
        <v>179</v>
      </c>
      <c r="N139" s="7" t="s">
        <v>180</v>
      </c>
    </row>
    <row r="140" spans="1:14" ht="18" customHeight="1">
      <c r="A140">
        <v>139</v>
      </c>
      <c r="B140" t="s">
        <v>223</v>
      </c>
      <c r="C140" t="s">
        <v>23</v>
      </c>
      <c r="D140" s="2">
        <v>0</v>
      </c>
      <c r="E140" s="2">
        <v>0</v>
      </c>
      <c r="F140" s="2">
        <v>0</v>
      </c>
      <c r="G140" s="2">
        <v>0</v>
      </c>
      <c r="H140" s="2">
        <v>4.7083680000000001</v>
      </c>
      <c r="I140" s="2">
        <v>3.9936399999999996</v>
      </c>
      <c r="J140" s="5">
        <f t="shared" si="4"/>
        <v>8.7020079999999993</v>
      </c>
      <c r="K140" s="5">
        <f t="shared" si="5"/>
        <v>8.7020079999999993</v>
      </c>
      <c r="L140" s="6">
        <f>K140/'Quellen &amp; Annahmen'!$B$2</f>
        <v>7.8821900801705482E-5</v>
      </c>
      <c r="M140" s="7" t="s">
        <v>179</v>
      </c>
      <c r="N140" s="7" t="s">
        <v>180</v>
      </c>
    </row>
    <row r="141" spans="1:14" ht="18" customHeight="1">
      <c r="A141">
        <v>140</v>
      </c>
      <c r="B141" t="s">
        <v>224</v>
      </c>
      <c r="C141" t="s">
        <v>38</v>
      </c>
      <c r="D141" s="2">
        <v>0</v>
      </c>
      <c r="E141" s="2">
        <v>0</v>
      </c>
      <c r="F141" s="2">
        <v>0</v>
      </c>
      <c r="G141" s="2">
        <v>0</v>
      </c>
      <c r="H141" s="2">
        <v>2.0178719999999997</v>
      </c>
      <c r="I141" s="2">
        <v>6.6180319999999995</v>
      </c>
      <c r="J141" s="5">
        <f t="shared" si="4"/>
        <v>8.635904</v>
      </c>
      <c r="K141" s="5">
        <f t="shared" si="5"/>
        <v>8.635904</v>
      </c>
      <c r="L141" s="6">
        <f>K141/'Quellen &amp; Annahmen'!$B$2</f>
        <v>7.8223137512750129E-5</v>
      </c>
      <c r="M141" s="7" t="s">
        <v>179</v>
      </c>
      <c r="N141" s="7" t="s">
        <v>180</v>
      </c>
    </row>
    <row r="142" spans="1:14" ht="18" customHeight="1">
      <c r="A142">
        <v>141</v>
      </c>
      <c r="B142" t="s">
        <v>225</v>
      </c>
      <c r="C142" t="s">
        <v>50</v>
      </c>
      <c r="D142" s="2">
        <v>0</v>
      </c>
      <c r="E142" s="2">
        <v>0</v>
      </c>
      <c r="F142" s="2">
        <v>0</v>
      </c>
      <c r="G142" s="2">
        <v>0</v>
      </c>
      <c r="H142" s="2">
        <v>8.4077999999999999</v>
      </c>
      <c r="I142" s="2">
        <v>0</v>
      </c>
      <c r="J142" s="5">
        <f t="shared" si="4"/>
        <v>8.4077999999999999</v>
      </c>
      <c r="K142" s="5">
        <f t="shared" si="5"/>
        <v>8.4077999999999999</v>
      </c>
      <c r="L142" s="6">
        <f>K142/'Quellen &amp; Annahmen'!$B$2</f>
        <v>7.615699474886479E-5</v>
      </c>
      <c r="M142" s="7" t="s">
        <v>187</v>
      </c>
      <c r="N142" s="7" t="s">
        <v>188</v>
      </c>
    </row>
    <row r="143" spans="1:14" ht="18" customHeight="1">
      <c r="A143">
        <v>142</v>
      </c>
      <c r="B143" t="s">
        <v>226</v>
      </c>
      <c r="C143" t="s">
        <v>38</v>
      </c>
      <c r="D143" s="2">
        <v>0</v>
      </c>
      <c r="E143" s="2">
        <v>0</v>
      </c>
      <c r="F143" s="2">
        <v>0</v>
      </c>
      <c r="G143" s="2">
        <v>0</v>
      </c>
      <c r="H143" s="2">
        <v>2.3541840000000001</v>
      </c>
      <c r="I143" s="2">
        <v>5.9334079999999991</v>
      </c>
      <c r="J143" s="5">
        <f t="shared" si="4"/>
        <v>8.2875920000000001</v>
      </c>
      <c r="K143" s="5">
        <f t="shared" si="5"/>
        <v>8.2875920000000001</v>
      </c>
      <c r="L143" s="6">
        <f>K143/'Quellen &amp; Annahmen'!$B$2</f>
        <v>7.5068162946874791E-5</v>
      </c>
      <c r="M143" s="7" t="s">
        <v>179</v>
      </c>
      <c r="N143" s="7" t="s">
        <v>180</v>
      </c>
    </row>
    <row r="144" spans="1:14" ht="18" customHeight="1">
      <c r="A144">
        <v>143</v>
      </c>
      <c r="B144" t="s">
        <v>227</v>
      </c>
      <c r="C144" t="s">
        <v>25</v>
      </c>
      <c r="D144" s="2">
        <v>0</v>
      </c>
      <c r="E144" s="2">
        <v>0</v>
      </c>
      <c r="F144" s="2">
        <v>0</v>
      </c>
      <c r="G144" s="2">
        <v>0</v>
      </c>
      <c r="H144" s="2">
        <v>3.6994319999999998</v>
      </c>
      <c r="I144" s="2">
        <v>4.5641600000000002</v>
      </c>
      <c r="J144" s="5">
        <f t="shared" si="4"/>
        <v>8.2635919999999992</v>
      </c>
      <c r="K144" s="5">
        <f t="shared" si="5"/>
        <v>8.2635919999999992</v>
      </c>
      <c r="L144" s="6">
        <f>K144/'Quellen &amp; Annahmen'!$B$2</f>
        <v>7.4850773395033308E-5</v>
      </c>
      <c r="M144" s="7" t="s">
        <v>179</v>
      </c>
      <c r="N144" s="7" t="s">
        <v>180</v>
      </c>
    </row>
    <row r="145" spans="1:14" ht="18" customHeight="1">
      <c r="A145">
        <v>144</v>
      </c>
      <c r="B145" t="s">
        <v>228</v>
      </c>
      <c r="C145" t="s">
        <v>38</v>
      </c>
      <c r="D145" s="2">
        <v>0</v>
      </c>
      <c r="E145" s="2">
        <v>0</v>
      </c>
      <c r="F145" s="2">
        <v>0</v>
      </c>
      <c r="G145" s="2">
        <v>0</v>
      </c>
      <c r="H145" s="2">
        <v>1.345248</v>
      </c>
      <c r="I145" s="2">
        <v>6.846239999999999</v>
      </c>
      <c r="J145" s="5">
        <f t="shared" si="4"/>
        <v>8.1914879999999997</v>
      </c>
      <c r="K145" s="5">
        <f t="shared" si="5"/>
        <v>8.1914879999999997</v>
      </c>
      <c r="L145" s="6">
        <f>K145/'Quellen &amp; Annahmen'!$B$2</f>
        <v>7.4197662718117574E-5</v>
      </c>
      <c r="M145" s="7" t="s">
        <v>179</v>
      </c>
      <c r="N145" s="7" t="s">
        <v>180</v>
      </c>
    </row>
    <row r="146" spans="1:14" ht="18" customHeight="1">
      <c r="A146">
        <v>145</v>
      </c>
      <c r="B146" t="s">
        <v>229</v>
      </c>
      <c r="C146" t="s">
        <v>50</v>
      </c>
      <c r="D146" s="2">
        <v>0</v>
      </c>
      <c r="E146" s="2">
        <v>0</v>
      </c>
      <c r="F146" s="2">
        <v>0</v>
      </c>
      <c r="G146" s="2">
        <v>0</v>
      </c>
      <c r="H146" s="2">
        <v>2.3541840000000001</v>
      </c>
      <c r="I146" s="2">
        <v>5.8193039999999998</v>
      </c>
      <c r="J146" s="5">
        <f t="shared" si="4"/>
        <v>8.173487999999999</v>
      </c>
      <c r="K146" s="5">
        <f t="shared" si="5"/>
        <v>8.173487999999999</v>
      </c>
      <c r="L146" s="6">
        <f>K146/'Quellen &amp; Annahmen'!$B$2</f>
        <v>7.4034620554236458E-5</v>
      </c>
      <c r="M146" s="7" t="s">
        <v>179</v>
      </c>
      <c r="N146" s="7" t="s">
        <v>180</v>
      </c>
    </row>
    <row r="147" spans="1:14" ht="18" customHeight="1">
      <c r="A147">
        <v>146</v>
      </c>
      <c r="B147" t="s">
        <v>230</v>
      </c>
      <c r="C147" t="s">
        <v>124</v>
      </c>
      <c r="D147" s="2">
        <v>0</v>
      </c>
      <c r="E147" s="2">
        <v>0</v>
      </c>
      <c r="F147" s="2">
        <v>0</v>
      </c>
      <c r="G147" s="2">
        <v>0</v>
      </c>
      <c r="H147" s="2">
        <v>4.0357439999999993</v>
      </c>
      <c r="I147" s="2">
        <v>4.1077439999999994</v>
      </c>
      <c r="J147" s="5">
        <f t="shared" si="4"/>
        <v>8.1434879999999978</v>
      </c>
      <c r="K147" s="5">
        <f t="shared" si="5"/>
        <v>8.1434879999999978</v>
      </c>
      <c r="L147" s="6">
        <f>K147/'Quellen &amp; Annahmen'!$B$2</f>
        <v>7.3762883614434608E-5</v>
      </c>
      <c r="M147" s="7" t="s">
        <v>179</v>
      </c>
      <c r="N147" s="7" t="s">
        <v>180</v>
      </c>
    </row>
    <row r="148" spans="1:14" ht="18" customHeight="1">
      <c r="A148">
        <v>147</v>
      </c>
      <c r="B148" t="s">
        <v>231</v>
      </c>
      <c r="C148" t="s">
        <v>50</v>
      </c>
      <c r="D148" s="2">
        <v>0</v>
      </c>
      <c r="E148" s="2">
        <v>0</v>
      </c>
      <c r="F148" s="2">
        <v>0</v>
      </c>
      <c r="G148" s="2">
        <v>0</v>
      </c>
      <c r="H148" s="2">
        <v>2.690496</v>
      </c>
      <c r="I148" s="2">
        <v>5.1346799999999995</v>
      </c>
      <c r="J148" s="5">
        <f t="shared" si="4"/>
        <v>7.825175999999999</v>
      </c>
      <c r="K148" s="5">
        <f t="shared" si="5"/>
        <v>7.825175999999999</v>
      </c>
      <c r="L148" s="6">
        <f>K148/'Quellen &amp; Annahmen'!$B$2</f>
        <v>7.0879645988361134E-5</v>
      </c>
      <c r="M148" s="7" t="s">
        <v>179</v>
      </c>
      <c r="N148" s="7" t="s">
        <v>180</v>
      </c>
    </row>
    <row r="149" spans="1:14" ht="18" customHeight="1">
      <c r="A149">
        <v>148</v>
      </c>
      <c r="B149" t="s">
        <v>232</v>
      </c>
      <c r="C149" t="s">
        <v>41</v>
      </c>
      <c r="D149" s="2">
        <v>0</v>
      </c>
      <c r="E149" s="2">
        <v>0</v>
      </c>
      <c r="F149" s="2">
        <v>0</v>
      </c>
      <c r="G149" s="2">
        <v>0</v>
      </c>
      <c r="H149" s="2">
        <v>7.7351760000000001</v>
      </c>
      <c r="I149" s="2">
        <v>0</v>
      </c>
      <c r="J149" s="5">
        <f t="shared" si="4"/>
        <v>7.7351760000000001</v>
      </c>
      <c r="K149" s="5">
        <f t="shared" si="5"/>
        <v>7.7351760000000001</v>
      </c>
      <c r="L149" s="6">
        <f>K149/'Quellen &amp; Annahmen'!$B$2</f>
        <v>7.0064435168955611E-5</v>
      </c>
      <c r="M149" s="7" t="s">
        <v>187</v>
      </c>
      <c r="N149" s="7" t="s">
        <v>188</v>
      </c>
    </row>
    <row r="150" spans="1:14" ht="18" customHeight="1">
      <c r="A150">
        <v>149</v>
      </c>
      <c r="B150" t="s">
        <v>233</v>
      </c>
      <c r="C150" t="s">
        <v>23</v>
      </c>
      <c r="D150" s="2">
        <v>0</v>
      </c>
      <c r="E150" s="2">
        <v>0</v>
      </c>
      <c r="F150" s="2">
        <v>0</v>
      </c>
      <c r="G150" s="2">
        <v>0</v>
      </c>
      <c r="H150" s="2">
        <v>7.7351760000000001</v>
      </c>
      <c r="I150" s="2">
        <v>0</v>
      </c>
      <c r="J150" s="5">
        <f t="shared" si="4"/>
        <v>7.7351760000000001</v>
      </c>
      <c r="K150" s="5">
        <f t="shared" si="5"/>
        <v>7.7351760000000001</v>
      </c>
      <c r="L150" s="6">
        <f>K150/'Quellen &amp; Annahmen'!$B$2</f>
        <v>7.0064435168955611E-5</v>
      </c>
      <c r="M150" s="7" t="s">
        <v>187</v>
      </c>
      <c r="N150" s="7" t="s">
        <v>188</v>
      </c>
    </row>
    <row r="151" spans="1:14" ht="18" customHeight="1">
      <c r="A151">
        <v>150</v>
      </c>
      <c r="B151" t="s">
        <v>234</v>
      </c>
      <c r="C151" t="s">
        <v>23</v>
      </c>
      <c r="D151" s="2">
        <v>0</v>
      </c>
      <c r="E151" s="2">
        <v>0</v>
      </c>
      <c r="F151" s="2">
        <v>0</v>
      </c>
      <c r="G151" s="2">
        <v>0</v>
      </c>
      <c r="H151" s="2">
        <v>7.7351760000000001</v>
      </c>
      <c r="I151" s="2">
        <v>0</v>
      </c>
      <c r="J151" s="5">
        <f t="shared" si="4"/>
        <v>7.7351760000000001</v>
      </c>
      <c r="K151" s="5">
        <f t="shared" si="5"/>
        <v>7.7351760000000001</v>
      </c>
      <c r="L151" s="6">
        <f>K151/'Quellen &amp; Annahmen'!$B$2</f>
        <v>7.0064435168955611E-5</v>
      </c>
      <c r="M151" s="7" t="s">
        <v>187</v>
      </c>
      <c r="N151" s="7" t="s">
        <v>188</v>
      </c>
    </row>
    <row r="152" spans="1:14" ht="18" customHeight="1">
      <c r="A152">
        <v>151</v>
      </c>
      <c r="B152" t="s">
        <v>235</v>
      </c>
      <c r="C152" t="s">
        <v>38</v>
      </c>
      <c r="D152" s="2">
        <v>0</v>
      </c>
      <c r="E152" s="2">
        <v>0</v>
      </c>
      <c r="F152" s="2">
        <v>0</v>
      </c>
      <c r="G152" s="2">
        <v>0</v>
      </c>
      <c r="H152" s="2">
        <v>1.345248</v>
      </c>
      <c r="I152" s="2">
        <v>6.3898239999999999</v>
      </c>
      <c r="J152" s="5">
        <f t="shared" si="4"/>
        <v>7.7350719999999997</v>
      </c>
      <c r="K152" s="5">
        <f t="shared" si="5"/>
        <v>7.7350719999999997</v>
      </c>
      <c r="L152" s="6">
        <f>K152/'Quellen &amp; Annahmen'!$B$2</f>
        <v>7.0063493147564298E-5</v>
      </c>
      <c r="M152" s="7" t="s">
        <v>179</v>
      </c>
      <c r="N152" s="7" t="s">
        <v>180</v>
      </c>
    </row>
    <row r="153" spans="1:14" ht="18" customHeight="1">
      <c r="A153">
        <v>152</v>
      </c>
      <c r="B153" t="s">
        <v>236</v>
      </c>
      <c r="C153" t="s">
        <v>33</v>
      </c>
      <c r="D153" s="2">
        <v>0</v>
      </c>
      <c r="E153" s="2">
        <v>0</v>
      </c>
      <c r="F153" s="2">
        <v>0</v>
      </c>
      <c r="G153" s="2">
        <v>0</v>
      </c>
      <c r="H153" s="2">
        <v>2.0178719999999997</v>
      </c>
      <c r="I153" s="2">
        <v>5.5910960000000003</v>
      </c>
      <c r="J153" s="5">
        <f t="shared" si="4"/>
        <v>7.608968</v>
      </c>
      <c r="K153" s="5">
        <f t="shared" si="5"/>
        <v>7.608968</v>
      </c>
      <c r="L153" s="6">
        <f>K153/'Quellen &amp; Annahmen'!$B$2</f>
        <v>6.8921255979005245E-5</v>
      </c>
      <c r="M153" s="7" t="s">
        <v>179</v>
      </c>
      <c r="N153" s="7" t="s">
        <v>180</v>
      </c>
    </row>
    <row r="154" spans="1:14" ht="18" customHeight="1">
      <c r="A154">
        <v>153</v>
      </c>
      <c r="B154" t="s">
        <v>237</v>
      </c>
      <c r="C154" t="s">
        <v>33</v>
      </c>
      <c r="D154" s="2">
        <v>0</v>
      </c>
      <c r="E154" s="2">
        <v>0</v>
      </c>
      <c r="F154" s="2">
        <v>0</v>
      </c>
      <c r="G154" s="2">
        <v>0</v>
      </c>
      <c r="H154" s="2">
        <v>3.0268079999999999</v>
      </c>
      <c r="I154" s="2">
        <v>4.5641600000000002</v>
      </c>
      <c r="J154" s="5">
        <f t="shared" si="4"/>
        <v>7.5909680000000002</v>
      </c>
      <c r="K154" s="5">
        <f t="shared" si="5"/>
        <v>7.5909680000000002</v>
      </c>
      <c r="L154" s="6">
        <f>K154/'Quellen &amp; Annahmen'!$B$2</f>
        <v>6.8758213815124143E-5</v>
      </c>
      <c r="M154" s="7" t="s">
        <v>179</v>
      </c>
      <c r="N154" s="7" t="s">
        <v>180</v>
      </c>
    </row>
    <row r="155" spans="1:14" ht="18" customHeight="1">
      <c r="A155">
        <v>154</v>
      </c>
      <c r="B155" t="s">
        <v>238</v>
      </c>
      <c r="C155" t="s">
        <v>33</v>
      </c>
      <c r="D155" s="2">
        <v>0</v>
      </c>
      <c r="E155" s="2">
        <v>0</v>
      </c>
      <c r="F155" s="2">
        <v>0</v>
      </c>
      <c r="G155" s="2">
        <v>0</v>
      </c>
      <c r="H155" s="2">
        <v>4.0357439999999993</v>
      </c>
      <c r="I155" s="2">
        <v>3.5372240000000001</v>
      </c>
      <c r="J155" s="5">
        <f t="shared" si="4"/>
        <v>7.5729679999999995</v>
      </c>
      <c r="K155" s="5">
        <f t="shared" si="5"/>
        <v>7.5729679999999995</v>
      </c>
      <c r="L155" s="6">
        <f>K155/'Quellen &amp; Annahmen'!$B$2</f>
        <v>6.8595171651243027E-5</v>
      </c>
      <c r="M155" s="7" t="s">
        <v>179</v>
      </c>
      <c r="N155" s="7" t="s">
        <v>180</v>
      </c>
    </row>
    <row r="156" spans="1:14" ht="18" customHeight="1">
      <c r="A156">
        <v>155</v>
      </c>
      <c r="B156" t="s">
        <v>239</v>
      </c>
      <c r="C156" t="s">
        <v>23</v>
      </c>
      <c r="D156" s="2">
        <v>0</v>
      </c>
      <c r="E156" s="2">
        <v>0</v>
      </c>
      <c r="F156" s="2">
        <v>0</v>
      </c>
      <c r="G156" s="2">
        <v>0</v>
      </c>
      <c r="H156" s="2">
        <v>3.6994319999999998</v>
      </c>
      <c r="I156" s="2">
        <v>3.7654320000000001</v>
      </c>
      <c r="J156" s="5">
        <f t="shared" si="4"/>
        <v>7.4648640000000004</v>
      </c>
      <c r="K156" s="5">
        <f t="shared" si="5"/>
        <v>7.4648640000000004</v>
      </c>
      <c r="L156" s="6">
        <f>K156/'Quellen &amp; Annahmen'!$B$2</f>
        <v>6.7615976646565076E-5</v>
      </c>
      <c r="M156" s="7" t="s">
        <v>179</v>
      </c>
      <c r="N156" s="7" t="s">
        <v>180</v>
      </c>
    </row>
    <row r="157" spans="1:14" ht="18" customHeight="1">
      <c r="A157">
        <v>156</v>
      </c>
      <c r="B157" t="s">
        <v>240</v>
      </c>
      <c r="C157" t="s">
        <v>33</v>
      </c>
      <c r="D157" s="2">
        <v>0</v>
      </c>
      <c r="E157" s="2">
        <v>0</v>
      </c>
      <c r="F157" s="2">
        <v>0</v>
      </c>
      <c r="G157" s="2">
        <v>0</v>
      </c>
      <c r="H157" s="2">
        <v>7.3988639999999997</v>
      </c>
      <c r="I157" s="2">
        <v>0</v>
      </c>
      <c r="J157" s="5">
        <f t="shared" si="4"/>
        <v>7.3988639999999997</v>
      </c>
      <c r="K157" s="5">
        <f t="shared" si="5"/>
        <v>7.3988639999999997</v>
      </c>
      <c r="L157" s="6">
        <f>K157/'Quellen &amp; Annahmen'!$B$2</f>
        <v>6.7018155379001021E-5</v>
      </c>
      <c r="M157" s="7" t="s">
        <v>187</v>
      </c>
      <c r="N157" s="7" t="s">
        <v>188</v>
      </c>
    </row>
    <row r="158" spans="1:14" ht="18" customHeight="1">
      <c r="A158">
        <v>157</v>
      </c>
      <c r="B158" t="s">
        <v>241</v>
      </c>
      <c r="C158" t="s">
        <v>25</v>
      </c>
      <c r="D158" s="2">
        <v>0</v>
      </c>
      <c r="E158" s="2">
        <v>0</v>
      </c>
      <c r="F158" s="2">
        <v>0</v>
      </c>
      <c r="G158" s="2">
        <v>0</v>
      </c>
      <c r="H158" s="2">
        <v>7.3988639999999997</v>
      </c>
      <c r="I158" s="2">
        <v>0</v>
      </c>
      <c r="J158" s="5">
        <f t="shared" si="4"/>
        <v>7.3988639999999997</v>
      </c>
      <c r="K158" s="5">
        <f t="shared" si="5"/>
        <v>7.3988639999999997</v>
      </c>
      <c r="L158" s="6">
        <f>K158/'Quellen &amp; Annahmen'!$B$2</f>
        <v>6.7018155379001021E-5</v>
      </c>
      <c r="M158" s="7" t="s">
        <v>187</v>
      </c>
      <c r="N158" s="7" t="s">
        <v>188</v>
      </c>
    </row>
    <row r="159" spans="1:14" ht="18" customHeight="1">
      <c r="A159">
        <v>158</v>
      </c>
      <c r="B159" t="s">
        <v>242</v>
      </c>
      <c r="C159" t="s">
        <v>27</v>
      </c>
      <c r="D159" s="2">
        <v>0</v>
      </c>
      <c r="E159" s="2">
        <v>0</v>
      </c>
      <c r="F159" s="2">
        <v>0</v>
      </c>
      <c r="G159" s="2">
        <v>0</v>
      </c>
      <c r="H159" s="2">
        <v>1.0089359999999998</v>
      </c>
      <c r="I159" s="2">
        <v>6.3898239999999999</v>
      </c>
      <c r="J159" s="5">
        <f t="shared" si="4"/>
        <v>7.3987599999999993</v>
      </c>
      <c r="K159" s="5">
        <f t="shared" si="5"/>
        <v>7.3987599999999993</v>
      </c>
      <c r="L159" s="6">
        <f>K159/'Quellen &amp; Annahmen'!$B$2</f>
        <v>6.7017213357609695E-5</v>
      </c>
      <c r="M159" s="7" t="s">
        <v>179</v>
      </c>
      <c r="N159" s="7" t="s">
        <v>180</v>
      </c>
    </row>
    <row r="160" spans="1:14" ht="18" customHeight="1">
      <c r="A160">
        <v>159</v>
      </c>
      <c r="B160" t="s">
        <v>243</v>
      </c>
      <c r="C160" t="s">
        <v>50</v>
      </c>
      <c r="D160" s="2">
        <v>0</v>
      </c>
      <c r="E160" s="2">
        <v>0</v>
      </c>
      <c r="F160" s="2">
        <v>0</v>
      </c>
      <c r="G160" s="2">
        <v>0</v>
      </c>
      <c r="H160" s="2">
        <v>2.3541840000000001</v>
      </c>
      <c r="I160" s="2">
        <v>5.0205760000000001</v>
      </c>
      <c r="J160" s="5">
        <f t="shared" si="4"/>
        <v>7.3747600000000002</v>
      </c>
      <c r="K160" s="5">
        <f t="shared" si="5"/>
        <v>7.3747600000000002</v>
      </c>
      <c r="L160" s="6">
        <f>K160/'Quellen &amp; Annahmen'!$B$2</f>
        <v>6.679982380576824E-5</v>
      </c>
      <c r="M160" s="7" t="s">
        <v>179</v>
      </c>
      <c r="N160" s="7" t="s">
        <v>180</v>
      </c>
    </row>
    <row r="161" spans="1:14" ht="18" customHeight="1">
      <c r="A161">
        <v>160</v>
      </c>
      <c r="B161" t="s">
        <v>244</v>
      </c>
      <c r="C161" t="s">
        <v>50</v>
      </c>
      <c r="D161" s="2">
        <v>0</v>
      </c>
      <c r="E161" s="2">
        <v>0</v>
      </c>
      <c r="F161" s="2">
        <v>0</v>
      </c>
      <c r="G161" s="2">
        <v>0</v>
      </c>
      <c r="H161" s="2">
        <v>1.6815600000000002</v>
      </c>
      <c r="I161" s="2">
        <v>5.5910960000000003</v>
      </c>
      <c r="J161" s="5">
        <f t="shared" si="4"/>
        <v>7.2726560000000005</v>
      </c>
      <c r="K161" s="5">
        <f t="shared" si="5"/>
        <v>7.2726560000000005</v>
      </c>
      <c r="L161" s="6">
        <f>K161/'Quellen &amp; Annahmen'!$B$2</f>
        <v>6.5874976189050655E-5</v>
      </c>
      <c r="M161" s="7" t="s">
        <v>179</v>
      </c>
      <c r="N161" s="7" t="s">
        <v>180</v>
      </c>
    </row>
    <row r="162" spans="1:14" ht="18" customHeight="1">
      <c r="A162">
        <v>161</v>
      </c>
      <c r="B162" t="s">
        <v>245</v>
      </c>
      <c r="C162" t="s">
        <v>25</v>
      </c>
      <c r="D162" s="2">
        <v>0</v>
      </c>
      <c r="E162" s="2">
        <v>0</v>
      </c>
      <c r="F162" s="2">
        <v>0</v>
      </c>
      <c r="G162" s="2">
        <v>0</v>
      </c>
      <c r="H162" s="2">
        <v>1.6815600000000002</v>
      </c>
      <c r="I162" s="2">
        <v>5.5910960000000003</v>
      </c>
      <c r="J162" s="5">
        <f t="shared" si="4"/>
        <v>7.2726560000000005</v>
      </c>
      <c r="K162" s="5">
        <f t="shared" si="5"/>
        <v>7.2726560000000005</v>
      </c>
      <c r="L162" s="6">
        <f>K162/'Quellen &amp; Annahmen'!$B$2</f>
        <v>6.5874976189050655E-5</v>
      </c>
      <c r="M162" s="7" t="s">
        <v>179</v>
      </c>
      <c r="N162" s="7" t="s">
        <v>180</v>
      </c>
    </row>
    <row r="163" spans="1:14" ht="18" customHeight="1">
      <c r="A163">
        <v>162</v>
      </c>
      <c r="B163" t="s">
        <v>246</v>
      </c>
      <c r="C163" t="s">
        <v>23</v>
      </c>
      <c r="D163" s="2">
        <v>0</v>
      </c>
      <c r="E163" s="2">
        <v>0</v>
      </c>
      <c r="F163" s="2">
        <v>0</v>
      </c>
      <c r="G163" s="2">
        <v>0</v>
      </c>
      <c r="H163" s="2">
        <v>3.6994319999999998</v>
      </c>
      <c r="I163" s="2">
        <v>3.5372240000000001</v>
      </c>
      <c r="J163" s="5">
        <f t="shared" si="4"/>
        <v>7.236656</v>
      </c>
      <c r="K163" s="5">
        <f t="shared" si="5"/>
        <v>7.236656</v>
      </c>
      <c r="L163" s="6">
        <f>K163/'Quellen &amp; Annahmen'!$B$2</f>
        <v>6.5548891861288438E-5</v>
      </c>
      <c r="M163" s="7" t="s">
        <v>179</v>
      </c>
      <c r="N163" s="7" t="s">
        <v>180</v>
      </c>
    </row>
    <row r="164" spans="1:14" ht="18" customHeight="1">
      <c r="A164">
        <v>163</v>
      </c>
      <c r="B164" t="s">
        <v>247</v>
      </c>
      <c r="C164" t="s">
        <v>23</v>
      </c>
      <c r="D164" s="2">
        <v>0</v>
      </c>
      <c r="E164" s="2">
        <v>0</v>
      </c>
      <c r="F164" s="2">
        <v>0</v>
      </c>
      <c r="G164" s="2">
        <v>0</v>
      </c>
      <c r="H164" s="2">
        <v>2.3541840000000001</v>
      </c>
      <c r="I164" s="2">
        <v>4.7923679999999997</v>
      </c>
      <c r="J164" s="5">
        <f t="shared" si="4"/>
        <v>7.1465519999999998</v>
      </c>
      <c r="K164" s="5">
        <f t="shared" si="5"/>
        <v>7.1465519999999998</v>
      </c>
      <c r="L164" s="6">
        <f>K164/'Quellen &amp; Annahmen'!$B$2</f>
        <v>6.4732739020491588E-5</v>
      </c>
      <c r="M164" s="7" t="s">
        <v>179</v>
      </c>
      <c r="N164" s="7" t="s">
        <v>180</v>
      </c>
    </row>
    <row r="165" spans="1:14" ht="18" customHeight="1">
      <c r="A165">
        <v>164</v>
      </c>
      <c r="B165" t="s">
        <v>248</v>
      </c>
      <c r="C165" t="s">
        <v>23</v>
      </c>
      <c r="D165" s="2">
        <v>0</v>
      </c>
      <c r="E165" s="2">
        <v>0</v>
      </c>
      <c r="F165" s="2">
        <v>0</v>
      </c>
      <c r="G165" s="2">
        <v>0</v>
      </c>
      <c r="H165" s="2">
        <v>3.3631200000000003</v>
      </c>
      <c r="I165" s="2">
        <v>3.7654320000000001</v>
      </c>
      <c r="J165" s="5">
        <f t="shared" si="4"/>
        <v>7.1285520000000009</v>
      </c>
      <c r="K165" s="5">
        <f t="shared" si="5"/>
        <v>7.1285520000000009</v>
      </c>
      <c r="L165" s="6">
        <f>K165/'Quellen &amp; Annahmen'!$B$2</f>
        <v>6.45696968566105E-5</v>
      </c>
      <c r="M165" s="7" t="s">
        <v>179</v>
      </c>
      <c r="N165" s="7" t="s">
        <v>180</v>
      </c>
    </row>
    <row r="166" spans="1:14" ht="18" customHeight="1">
      <c r="A166">
        <v>165</v>
      </c>
      <c r="B166" t="s">
        <v>249</v>
      </c>
      <c r="C166" t="s">
        <v>23</v>
      </c>
      <c r="D166" s="2">
        <v>0</v>
      </c>
      <c r="E166" s="2">
        <v>0</v>
      </c>
      <c r="F166" s="2">
        <v>0</v>
      </c>
      <c r="G166" s="2">
        <v>0</v>
      </c>
      <c r="H166" s="2">
        <v>7.0625519999999993</v>
      </c>
      <c r="I166" s="2">
        <v>0</v>
      </c>
      <c r="J166" s="5">
        <f t="shared" si="4"/>
        <v>7.0625519999999993</v>
      </c>
      <c r="K166" s="5">
        <f t="shared" si="5"/>
        <v>7.0625519999999993</v>
      </c>
      <c r="L166" s="6">
        <f>K166/'Quellen &amp; Annahmen'!$B$2</f>
        <v>6.3971875589046418E-5</v>
      </c>
      <c r="M166" s="7" t="s">
        <v>187</v>
      </c>
      <c r="N166" s="7" t="s">
        <v>188</v>
      </c>
    </row>
    <row r="167" spans="1:14" ht="18" customHeight="1">
      <c r="A167">
        <v>166</v>
      </c>
      <c r="B167" t="s">
        <v>250</v>
      </c>
      <c r="C167" t="s">
        <v>25</v>
      </c>
      <c r="D167" s="2">
        <v>0</v>
      </c>
      <c r="E167" s="2">
        <v>0</v>
      </c>
      <c r="F167" s="2">
        <v>0</v>
      </c>
      <c r="G167" s="2">
        <v>0</v>
      </c>
      <c r="H167" s="2">
        <v>7.0625519999999993</v>
      </c>
      <c r="I167" s="2">
        <v>0</v>
      </c>
      <c r="J167" s="5">
        <f t="shared" si="4"/>
        <v>7.0625519999999993</v>
      </c>
      <c r="K167" s="5">
        <f t="shared" si="5"/>
        <v>7.0625519999999993</v>
      </c>
      <c r="L167" s="6">
        <f>K167/'Quellen &amp; Annahmen'!$B$2</f>
        <v>6.3971875589046418E-5</v>
      </c>
      <c r="M167" s="7" t="s">
        <v>187</v>
      </c>
      <c r="N167" s="7" t="s">
        <v>188</v>
      </c>
    </row>
    <row r="168" spans="1:14" ht="18" customHeight="1">
      <c r="A168">
        <v>167</v>
      </c>
      <c r="B168" t="s">
        <v>251</v>
      </c>
      <c r="C168" t="s">
        <v>25</v>
      </c>
      <c r="D168" s="2">
        <v>0</v>
      </c>
      <c r="E168" s="2">
        <v>0</v>
      </c>
      <c r="F168" s="2">
        <v>0</v>
      </c>
      <c r="G168" s="2">
        <v>0</v>
      </c>
      <c r="H168" s="2">
        <v>7.0625519999999993</v>
      </c>
      <c r="I168" s="2">
        <v>0</v>
      </c>
      <c r="J168" s="5">
        <f t="shared" si="4"/>
        <v>7.0625519999999993</v>
      </c>
      <c r="K168" s="5">
        <f t="shared" si="5"/>
        <v>7.0625519999999993</v>
      </c>
      <c r="L168" s="6">
        <f>K168/'Quellen &amp; Annahmen'!$B$2</f>
        <v>6.3971875589046418E-5</v>
      </c>
      <c r="M168" s="7" t="s">
        <v>187</v>
      </c>
      <c r="N168" s="7" t="s">
        <v>188</v>
      </c>
    </row>
    <row r="169" spans="1:14" ht="18" customHeight="1">
      <c r="A169">
        <v>168</v>
      </c>
      <c r="B169" t="s">
        <v>252</v>
      </c>
      <c r="C169" t="s">
        <v>253</v>
      </c>
      <c r="D169" s="2">
        <v>0</v>
      </c>
      <c r="E169" s="2">
        <v>0</v>
      </c>
      <c r="F169" s="2">
        <v>0</v>
      </c>
      <c r="G169" s="2">
        <v>0</v>
      </c>
      <c r="H169" s="2">
        <v>7.0625519999999993</v>
      </c>
      <c r="I169" s="2">
        <v>0</v>
      </c>
      <c r="J169" s="5">
        <f t="shared" si="4"/>
        <v>7.0625519999999993</v>
      </c>
      <c r="K169" s="5">
        <f t="shared" si="5"/>
        <v>7.0625519999999993</v>
      </c>
      <c r="L169" s="6">
        <f>K169/'Quellen &amp; Annahmen'!$B$2</f>
        <v>6.3971875589046418E-5</v>
      </c>
      <c r="M169" s="7" t="s">
        <v>187</v>
      </c>
      <c r="N169" s="7" t="s">
        <v>188</v>
      </c>
    </row>
    <row r="170" spans="1:14" ht="18" customHeight="1">
      <c r="A170">
        <v>169</v>
      </c>
      <c r="B170" t="s">
        <v>254</v>
      </c>
      <c r="C170" t="s">
        <v>23</v>
      </c>
      <c r="D170" s="2">
        <v>0</v>
      </c>
      <c r="E170" s="2">
        <v>0</v>
      </c>
      <c r="F170" s="2">
        <v>0</v>
      </c>
      <c r="G170" s="2">
        <v>0</v>
      </c>
      <c r="H170" s="2">
        <v>3.6994319999999998</v>
      </c>
      <c r="I170" s="2">
        <v>3.3090159999999997</v>
      </c>
      <c r="J170" s="5">
        <f t="shared" si="4"/>
        <v>7.0084479999999996</v>
      </c>
      <c r="K170" s="5">
        <f t="shared" si="5"/>
        <v>7.0084479999999996</v>
      </c>
      <c r="L170" s="6">
        <f>K170/'Quellen &amp; Annahmen'!$B$2</f>
        <v>6.3481807076011786E-5</v>
      </c>
      <c r="M170" s="7" t="s">
        <v>179</v>
      </c>
      <c r="N170" s="7" t="s">
        <v>180</v>
      </c>
    </row>
    <row r="171" spans="1:14" ht="18" customHeight="1">
      <c r="A171">
        <v>170</v>
      </c>
      <c r="B171" t="s">
        <v>255</v>
      </c>
      <c r="C171" t="s">
        <v>23</v>
      </c>
      <c r="D171" s="2">
        <v>0</v>
      </c>
      <c r="E171" s="2">
        <v>0</v>
      </c>
      <c r="F171" s="2">
        <v>0</v>
      </c>
      <c r="G171" s="2">
        <v>0</v>
      </c>
      <c r="H171" s="2">
        <v>4.0357439999999993</v>
      </c>
      <c r="I171" s="2">
        <v>2.8525999999999998</v>
      </c>
      <c r="J171" s="5">
        <f t="shared" si="4"/>
        <v>6.8883439999999991</v>
      </c>
      <c r="K171" s="5">
        <f t="shared" si="5"/>
        <v>6.8883439999999991</v>
      </c>
      <c r="L171" s="6">
        <f>K171/'Quellen &amp; Annahmen'!$B$2</f>
        <v>6.23939172954131E-5</v>
      </c>
      <c r="M171" s="7" t="s">
        <v>179</v>
      </c>
      <c r="N171" s="7" t="s">
        <v>180</v>
      </c>
    </row>
    <row r="172" spans="1:14" ht="18" customHeight="1">
      <c r="A172">
        <v>171</v>
      </c>
      <c r="B172" t="s">
        <v>256</v>
      </c>
      <c r="C172" t="s">
        <v>27</v>
      </c>
      <c r="D172" s="2">
        <v>0</v>
      </c>
      <c r="E172" s="2">
        <v>0</v>
      </c>
      <c r="F172" s="2">
        <v>0</v>
      </c>
      <c r="G172" s="2">
        <v>0</v>
      </c>
      <c r="H172" s="2">
        <v>2.0178719999999997</v>
      </c>
      <c r="I172" s="2">
        <v>4.7923679999999997</v>
      </c>
      <c r="J172" s="5">
        <f t="shared" si="4"/>
        <v>6.8102399999999994</v>
      </c>
      <c r="K172" s="5">
        <f t="shared" si="5"/>
        <v>6.8102399999999994</v>
      </c>
      <c r="L172" s="6">
        <f>K172/'Quellen &amp; Annahmen'!$B$2</f>
        <v>6.1686459230536999E-5</v>
      </c>
      <c r="M172" s="7" t="s">
        <v>179</v>
      </c>
      <c r="N172" s="7" t="s">
        <v>180</v>
      </c>
    </row>
    <row r="173" spans="1:14" ht="18" customHeight="1">
      <c r="A173">
        <v>172</v>
      </c>
      <c r="B173" t="s">
        <v>257</v>
      </c>
      <c r="C173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2.690496</v>
      </c>
      <c r="I173" s="2">
        <v>4.1077439999999994</v>
      </c>
      <c r="J173" s="5">
        <f t="shared" si="4"/>
        <v>6.7982399999999998</v>
      </c>
      <c r="K173" s="5">
        <f t="shared" si="5"/>
        <v>6.7982399999999998</v>
      </c>
      <c r="L173" s="6">
        <f>K173/'Quellen &amp; Annahmen'!$B$2</f>
        <v>6.1577764454616264E-5</v>
      </c>
      <c r="M173" s="7" t="s">
        <v>179</v>
      </c>
      <c r="N173" s="7" t="s">
        <v>180</v>
      </c>
    </row>
    <row r="174" spans="1:14" ht="18" customHeight="1">
      <c r="A174">
        <v>173</v>
      </c>
      <c r="B174" t="s">
        <v>258</v>
      </c>
      <c r="C174" t="s">
        <v>253</v>
      </c>
      <c r="D174" s="2">
        <v>0</v>
      </c>
      <c r="E174" s="2">
        <v>0</v>
      </c>
      <c r="F174" s="2">
        <v>0</v>
      </c>
      <c r="G174" s="2">
        <v>0</v>
      </c>
      <c r="H174" s="2">
        <v>3.3631200000000003</v>
      </c>
      <c r="I174" s="2">
        <v>3.4231199999999995</v>
      </c>
      <c r="J174" s="5">
        <f t="shared" si="4"/>
        <v>6.7862399999999994</v>
      </c>
      <c r="K174" s="5">
        <f t="shared" si="5"/>
        <v>6.7862399999999994</v>
      </c>
      <c r="L174" s="6">
        <f>K174/'Quellen &amp; Annahmen'!$B$2</f>
        <v>6.1469069678695516E-5</v>
      </c>
      <c r="M174" s="7" t="s">
        <v>179</v>
      </c>
      <c r="N174" s="7" t="s">
        <v>180</v>
      </c>
    </row>
    <row r="175" spans="1:14" ht="18" customHeight="1">
      <c r="A175">
        <v>174</v>
      </c>
      <c r="B175" t="s">
        <v>259</v>
      </c>
      <c r="C175" t="s">
        <v>27</v>
      </c>
      <c r="D175" s="2">
        <v>0</v>
      </c>
      <c r="E175" s="2">
        <v>0</v>
      </c>
      <c r="F175" s="2">
        <v>0</v>
      </c>
      <c r="G175" s="2">
        <v>0</v>
      </c>
      <c r="H175" s="2">
        <v>6.7262400000000007</v>
      </c>
      <c r="I175" s="2">
        <v>0</v>
      </c>
      <c r="J175" s="5">
        <f t="shared" si="4"/>
        <v>6.7262400000000007</v>
      </c>
      <c r="K175" s="5">
        <f t="shared" si="5"/>
        <v>6.7262400000000007</v>
      </c>
      <c r="L175" s="6">
        <f>K175/'Quellen &amp; Annahmen'!$B$2</f>
        <v>6.0925595799091843E-5</v>
      </c>
      <c r="M175" s="7" t="s">
        <v>187</v>
      </c>
      <c r="N175" s="7" t="s">
        <v>188</v>
      </c>
    </row>
    <row r="176" spans="1:14" ht="18" customHeight="1">
      <c r="A176">
        <v>175</v>
      </c>
      <c r="B176" t="s">
        <v>260</v>
      </c>
      <c r="C176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6.7262400000000007</v>
      </c>
      <c r="I176" s="2">
        <v>0</v>
      </c>
      <c r="J176" s="5">
        <f t="shared" si="4"/>
        <v>6.7262400000000007</v>
      </c>
      <c r="K176" s="5">
        <f t="shared" si="5"/>
        <v>6.7262400000000007</v>
      </c>
      <c r="L176" s="6">
        <f>K176/'Quellen &amp; Annahmen'!$B$2</f>
        <v>6.0925595799091843E-5</v>
      </c>
      <c r="M176" s="7" t="s">
        <v>187</v>
      </c>
      <c r="N176" s="7" t="s">
        <v>188</v>
      </c>
    </row>
    <row r="177" spans="1:14" ht="18" customHeight="1">
      <c r="A177">
        <v>176</v>
      </c>
      <c r="B177" t="s">
        <v>261</v>
      </c>
      <c r="C177" t="s">
        <v>23</v>
      </c>
      <c r="D177" s="2">
        <v>0</v>
      </c>
      <c r="E177" s="2">
        <v>0</v>
      </c>
      <c r="F177" s="2">
        <v>0</v>
      </c>
      <c r="G177" s="2">
        <v>0</v>
      </c>
      <c r="H177" s="2">
        <v>2.690496</v>
      </c>
      <c r="I177" s="2">
        <v>3.9936399999999996</v>
      </c>
      <c r="J177" s="5">
        <f t="shared" si="4"/>
        <v>6.6841359999999996</v>
      </c>
      <c r="K177" s="5">
        <f t="shared" si="5"/>
        <v>6.6841359999999996</v>
      </c>
      <c r="L177" s="6">
        <f>K177/'Quellen &amp; Annahmen'!$B$2</f>
        <v>6.0544222061977938E-5</v>
      </c>
      <c r="M177" s="7" t="s">
        <v>179</v>
      </c>
      <c r="N177" s="7" t="s">
        <v>180</v>
      </c>
    </row>
    <row r="178" spans="1:14" ht="18" customHeight="1">
      <c r="A178">
        <v>177</v>
      </c>
      <c r="B178" t="s">
        <v>262</v>
      </c>
      <c r="C178" t="s">
        <v>263</v>
      </c>
      <c r="D178" s="2">
        <v>0</v>
      </c>
      <c r="E178" s="2">
        <v>0</v>
      </c>
      <c r="F178" s="2">
        <v>0</v>
      </c>
      <c r="G178" s="2">
        <v>0</v>
      </c>
      <c r="H178" s="2">
        <v>2.690496</v>
      </c>
      <c r="I178" s="2">
        <v>3.8795359999999999</v>
      </c>
      <c r="J178" s="5">
        <f t="shared" si="4"/>
        <v>6.5700319999999994</v>
      </c>
      <c r="K178" s="5">
        <f t="shared" si="5"/>
        <v>6.5700319999999994</v>
      </c>
      <c r="L178" s="6">
        <f>K178/'Quellen &amp; Annahmen'!$B$2</f>
        <v>5.951067966933962E-5</v>
      </c>
      <c r="M178" s="7" t="s">
        <v>179</v>
      </c>
      <c r="N178" s="7" t="s">
        <v>180</v>
      </c>
    </row>
    <row r="179" spans="1:14" ht="18" customHeight="1">
      <c r="A179">
        <v>178</v>
      </c>
      <c r="B179" t="s">
        <v>264</v>
      </c>
      <c r="C179" t="s">
        <v>23</v>
      </c>
      <c r="D179" s="2">
        <v>0</v>
      </c>
      <c r="E179" s="2">
        <v>0</v>
      </c>
      <c r="F179" s="2">
        <v>0</v>
      </c>
      <c r="G179" s="2">
        <v>0</v>
      </c>
      <c r="H179" s="2">
        <v>6.3899280000000003</v>
      </c>
      <c r="I179" s="2">
        <v>0</v>
      </c>
      <c r="J179" s="5">
        <f t="shared" si="4"/>
        <v>6.3899280000000003</v>
      </c>
      <c r="K179" s="5">
        <f t="shared" si="5"/>
        <v>6.3899280000000003</v>
      </c>
      <c r="L179" s="6">
        <f>K179/'Quellen &amp; Annahmen'!$B$2</f>
        <v>5.7879316009137246E-5</v>
      </c>
      <c r="M179" s="7" t="s">
        <v>187</v>
      </c>
      <c r="N179" s="7" t="s">
        <v>188</v>
      </c>
    </row>
    <row r="180" spans="1:14" ht="18" customHeight="1">
      <c r="A180">
        <v>179</v>
      </c>
      <c r="B180" t="s">
        <v>265</v>
      </c>
      <c r="C180" t="s">
        <v>263</v>
      </c>
      <c r="D180" s="2">
        <v>0</v>
      </c>
      <c r="E180" s="2">
        <v>0</v>
      </c>
      <c r="F180" s="2">
        <v>0</v>
      </c>
      <c r="G180" s="2">
        <v>0</v>
      </c>
      <c r="H180" s="2">
        <v>6.3899280000000003</v>
      </c>
      <c r="I180" s="2">
        <v>0</v>
      </c>
      <c r="J180" s="5">
        <f t="shared" si="4"/>
        <v>6.3899280000000003</v>
      </c>
      <c r="K180" s="5">
        <f t="shared" si="5"/>
        <v>6.3899280000000003</v>
      </c>
      <c r="L180" s="6">
        <f>K180/'Quellen &amp; Annahmen'!$B$2</f>
        <v>5.7879316009137246E-5</v>
      </c>
      <c r="M180" s="7" t="s">
        <v>187</v>
      </c>
      <c r="N180" s="7" t="s">
        <v>188</v>
      </c>
    </row>
    <row r="181" spans="1:14" ht="18" customHeight="1">
      <c r="A181">
        <v>180</v>
      </c>
      <c r="B181" t="s">
        <v>266</v>
      </c>
      <c r="C181" t="s">
        <v>23</v>
      </c>
      <c r="D181" s="2">
        <v>0</v>
      </c>
      <c r="E181" s="2">
        <v>0</v>
      </c>
      <c r="F181" s="2">
        <v>0</v>
      </c>
      <c r="G181" s="2">
        <v>0</v>
      </c>
      <c r="H181" s="2">
        <v>6.3899280000000003</v>
      </c>
      <c r="I181" s="2">
        <v>0</v>
      </c>
      <c r="J181" s="5">
        <f t="shared" si="4"/>
        <v>6.3899280000000003</v>
      </c>
      <c r="K181" s="5">
        <f t="shared" si="5"/>
        <v>6.3899280000000003</v>
      </c>
      <c r="L181" s="6">
        <f>K181/'Quellen &amp; Annahmen'!$B$2</f>
        <v>5.7879316009137246E-5</v>
      </c>
      <c r="M181" s="7" t="s">
        <v>187</v>
      </c>
      <c r="N181" s="7" t="s">
        <v>188</v>
      </c>
    </row>
    <row r="182" spans="1:14" ht="18" customHeight="1">
      <c r="A182">
        <v>181</v>
      </c>
      <c r="B182" t="s">
        <v>267</v>
      </c>
      <c r="C182" t="s">
        <v>23</v>
      </c>
      <c r="D182" s="2">
        <v>0</v>
      </c>
      <c r="E182" s="2">
        <v>0</v>
      </c>
      <c r="F182" s="2">
        <v>0</v>
      </c>
      <c r="G182" s="2">
        <v>0</v>
      </c>
      <c r="H182" s="2">
        <v>2.3541840000000001</v>
      </c>
      <c r="I182" s="2">
        <v>3.9936399999999996</v>
      </c>
      <c r="J182" s="5">
        <f t="shared" si="4"/>
        <v>6.3478239999999992</v>
      </c>
      <c r="K182" s="5">
        <f t="shared" si="5"/>
        <v>6.3478239999999992</v>
      </c>
      <c r="L182" s="6">
        <f>K182/'Quellen &amp; Annahmen'!$B$2</f>
        <v>5.7497942272023342E-5</v>
      </c>
      <c r="M182" s="7" t="s">
        <v>179</v>
      </c>
      <c r="N182" s="7" t="s">
        <v>180</v>
      </c>
    </row>
    <row r="183" spans="1:14" ht="18" customHeight="1">
      <c r="A183">
        <v>182</v>
      </c>
      <c r="B183" t="s">
        <v>268</v>
      </c>
      <c r="C183" t="s">
        <v>50</v>
      </c>
      <c r="D183" s="2">
        <v>0</v>
      </c>
      <c r="E183" s="2">
        <v>0</v>
      </c>
      <c r="F183" s="2">
        <v>0</v>
      </c>
      <c r="G183" s="2">
        <v>0</v>
      </c>
      <c r="H183" s="2">
        <v>1.0089359999999998</v>
      </c>
      <c r="I183" s="2">
        <v>5.1346799999999995</v>
      </c>
      <c r="J183" s="5">
        <f t="shared" si="4"/>
        <v>6.1436159999999997</v>
      </c>
      <c r="K183" s="5">
        <f t="shared" si="5"/>
        <v>6.1436159999999997</v>
      </c>
      <c r="L183" s="6">
        <f>K183/'Quellen &amp; Annahmen'!$B$2</f>
        <v>5.5648247038588181E-5</v>
      </c>
      <c r="M183" s="7" t="s">
        <v>179</v>
      </c>
      <c r="N183" s="7" t="s">
        <v>180</v>
      </c>
    </row>
    <row r="184" spans="1:14" ht="18" customHeight="1">
      <c r="A184">
        <v>183</v>
      </c>
      <c r="B184" t="s">
        <v>269</v>
      </c>
      <c r="C184" t="s">
        <v>25</v>
      </c>
      <c r="D184" s="2">
        <v>0</v>
      </c>
      <c r="E184" s="2">
        <v>0</v>
      </c>
      <c r="F184" s="2">
        <v>0</v>
      </c>
      <c r="G184" s="2">
        <v>0</v>
      </c>
      <c r="H184" s="2">
        <v>6.0536159999999999</v>
      </c>
      <c r="I184" s="2">
        <v>0</v>
      </c>
      <c r="J184" s="5">
        <f t="shared" si="4"/>
        <v>6.0536159999999999</v>
      </c>
      <c r="K184" s="5">
        <f t="shared" si="5"/>
        <v>6.0536159999999999</v>
      </c>
      <c r="L184" s="6">
        <f>K184/'Quellen &amp; Annahmen'!$B$2</f>
        <v>5.483303621918265E-5</v>
      </c>
      <c r="M184" s="7" t="s">
        <v>187</v>
      </c>
      <c r="N184" s="7" t="s">
        <v>188</v>
      </c>
    </row>
    <row r="185" spans="1:14" ht="18" customHeight="1">
      <c r="A185">
        <v>184</v>
      </c>
      <c r="B185" t="s">
        <v>270</v>
      </c>
      <c r="C185" t="s">
        <v>50</v>
      </c>
      <c r="D185" s="2">
        <v>0</v>
      </c>
      <c r="E185" s="2">
        <v>0</v>
      </c>
      <c r="F185" s="2">
        <v>0</v>
      </c>
      <c r="G185" s="2">
        <v>0</v>
      </c>
      <c r="H185" s="2">
        <v>6.0536159999999999</v>
      </c>
      <c r="I185" s="2">
        <v>0</v>
      </c>
      <c r="J185" s="5">
        <f t="shared" si="4"/>
        <v>6.0536159999999999</v>
      </c>
      <c r="K185" s="5">
        <f t="shared" si="5"/>
        <v>6.0536159999999999</v>
      </c>
      <c r="L185" s="6">
        <f>K185/'Quellen &amp; Annahmen'!$B$2</f>
        <v>5.483303621918265E-5</v>
      </c>
      <c r="M185" s="7" t="s">
        <v>187</v>
      </c>
      <c r="N185" s="7" t="s">
        <v>188</v>
      </c>
    </row>
    <row r="186" spans="1:14" ht="18" customHeight="1">
      <c r="A186">
        <v>185</v>
      </c>
      <c r="B186" t="s">
        <v>271</v>
      </c>
      <c r="C186" t="s">
        <v>25</v>
      </c>
      <c r="D186" s="2">
        <v>0</v>
      </c>
      <c r="E186" s="2">
        <v>0</v>
      </c>
      <c r="F186" s="2">
        <v>0</v>
      </c>
      <c r="G186" s="2">
        <v>0</v>
      </c>
      <c r="H186" s="2">
        <v>6.0536159999999999</v>
      </c>
      <c r="I186" s="2">
        <v>0</v>
      </c>
      <c r="J186" s="5">
        <f t="shared" si="4"/>
        <v>6.0536159999999999</v>
      </c>
      <c r="K186" s="5">
        <f t="shared" si="5"/>
        <v>6.0536159999999999</v>
      </c>
      <c r="L186" s="6">
        <f>K186/'Quellen &amp; Annahmen'!$B$2</f>
        <v>5.483303621918265E-5</v>
      </c>
      <c r="M186" s="7" t="s">
        <v>187</v>
      </c>
      <c r="N186" s="7" t="s">
        <v>188</v>
      </c>
    </row>
    <row r="187" spans="1:14" ht="18" customHeight="1">
      <c r="A187">
        <v>186</v>
      </c>
      <c r="B187" t="s">
        <v>272</v>
      </c>
      <c r="C187" t="s">
        <v>25</v>
      </c>
      <c r="D187" s="2">
        <v>0</v>
      </c>
      <c r="E187" s="2">
        <v>0</v>
      </c>
      <c r="F187" s="2">
        <v>0</v>
      </c>
      <c r="G187" s="2">
        <v>0</v>
      </c>
      <c r="H187" s="2">
        <v>6.0536159999999999</v>
      </c>
      <c r="I187" s="2">
        <v>0</v>
      </c>
      <c r="J187" s="5">
        <f t="shared" si="4"/>
        <v>6.0536159999999999</v>
      </c>
      <c r="K187" s="5">
        <f t="shared" si="5"/>
        <v>6.0536159999999999</v>
      </c>
      <c r="L187" s="6">
        <f>K187/'Quellen &amp; Annahmen'!$B$2</f>
        <v>5.483303621918265E-5</v>
      </c>
      <c r="M187" s="7" t="s">
        <v>187</v>
      </c>
      <c r="N187" s="7" t="s">
        <v>188</v>
      </c>
    </row>
    <row r="188" spans="1:14" ht="18" customHeight="1">
      <c r="A188">
        <v>187</v>
      </c>
      <c r="B188" t="s">
        <v>273</v>
      </c>
      <c r="C188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6.0536159999999999</v>
      </c>
      <c r="I188" s="2">
        <v>0</v>
      </c>
      <c r="J188" s="5">
        <f t="shared" si="4"/>
        <v>6.0536159999999999</v>
      </c>
      <c r="K188" s="5">
        <f t="shared" si="5"/>
        <v>6.0536159999999999</v>
      </c>
      <c r="L188" s="6">
        <f>K188/'Quellen &amp; Annahmen'!$B$2</f>
        <v>5.483303621918265E-5</v>
      </c>
      <c r="M188" s="7" t="s">
        <v>187</v>
      </c>
      <c r="N188" s="7" t="s">
        <v>188</v>
      </c>
    </row>
    <row r="189" spans="1:14" ht="18" customHeight="1">
      <c r="A189">
        <v>188</v>
      </c>
      <c r="B189" t="s">
        <v>274</v>
      </c>
      <c r="C189" t="s">
        <v>50</v>
      </c>
      <c r="D189" s="2">
        <v>0</v>
      </c>
      <c r="E189" s="2">
        <v>0</v>
      </c>
      <c r="F189" s="2">
        <v>0</v>
      </c>
      <c r="G189" s="2">
        <v>0</v>
      </c>
      <c r="H189" s="2">
        <v>1.6815600000000002</v>
      </c>
      <c r="I189" s="2">
        <v>4.3359519999999998</v>
      </c>
      <c r="J189" s="5">
        <f t="shared" si="4"/>
        <v>6.017512</v>
      </c>
      <c r="K189" s="5">
        <f t="shared" si="5"/>
        <v>6.017512</v>
      </c>
      <c r="L189" s="6">
        <f>K189/'Quellen &amp; Annahmen'!$B$2</f>
        <v>5.4506009870029127E-5</v>
      </c>
      <c r="M189" s="7" t="s">
        <v>179</v>
      </c>
      <c r="N189" s="7" t="s">
        <v>180</v>
      </c>
    </row>
    <row r="190" spans="1:14" ht="18" customHeight="1">
      <c r="A190">
        <v>189</v>
      </c>
      <c r="B190" t="s">
        <v>275</v>
      </c>
      <c r="C190" t="s">
        <v>25</v>
      </c>
      <c r="D190" s="2">
        <v>0</v>
      </c>
      <c r="E190" s="2">
        <v>0</v>
      </c>
      <c r="F190" s="2">
        <v>0</v>
      </c>
      <c r="G190" s="2">
        <v>0</v>
      </c>
      <c r="H190" s="2">
        <v>1.0089359999999998</v>
      </c>
      <c r="I190" s="2">
        <v>4.9064719999999999</v>
      </c>
      <c r="J190" s="5">
        <f t="shared" si="4"/>
        <v>5.9154079999999993</v>
      </c>
      <c r="K190" s="5">
        <f t="shared" si="5"/>
        <v>5.9154079999999993</v>
      </c>
      <c r="L190" s="6">
        <f>K190/'Quellen &amp; Annahmen'!$B$2</f>
        <v>5.3581162253311536E-5</v>
      </c>
      <c r="M190" s="7" t="s">
        <v>179</v>
      </c>
      <c r="N190" s="7" t="s">
        <v>180</v>
      </c>
    </row>
    <row r="191" spans="1:14" ht="18" customHeight="1">
      <c r="A191">
        <v>190</v>
      </c>
      <c r="B191" t="s">
        <v>276</v>
      </c>
      <c r="C191" t="s">
        <v>25</v>
      </c>
      <c r="D191" s="2">
        <v>0</v>
      </c>
      <c r="E191" s="2">
        <v>0</v>
      </c>
      <c r="F191" s="2">
        <v>0</v>
      </c>
      <c r="G191" s="2">
        <v>0</v>
      </c>
      <c r="H191" s="2">
        <v>1.0089359999999998</v>
      </c>
      <c r="I191" s="2">
        <v>4.7923679999999997</v>
      </c>
      <c r="J191" s="5">
        <f t="shared" si="4"/>
        <v>5.801304</v>
      </c>
      <c r="K191" s="5">
        <f t="shared" si="5"/>
        <v>5.801304</v>
      </c>
      <c r="L191" s="6">
        <f>K191/'Quellen &amp; Annahmen'!$B$2</f>
        <v>5.2547619860673224E-5</v>
      </c>
      <c r="M191" s="7" t="s">
        <v>179</v>
      </c>
      <c r="N191" s="7" t="s">
        <v>180</v>
      </c>
    </row>
    <row r="192" spans="1:14" ht="18" customHeight="1">
      <c r="A192">
        <v>191</v>
      </c>
      <c r="B192" t="s">
        <v>277</v>
      </c>
      <c r="C192" t="s">
        <v>25</v>
      </c>
      <c r="D192" s="2">
        <v>0</v>
      </c>
      <c r="E192" s="2">
        <v>0</v>
      </c>
      <c r="F192" s="2">
        <v>0</v>
      </c>
      <c r="G192" s="2">
        <v>0</v>
      </c>
      <c r="H192" s="2">
        <v>1.0089359999999998</v>
      </c>
      <c r="I192" s="2">
        <v>4.7923679999999997</v>
      </c>
      <c r="J192" s="5">
        <f t="shared" si="4"/>
        <v>5.801304</v>
      </c>
      <c r="K192" s="5">
        <f t="shared" si="5"/>
        <v>5.801304</v>
      </c>
      <c r="L192" s="6">
        <f>K192/'Quellen &amp; Annahmen'!$B$2</f>
        <v>5.2547619860673224E-5</v>
      </c>
      <c r="M192" s="7" t="s">
        <v>179</v>
      </c>
      <c r="N192" s="7" t="s">
        <v>180</v>
      </c>
    </row>
    <row r="193" spans="1:14" ht="18" customHeight="1">
      <c r="A193">
        <v>192</v>
      </c>
      <c r="B193" t="s">
        <v>278</v>
      </c>
      <c r="C193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5.7173040000000004</v>
      </c>
      <c r="I193" s="2">
        <v>0</v>
      </c>
      <c r="J193" s="5">
        <f t="shared" si="4"/>
        <v>5.7173040000000004</v>
      </c>
      <c r="K193" s="5">
        <f t="shared" si="5"/>
        <v>5.7173040000000004</v>
      </c>
      <c r="L193" s="6">
        <f>K193/'Quellen &amp; Annahmen'!$B$2</f>
        <v>5.1786756429228068E-5</v>
      </c>
      <c r="M193" s="7" t="s">
        <v>187</v>
      </c>
      <c r="N193" s="7" t="s">
        <v>188</v>
      </c>
    </row>
    <row r="194" spans="1:14" ht="18" customHeight="1">
      <c r="A194">
        <v>193</v>
      </c>
      <c r="B194" t="s">
        <v>279</v>
      </c>
      <c r="C194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5.7173040000000004</v>
      </c>
      <c r="I194" s="2">
        <v>0</v>
      </c>
      <c r="J194" s="5">
        <f t="shared" ref="J194:J257" si="6">SUM(E194:I194)</f>
        <v>5.7173040000000004</v>
      </c>
      <c r="K194" s="5">
        <f t="shared" ref="K194:K257" si="7">D194+J194</f>
        <v>5.7173040000000004</v>
      </c>
      <c r="L194" s="6">
        <f>K194/'Quellen &amp; Annahmen'!$B$2</f>
        <v>5.1786756429228068E-5</v>
      </c>
      <c r="M194" s="7" t="s">
        <v>187</v>
      </c>
      <c r="N194" s="7" t="s">
        <v>188</v>
      </c>
    </row>
    <row r="195" spans="1:14" ht="18" customHeight="1">
      <c r="A195">
        <v>194</v>
      </c>
      <c r="B195" t="s">
        <v>280</v>
      </c>
      <c r="C195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5.7173040000000004</v>
      </c>
      <c r="I195" s="2">
        <v>0</v>
      </c>
      <c r="J195" s="5">
        <f t="shared" si="6"/>
        <v>5.7173040000000004</v>
      </c>
      <c r="K195" s="5">
        <f t="shared" si="7"/>
        <v>5.7173040000000004</v>
      </c>
      <c r="L195" s="6">
        <f>K195/'Quellen &amp; Annahmen'!$B$2</f>
        <v>5.1786756429228068E-5</v>
      </c>
      <c r="M195" s="7" t="s">
        <v>187</v>
      </c>
      <c r="N195" s="7" t="s">
        <v>188</v>
      </c>
    </row>
    <row r="196" spans="1:14" ht="18" customHeight="1">
      <c r="A196">
        <v>195</v>
      </c>
      <c r="B196" t="s">
        <v>281</v>
      </c>
      <c r="C196" t="s">
        <v>50</v>
      </c>
      <c r="D196" s="2">
        <v>0</v>
      </c>
      <c r="E196" s="2">
        <v>0</v>
      </c>
      <c r="F196" s="2">
        <v>0</v>
      </c>
      <c r="G196" s="2">
        <v>0</v>
      </c>
      <c r="H196" s="2">
        <v>5.7173040000000004</v>
      </c>
      <c r="I196" s="2">
        <v>0</v>
      </c>
      <c r="J196" s="5">
        <f t="shared" si="6"/>
        <v>5.7173040000000004</v>
      </c>
      <c r="K196" s="5">
        <f t="shared" si="7"/>
        <v>5.7173040000000004</v>
      </c>
      <c r="L196" s="6">
        <f>K196/'Quellen &amp; Annahmen'!$B$2</f>
        <v>5.1786756429228068E-5</v>
      </c>
      <c r="M196" s="7" t="s">
        <v>187</v>
      </c>
      <c r="N196" s="7" t="s">
        <v>188</v>
      </c>
    </row>
    <row r="197" spans="1:14" ht="18" customHeight="1">
      <c r="A197">
        <v>196</v>
      </c>
      <c r="B197" t="s">
        <v>282</v>
      </c>
      <c r="C197" t="s">
        <v>25</v>
      </c>
      <c r="D197" s="2">
        <v>0</v>
      </c>
      <c r="E197" s="2">
        <v>0</v>
      </c>
      <c r="F197" s="2">
        <v>0</v>
      </c>
      <c r="G197" s="2">
        <v>0</v>
      </c>
      <c r="H197" s="2">
        <v>5.7173040000000004</v>
      </c>
      <c r="I197" s="2">
        <v>0</v>
      </c>
      <c r="J197" s="5">
        <f t="shared" si="6"/>
        <v>5.7173040000000004</v>
      </c>
      <c r="K197" s="5">
        <f t="shared" si="7"/>
        <v>5.7173040000000004</v>
      </c>
      <c r="L197" s="6">
        <f>K197/'Quellen &amp; Annahmen'!$B$2</f>
        <v>5.1786756429228068E-5</v>
      </c>
      <c r="M197" s="7" t="s">
        <v>187</v>
      </c>
      <c r="N197" s="7" t="s">
        <v>188</v>
      </c>
    </row>
    <row r="198" spans="1:14" ht="18" customHeight="1">
      <c r="A198">
        <v>197</v>
      </c>
      <c r="B198" t="s">
        <v>283</v>
      </c>
      <c r="C198" t="s">
        <v>23</v>
      </c>
      <c r="D198" s="2">
        <v>0</v>
      </c>
      <c r="E198" s="2">
        <v>0</v>
      </c>
      <c r="F198" s="2">
        <v>0</v>
      </c>
      <c r="G198" s="2">
        <v>0</v>
      </c>
      <c r="H198" s="2">
        <v>2.690496</v>
      </c>
      <c r="I198" s="2">
        <v>2.9667039999999996</v>
      </c>
      <c r="J198" s="5">
        <f t="shared" si="6"/>
        <v>5.6571999999999996</v>
      </c>
      <c r="K198" s="5">
        <f t="shared" si="7"/>
        <v>5.6571999999999996</v>
      </c>
      <c r="L198" s="6">
        <f>K198/'Quellen &amp; Annahmen'!$B$2</f>
        <v>5.1242340528233055E-5</v>
      </c>
      <c r="M198" s="7" t="s">
        <v>179</v>
      </c>
      <c r="N198" s="7" t="s">
        <v>180</v>
      </c>
    </row>
    <row r="199" spans="1:14" ht="18" customHeight="1">
      <c r="A199">
        <v>198</v>
      </c>
      <c r="B199" t="s">
        <v>284</v>
      </c>
      <c r="C199" t="s">
        <v>50</v>
      </c>
      <c r="D199" s="2">
        <v>0</v>
      </c>
      <c r="E199" s="2">
        <v>0</v>
      </c>
      <c r="F199" s="2">
        <v>0</v>
      </c>
      <c r="G199" s="2">
        <v>0</v>
      </c>
      <c r="H199" s="2">
        <v>1.345248</v>
      </c>
      <c r="I199" s="2">
        <v>4.2218479999999996</v>
      </c>
      <c r="J199" s="5">
        <f t="shared" si="6"/>
        <v>5.5670959999999994</v>
      </c>
      <c r="K199" s="5">
        <f t="shared" si="7"/>
        <v>5.5670959999999994</v>
      </c>
      <c r="L199" s="6">
        <f>K199/'Quellen &amp; Annahmen'!$B$2</f>
        <v>5.0426187687436212E-5</v>
      </c>
      <c r="M199" s="7" t="s">
        <v>179</v>
      </c>
      <c r="N199" s="7" t="s">
        <v>180</v>
      </c>
    </row>
    <row r="200" spans="1:14" ht="18" customHeight="1">
      <c r="A200">
        <v>199</v>
      </c>
      <c r="B200" t="s">
        <v>285</v>
      </c>
      <c r="C200" t="s">
        <v>25</v>
      </c>
      <c r="D200" s="2">
        <v>0</v>
      </c>
      <c r="E200" s="2">
        <v>0</v>
      </c>
      <c r="F200" s="2">
        <v>0</v>
      </c>
      <c r="G200" s="2">
        <v>0</v>
      </c>
      <c r="H200" s="2">
        <v>1.345248</v>
      </c>
      <c r="I200" s="2">
        <v>4.1077439999999994</v>
      </c>
      <c r="J200" s="5">
        <f t="shared" si="6"/>
        <v>5.4529919999999992</v>
      </c>
      <c r="K200" s="5">
        <f t="shared" si="7"/>
        <v>5.4529919999999992</v>
      </c>
      <c r="L200" s="6">
        <f>K200/'Quellen &amp; Annahmen'!$B$2</f>
        <v>4.9392645294797886E-5</v>
      </c>
      <c r="M200" s="7" t="s">
        <v>179</v>
      </c>
      <c r="N200" s="7" t="s">
        <v>180</v>
      </c>
    </row>
    <row r="201" spans="1:14" ht="18" customHeight="1">
      <c r="A201">
        <v>200</v>
      </c>
      <c r="B201" t="s">
        <v>286</v>
      </c>
      <c r="C201" t="s">
        <v>25</v>
      </c>
      <c r="D201" s="2">
        <v>0</v>
      </c>
      <c r="E201" s="2">
        <v>0</v>
      </c>
      <c r="F201" s="2">
        <v>0</v>
      </c>
      <c r="G201" s="2">
        <v>0</v>
      </c>
      <c r="H201" s="2">
        <v>2.3541840000000001</v>
      </c>
      <c r="I201" s="2">
        <v>3.0808080000000002</v>
      </c>
      <c r="J201" s="5">
        <f t="shared" si="6"/>
        <v>5.4349920000000003</v>
      </c>
      <c r="K201" s="5">
        <f t="shared" si="7"/>
        <v>5.4349920000000003</v>
      </c>
      <c r="L201" s="6">
        <f>K201/'Quellen &amp; Annahmen'!$B$2</f>
        <v>4.9229603130916791E-5</v>
      </c>
      <c r="M201" s="7" t="s">
        <v>179</v>
      </c>
      <c r="N201" s="7" t="s">
        <v>180</v>
      </c>
    </row>
    <row r="202" spans="1:14" ht="18" customHeight="1">
      <c r="A202">
        <v>201</v>
      </c>
      <c r="B202" t="s">
        <v>287</v>
      </c>
      <c r="C202" t="s">
        <v>253</v>
      </c>
      <c r="D202" s="2">
        <v>0</v>
      </c>
      <c r="E202" s="2">
        <v>0</v>
      </c>
      <c r="F202" s="2">
        <v>0</v>
      </c>
      <c r="G202" s="2">
        <v>0</v>
      </c>
      <c r="H202" s="2">
        <v>3.0268079999999999</v>
      </c>
      <c r="I202" s="2">
        <v>2.3961839999999999</v>
      </c>
      <c r="J202" s="5">
        <f t="shared" si="6"/>
        <v>5.4229919999999998</v>
      </c>
      <c r="K202" s="5">
        <f t="shared" si="7"/>
        <v>5.4229919999999998</v>
      </c>
      <c r="L202" s="6">
        <f>K202/'Quellen &amp; Annahmen'!$B$2</f>
        <v>4.9120908354996049E-5</v>
      </c>
      <c r="M202" s="7" t="s">
        <v>179</v>
      </c>
      <c r="N202" s="7" t="s">
        <v>180</v>
      </c>
    </row>
    <row r="203" spans="1:14" ht="18" customHeight="1">
      <c r="A203">
        <v>202</v>
      </c>
      <c r="B203" t="s">
        <v>288</v>
      </c>
      <c r="C203" t="s">
        <v>253</v>
      </c>
      <c r="D203" s="2">
        <v>0</v>
      </c>
      <c r="E203" s="2">
        <v>0</v>
      </c>
      <c r="F203" s="2">
        <v>0</v>
      </c>
      <c r="G203" s="2">
        <v>0</v>
      </c>
      <c r="H203" s="2">
        <v>5.380992</v>
      </c>
      <c r="I203" s="2">
        <v>0</v>
      </c>
      <c r="J203" s="5">
        <f t="shared" si="6"/>
        <v>5.380992</v>
      </c>
      <c r="K203" s="5">
        <f t="shared" si="7"/>
        <v>5.380992</v>
      </c>
      <c r="L203" s="6">
        <f>K203/'Quellen &amp; Annahmen'!$B$2</f>
        <v>4.8740476639273471E-5</v>
      </c>
      <c r="M203" s="7" t="s">
        <v>187</v>
      </c>
      <c r="N203" s="7" t="s">
        <v>188</v>
      </c>
    </row>
    <row r="204" spans="1:14" ht="18" customHeight="1">
      <c r="A204">
        <v>203</v>
      </c>
      <c r="B204" t="s">
        <v>289</v>
      </c>
      <c r="C204" t="s">
        <v>33</v>
      </c>
      <c r="D204" s="2">
        <v>0</v>
      </c>
      <c r="E204" s="2">
        <v>0</v>
      </c>
      <c r="F204" s="2">
        <v>0</v>
      </c>
      <c r="G204" s="2">
        <v>0</v>
      </c>
      <c r="H204" s="2">
        <v>5.380992</v>
      </c>
      <c r="I204" s="2">
        <v>0</v>
      </c>
      <c r="J204" s="5">
        <f t="shared" si="6"/>
        <v>5.380992</v>
      </c>
      <c r="K204" s="5">
        <f t="shared" si="7"/>
        <v>5.380992</v>
      </c>
      <c r="L204" s="6">
        <f>K204/'Quellen &amp; Annahmen'!$B$2</f>
        <v>4.8740476639273471E-5</v>
      </c>
      <c r="M204" s="7" t="s">
        <v>187</v>
      </c>
      <c r="N204" s="7" t="s">
        <v>188</v>
      </c>
    </row>
    <row r="205" spans="1:14" ht="18" customHeight="1">
      <c r="A205">
        <v>204</v>
      </c>
      <c r="B205" t="s">
        <v>290</v>
      </c>
      <c r="C205" t="s">
        <v>263</v>
      </c>
      <c r="D205" s="2">
        <v>0</v>
      </c>
      <c r="E205" s="2">
        <v>0</v>
      </c>
      <c r="F205" s="2">
        <v>0</v>
      </c>
      <c r="G205" s="2">
        <v>0</v>
      </c>
      <c r="H205" s="2">
        <v>5.380992</v>
      </c>
      <c r="I205" s="2">
        <v>0</v>
      </c>
      <c r="J205" s="5">
        <f t="shared" si="6"/>
        <v>5.380992</v>
      </c>
      <c r="K205" s="5">
        <f t="shared" si="7"/>
        <v>5.380992</v>
      </c>
      <c r="L205" s="6">
        <f>K205/'Quellen &amp; Annahmen'!$B$2</f>
        <v>4.8740476639273471E-5</v>
      </c>
      <c r="M205" s="7" t="s">
        <v>187</v>
      </c>
      <c r="N205" s="7" t="s">
        <v>188</v>
      </c>
    </row>
    <row r="206" spans="1:14" ht="18" customHeight="1">
      <c r="A206">
        <v>205</v>
      </c>
      <c r="B206" t="s">
        <v>291</v>
      </c>
      <c r="C206" t="s">
        <v>108</v>
      </c>
      <c r="D206" s="2">
        <v>0</v>
      </c>
      <c r="E206" s="2">
        <v>0</v>
      </c>
      <c r="F206" s="2">
        <v>0</v>
      </c>
      <c r="G206" s="2">
        <v>0</v>
      </c>
      <c r="H206" s="2">
        <v>1.0089359999999998</v>
      </c>
      <c r="I206" s="2">
        <v>4.3359519999999998</v>
      </c>
      <c r="J206" s="5">
        <f t="shared" si="6"/>
        <v>5.3448879999999992</v>
      </c>
      <c r="K206" s="5">
        <f t="shared" si="7"/>
        <v>5.3448879999999992</v>
      </c>
      <c r="L206" s="6">
        <f>K206/'Quellen &amp; Annahmen'!$B$2</f>
        <v>4.8413450290119935E-5</v>
      </c>
      <c r="M206" s="7" t="s">
        <v>179</v>
      </c>
      <c r="N206" s="7" t="s">
        <v>180</v>
      </c>
    </row>
    <row r="207" spans="1:14" ht="18" customHeight="1">
      <c r="A207">
        <v>206</v>
      </c>
      <c r="B207" t="s">
        <v>292</v>
      </c>
      <c r="C207" t="s">
        <v>38</v>
      </c>
      <c r="D207" s="2">
        <v>0</v>
      </c>
      <c r="E207" s="2">
        <v>0</v>
      </c>
      <c r="F207" s="2">
        <v>0</v>
      </c>
      <c r="G207" s="2">
        <v>0</v>
      </c>
      <c r="H207" s="2">
        <v>1.0089359999999998</v>
      </c>
      <c r="I207" s="2">
        <v>4.3359519999999998</v>
      </c>
      <c r="J207" s="5">
        <f t="shared" si="6"/>
        <v>5.3448879999999992</v>
      </c>
      <c r="K207" s="5">
        <f t="shared" si="7"/>
        <v>5.3448879999999992</v>
      </c>
      <c r="L207" s="6">
        <f>K207/'Quellen &amp; Annahmen'!$B$2</f>
        <v>4.8413450290119935E-5</v>
      </c>
      <c r="M207" s="7" t="s">
        <v>179</v>
      </c>
      <c r="N207" s="7" t="s">
        <v>180</v>
      </c>
    </row>
    <row r="208" spans="1:14" ht="18" customHeight="1">
      <c r="A208">
        <v>207</v>
      </c>
      <c r="B208" t="s">
        <v>293</v>
      </c>
      <c r="C208" t="s">
        <v>108</v>
      </c>
      <c r="D208" s="2">
        <v>0</v>
      </c>
      <c r="E208" s="2">
        <v>0</v>
      </c>
      <c r="F208" s="2">
        <v>0</v>
      </c>
      <c r="G208" s="2">
        <v>0</v>
      </c>
      <c r="H208" s="2">
        <v>1.6815600000000002</v>
      </c>
      <c r="I208" s="2">
        <v>3.6513279999999999</v>
      </c>
      <c r="J208" s="5">
        <f t="shared" si="6"/>
        <v>5.3328880000000005</v>
      </c>
      <c r="K208" s="5">
        <f t="shared" si="7"/>
        <v>5.3328880000000005</v>
      </c>
      <c r="L208" s="6">
        <f>K208/'Quellen &amp; Annahmen'!$B$2</f>
        <v>4.8304755514199213E-5</v>
      </c>
      <c r="M208" s="7" t="s">
        <v>179</v>
      </c>
      <c r="N208" s="7" t="s">
        <v>180</v>
      </c>
    </row>
    <row r="209" spans="1:14" ht="18" customHeight="1">
      <c r="A209">
        <v>208</v>
      </c>
      <c r="B209" t="s">
        <v>294</v>
      </c>
      <c r="C209" t="s">
        <v>253</v>
      </c>
      <c r="D209" s="2">
        <v>0</v>
      </c>
      <c r="E209" s="2">
        <v>0</v>
      </c>
      <c r="F209" s="2">
        <v>0</v>
      </c>
      <c r="G209" s="2">
        <v>0</v>
      </c>
      <c r="H209" s="2">
        <v>2.0178719999999997</v>
      </c>
      <c r="I209" s="2">
        <v>3.0808080000000002</v>
      </c>
      <c r="J209" s="5">
        <f t="shared" si="6"/>
        <v>5.0986799999999999</v>
      </c>
      <c r="K209" s="5">
        <f t="shared" si="7"/>
        <v>5.0986799999999999</v>
      </c>
      <c r="L209" s="6">
        <f>K209/'Quellen &amp; Annahmen'!$B$2</f>
        <v>4.6183323340962195E-5</v>
      </c>
      <c r="M209" s="7" t="s">
        <v>179</v>
      </c>
      <c r="N209" s="7" t="s">
        <v>180</v>
      </c>
    </row>
    <row r="210" spans="1:14" ht="18" customHeight="1">
      <c r="A210">
        <v>209</v>
      </c>
      <c r="B210" t="s">
        <v>295</v>
      </c>
      <c r="C210" t="s">
        <v>23</v>
      </c>
      <c r="D210" s="2">
        <v>0</v>
      </c>
      <c r="E210" s="2">
        <v>0</v>
      </c>
      <c r="F210" s="2">
        <v>0</v>
      </c>
      <c r="G210" s="2">
        <v>0</v>
      </c>
      <c r="H210" s="2">
        <v>2.690496</v>
      </c>
      <c r="I210" s="2">
        <v>2.3961839999999999</v>
      </c>
      <c r="J210" s="5">
        <f t="shared" si="6"/>
        <v>5.0866799999999994</v>
      </c>
      <c r="K210" s="5">
        <f t="shared" si="7"/>
        <v>5.0866799999999994</v>
      </c>
      <c r="L210" s="6">
        <f>K210/'Quellen &amp; Annahmen'!$B$2</f>
        <v>4.6074628565041453E-5</v>
      </c>
      <c r="M210" s="7" t="s">
        <v>179</v>
      </c>
      <c r="N210" s="7" t="s">
        <v>180</v>
      </c>
    </row>
    <row r="211" spans="1:14" ht="18" customHeight="1">
      <c r="A211">
        <v>210</v>
      </c>
      <c r="B211" t="s">
        <v>296</v>
      </c>
      <c r="C211" t="s">
        <v>25</v>
      </c>
      <c r="D211" s="2">
        <v>0</v>
      </c>
      <c r="E211" s="2">
        <v>0</v>
      </c>
      <c r="F211" s="2">
        <v>0</v>
      </c>
      <c r="G211" s="2">
        <v>0</v>
      </c>
      <c r="H211" s="2">
        <v>5.0446799999999996</v>
      </c>
      <c r="I211" s="2">
        <v>0</v>
      </c>
      <c r="J211" s="5">
        <f t="shared" si="6"/>
        <v>5.0446799999999996</v>
      </c>
      <c r="K211" s="5">
        <f t="shared" si="7"/>
        <v>5.0446799999999996</v>
      </c>
      <c r="L211" s="6">
        <f>K211/'Quellen &amp; Annahmen'!$B$2</f>
        <v>4.5694196849318875E-5</v>
      </c>
      <c r="M211" s="7" t="s">
        <v>187</v>
      </c>
      <c r="N211" s="7" t="s">
        <v>188</v>
      </c>
    </row>
    <row r="212" spans="1:14" ht="18" customHeight="1">
      <c r="A212">
        <v>211</v>
      </c>
      <c r="B212" t="s">
        <v>297</v>
      </c>
      <c r="C212" t="s">
        <v>124</v>
      </c>
      <c r="D212" s="2">
        <v>0</v>
      </c>
      <c r="E212" s="2">
        <v>0</v>
      </c>
      <c r="F212" s="2">
        <v>0</v>
      </c>
      <c r="G212" s="2">
        <v>0</v>
      </c>
      <c r="H212" s="2">
        <v>5.0446799999999996</v>
      </c>
      <c r="I212" s="2">
        <v>0</v>
      </c>
      <c r="J212" s="5">
        <f t="shared" si="6"/>
        <v>5.0446799999999996</v>
      </c>
      <c r="K212" s="5">
        <f t="shared" si="7"/>
        <v>5.0446799999999996</v>
      </c>
      <c r="L212" s="6">
        <f>K212/'Quellen &amp; Annahmen'!$B$2</f>
        <v>4.5694196849318875E-5</v>
      </c>
      <c r="M212" s="7" t="s">
        <v>187</v>
      </c>
      <c r="N212" s="7" t="s">
        <v>188</v>
      </c>
    </row>
    <row r="213" spans="1:14" ht="18" customHeight="1">
      <c r="A213">
        <v>212</v>
      </c>
      <c r="B213" t="s">
        <v>298</v>
      </c>
      <c r="C213" t="s">
        <v>27</v>
      </c>
      <c r="D213" s="2">
        <v>0</v>
      </c>
      <c r="E213" s="2">
        <v>0</v>
      </c>
      <c r="F213" s="2">
        <v>0</v>
      </c>
      <c r="G213" s="2">
        <v>0</v>
      </c>
      <c r="H213" s="2">
        <v>5.0446799999999996</v>
      </c>
      <c r="I213" s="2">
        <v>0</v>
      </c>
      <c r="J213" s="5">
        <f t="shared" si="6"/>
        <v>5.0446799999999996</v>
      </c>
      <c r="K213" s="5">
        <f t="shared" si="7"/>
        <v>5.0446799999999996</v>
      </c>
      <c r="L213" s="6">
        <f>K213/'Quellen &amp; Annahmen'!$B$2</f>
        <v>4.5694196849318875E-5</v>
      </c>
      <c r="M213" s="7" t="s">
        <v>187</v>
      </c>
      <c r="N213" s="7" t="s">
        <v>188</v>
      </c>
    </row>
    <row r="214" spans="1:14" ht="18" customHeight="1">
      <c r="A214">
        <v>213</v>
      </c>
      <c r="B214" t="s">
        <v>299</v>
      </c>
      <c r="C214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5.0446799999999996</v>
      </c>
      <c r="I214" s="2">
        <v>0</v>
      </c>
      <c r="J214" s="5">
        <f t="shared" si="6"/>
        <v>5.0446799999999996</v>
      </c>
      <c r="K214" s="5">
        <f t="shared" si="7"/>
        <v>5.0446799999999996</v>
      </c>
      <c r="L214" s="6">
        <f>K214/'Quellen &amp; Annahmen'!$B$2</f>
        <v>4.5694196849318875E-5</v>
      </c>
      <c r="M214" s="7" t="s">
        <v>187</v>
      </c>
      <c r="N214" s="7" t="s">
        <v>188</v>
      </c>
    </row>
    <row r="215" spans="1:14" ht="18" customHeight="1">
      <c r="A215">
        <v>214</v>
      </c>
      <c r="B215" t="s">
        <v>300</v>
      </c>
      <c r="C215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5.0446799999999996</v>
      </c>
      <c r="I215" s="2">
        <v>0</v>
      </c>
      <c r="J215" s="5">
        <f t="shared" si="6"/>
        <v>5.0446799999999996</v>
      </c>
      <c r="K215" s="5">
        <f t="shared" si="7"/>
        <v>5.0446799999999996</v>
      </c>
      <c r="L215" s="6">
        <f>K215/'Quellen &amp; Annahmen'!$B$2</f>
        <v>4.5694196849318875E-5</v>
      </c>
      <c r="M215" s="7" t="s">
        <v>187</v>
      </c>
      <c r="N215" s="7" t="s">
        <v>188</v>
      </c>
    </row>
    <row r="216" spans="1:14" ht="18" customHeight="1">
      <c r="A216">
        <v>215</v>
      </c>
      <c r="B216" t="s">
        <v>301</v>
      </c>
      <c r="C216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5.0446799999999996</v>
      </c>
      <c r="I216" s="2">
        <v>0</v>
      </c>
      <c r="J216" s="5">
        <f t="shared" si="6"/>
        <v>5.0446799999999996</v>
      </c>
      <c r="K216" s="5">
        <f t="shared" si="7"/>
        <v>5.0446799999999996</v>
      </c>
      <c r="L216" s="6">
        <f>K216/'Quellen &amp; Annahmen'!$B$2</f>
        <v>4.5694196849318875E-5</v>
      </c>
      <c r="M216" s="7" t="s">
        <v>187</v>
      </c>
      <c r="N216" s="7" t="s">
        <v>188</v>
      </c>
    </row>
    <row r="217" spans="1:14" ht="18" customHeight="1">
      <c r="A217">
        <v>216</v>
      </c>
      <c r="B217" t="s">
        <v>302</v>
      </c>
      <c r="C217" t="s">
        <v>41</v>
      </c>
      <c r="D217" s="2">
        <v>0</v>
      </c>
      <c r="E217" s="2">
        <v>0</v>
      </c>
      <c r="F217" s="2">
        <v>0</v>
      </c>
      <c r="G217" s="2">
        <v>0</v>
      </c>
      <c r="H217" s="2">
        <v>1.0089359999999998</v>
      </c>
      <c r="I217" s="2">
        <v>3.8795359999999999</v>
      </c>
      <c r="J217" s="5">
        <f t="shared" si="6"/>
        <v>4.8884720000000002</v>
      </c>
      <c r="K217" s="5">
        <f t="shared" si="7"/>
        <v>4.8884720000000002</v>
      </c>
      <c r="L217" s="6">
        <f>K217/'Quellen &amp; Annahmen'!$B$2</f>
        <v>4.4279280719566666E-5</v>
      </c>
      <c r="M217" s="7" t="s">
        <v>179</v>
      </c>
      <c r="N217" s="7" t="s">
        <v>180</v>
      </c>
    </row>
    <row r="218" spans="1:14" ht="18" customHeight="1">
      <c r="A218">
        <v>217</v>
      </c>
      <c r="B218" t="s">
        <v>303</v>
      </c>
      <c r="C218" t="s">
        <v>23</v>
      </c>
      <c r="D218" s="2">
        <v>0</v>
      </c>
      <c r="E218" s="2">
        <v>0</v>
      </c>
      <c r="F218" s="2">
        <v>0</v>
      </c>
      <c r="G218" s="2">
        <v>0</v>
      </c>
      <c r="H218" s="2">
        <v>1.345248</v>
      </c>
      <c r="I218" s="2">
        <v>3.5372240000000001</v>
      </c>
      <c r="J218" s="5">
        <f t="shared" si="6"/>
        <v>4.8824719999999999</v>
      </c>
      <c r="K218" s="5">
        <f t="shared" si="7"/>
        <v>4.8824719999999999</v>
      </c>
      <c r="L218" s="6">
        <f>K218/'Quellen &amp; Annahmen'!$B$2</f>
        <v>4.4224933331606292E-5</v>
      </c>
      <c r="M218" s="7" t="s">
        <v>179</v>
      </c>
      <c r="N218" s="7" t="s">
        <v>180</v>
      </c>
    </row>
    <row r="219" spans="1:14" ht="18" customHeight="1">
      <c r="A219">
        <v>218</v>
      </c>
      <c r="B219" t="s">
        <v>304</v>
      </c>
      <c r="C219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1.345248</v>
      </c>
      <c r="I219" s="2">
        <v>3.5372240000000001</v>
      </c>
      <c r="J219" s="5">
        <f t="shared" si="6"/>
        <v>4.8824719999999999</v>
      </c>
      <c r="K219" s="5">
        <f t="shared" si="7"/>
        <v>4.8824719999999999</v>
      </c>
      <c r="L219" s="6">
        <f>K219/'Quellen &amp; Annahmen'!$B$2</f>
        <v>4.4224933331606292E-5</v>
      </c>
      <c r="M219" s="7" t="s">
        <v>179</v>
      </c>
      <c r="N219" s="7" t="s">
        <v>180</v>
      </c>
    </row>
    <row r="220" spans="1:14" ht="18" customHeight="1">
      <c r="A220">
        <v>219</v>
      </c>
      <c r="B220" t="s">
        <v>305</v>
      </c>
      <c r="C220" t="s">
        <v>38</v>
      </c>
      <c r="D220" s="2">
        <v>0</v>
      </c>
      <c r="E220" s="2">
        <v>0</v>
      </c>
      <c r="F220" s="2">
        <v>0</v>
      </c>
      <c r="G220" s="2">
        <v>0</v>
      </c>
      <c r="H220" s="2">
        <v>0.672624</v>
      </c>
      <c r="I220" s="2">
        <v>4.1077439999999994</v>
      </c>
      <c r="J220" s="5">
        <f t="shared" si="6"/>
        <v>4.7803679999999993</v>
      </c>
      <c r="K220" s="5">
        <f t="shared" si="7"/>
        <v>4.7803679999999993</v>
      </c>
      <c r="L220" s="6">
        <f>K220/'Quellen &amp; Annahmen'!$B$2</f>
        <v>4.3300085714888707E-5</v>
      </c>
      <c r="M220" s="7" t="s">
        <v>179</v>
      </c>
      <c r="N220" s="7" t="s">
        <v>180</v>
      </c>
    </row>
    <row r="221" spans="1:14" ht="18" customHeight="1">
      <c r="A221">
        <v>220</v>
      </c>
      <c r="B221" t="s">
        <v>306</v>
      </c>
      <c r="C22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1.0089359999999998</v>
      </c>
      <c r="I221" s="2">
        <v>3.7654320000000001</v>
      </c>
      <c r="J221" s="5">
        <f t="shared" si="6"/>
        <v>4.7743679999999999</v>
      </c>
      <c r="K221" s="5">
        <f t="shared" si="7"/>
        <v>4.7743679999999999</v>
      </c>
      <c r="L221" s="6">
        <f>K221/'Quellen &amp; Annahmen'!$B$2</f>
        <v>4.324573832692834E-5</v>
      </c>
      <c r="M221" s="7" t="s">
        <v>179</v>
      </c>
      <c r="N221" s="7" t="s">
        <v>180</v>
      </c>
    </row>
    <row r="222" spans="1:14" ht="18" customHeight="1">
      <c r="A222">
        <v>221</v>
      </c>
      <c r="B222" t="s">
        <v>307</v>
      </c>
      <c r="C222" t="s">
        <v>25</v>
      </c>
      <c r="D222" s="2">
        <v>0</v>
      </c>
      <c r="E222" s="2">
        <v>0</v>
      </c>
      <c r="F222" s="2">
        <v>0</v>
      </c>
      <c r="G222" s="2">
        <v>0</v>
      </c>
      <c r="H222" s="2">
        <v>1.0089359999999998</v>
      </c>
      <c r="I222" s="2">
        <v>3.7654320000000001</v>
      </c>
      <c r="J222" s="5">
        <f t="shared" si="6"/>
        <v>4.7743679999999999</v>
      </c>
      <c r="K222" s="5">
        <f t="shared" si="7"/>
        <v>4.7743679999999999</v>
      </c>
      <c r="L222" s="6">
        <f>K222/'Quellen &amp; Annahmen'!$B$2</f>
        <v>4.324573832692834E-5</v>
      </c>
      <c r="M222" s="7" t="s">
        <v>179</v>
      </c>
      <c r="N222" s="7" t="s">
        <v>180</v>
      </c>
    </row>
    <row r="223" spans="1:14" ht="18" customHeight="1">
      <c r="A223">
        <v>222</v>
      </c>
      <c r="B223" t="s">
        <v>308</v>
      </c>
      <c r="C223" t="s">
        <v>27</v>
      </c>
      <c r="D223" s="2">
        <v>0</v>
      </c>
      <c r="E223" s="2">
        <v>0</v>
      </c>
      <c r="F223" s="2">
        <v>0</v>
      </c>
      <c r="G223" s="2">
        <v>0</v>
      </c>
      <c r="H223" s="2">
        <v>1.345248</v>
      </c>
      <c r="I223" s="2">
        <v>3.4231199999999995</v>
      </c>
      <c r="J223" s="5">
        <f t="shared" si="6"/>
        <v>4.7683679999999997</v>
      </c>
      <c r="K223" s="5">
        <f t="shared" si="7"/>
        <v>4.7683679999999997</v>
      </c>
      <c r="L223" s="6">
        <f>K223/'Quellen &amp; Annahmen'!$B$2</f>
        <v>4.3191390938967973E-5</v>
      </c>
      <c r="M223" s="7" t="s">
        <v>179</v>
      </c>
      <c r="N223" s="7" t="s">
        <v>180</v>
      </c>
    </row>
    <row r="224" spans="1:14" ht="18" customHeight="1">
      <c r="A224">
        <v>223</v>
      </c>
      <c r="B224" t="s">
        <v>309</v>
      </c>
      <c r="C224" t="s">
        <v>38</v>
      </c>
      <c r="D224" s="2">
        <v>0</v>
      </c>
      <c r="E224" s="2">
        <v>0</v>
      </c>
      <c r="F224" s="2">
        <v>0</v>
      </c>
      <c r="G224" s="2">
        <v>0</v>
      </c>
      <c r="H224" s="2">
        <v>4.7083680000000001</v>
      </c>
      <c r="I224" s="2">
        <v>0</v>
      </c>
      <c r="J224" s="5">
        <f t="shared" si="6"/>
        <v>4.7083680000000001</v>
      </c>
      <c r="K224" s="5">
        <f t="shared" si="7"/>
        <v>4.7083680000000001</v>
      </c>
      <c r="L224" s="6">
        <f>K224/'Quellen &amp; Annahmen'!$B$2</f>
        <v>4.2647917059364286E-5</v>
      </c>
      <c r="M224" s="7" t="s">
        <v>187</v>
      </c>
      <c r="N224" s="7" t="s">
        <v>188</v>
      </c>
    </row>
    <row r="225" spans="1:14" ht="18" customHeight="1">
      <c r="A225">
        <v>224</v>
      </c>
      <c r="B225" t="s">
        <v>310</v>
      </c>
      <c r="C225" t="s">
        <v>50</v>
      </c>
      <c r="D225" s="2">
        <v>0</v>
      </c>
      <c r="E225" s="2">
        <v>0</v>
      </c>
      <c r="F225" s="2">
        <v>0</v>
      </c>
      <c r="G225" s="2">
        <v>0</v>
      </c>
      <c r="H225" s="2">
        <v>4.7083680000000001</v>
      </c>
      <c r="I225" s="2">
        <v>0</v>
      </c>
      <c r="J225" s="5">
        <f t="shared" si="6"/>
        <v>4.7083680000000001</v>
      </c>
      <c r="K225" s="5">
        <f t="shared" si="7"/>
        <v>4.7083680000000001</v>
      </c>
      <c r="L225" s="6">
        <f>K225/'Quellen &amp; Annahmen'!$B$2</f>
        <v>4.2647917059364286E-5</v>
      </c>
      <c r="M225" s="7" t="s">
        <v>187</v>
      </c>
      <c r="N225" s="7" t="s">
        <v>188</v>
      </c>
    </row>
    <row r="226" spans="1:14" ht="18" customHeight="1">
      <c r="A226">
        <v>225</v>
      </c>
      <c r="B226" t="s">
        <v>311</v>
      </c>
      <c r="C226" t="s">
        <v>50</v>
      </c>
      <c r="D226" s="2">
        <v>0</v>
      </c>
      <c r="E226" s="2">
        <v>0</v>
      </c>
      <c r="F226" s="2">
        <v>0</v>
      </c>
      <c r="G226" s="2">
        <v>0</v>
      </c>
      <c r="H226" s="2">
        <v>4.7083680000000001</v>
      </c>
      <c r="I226" s="2">
        <v>0</v>
      </c>
      <c r="J226" s="5">
        <f t="shared" si="6"/>
        <v>4.7083680000000001</v>
      </c>
      <c r="K226" s="5">
        <f t="shared" si="7"/>
        <v>4.7083680000000001</v>
      </c>
      <c r="L226" s="6">
        <f>K226/'Quellen &amp; Annahmen'!$B$2</f>
        <v>4.2647917059364286E-5</v>
      </c>
      <c r="M226" s="7" t="s">
        <v>187</v>
      </c>
      <c r="N226" s="7" t="s">
        <v>188</v>
      </c>
    </row>
    <row r="227" spans="1:14" ht="18" customHeight="1">
      <c r="A227">
        <v>226</v>
      </c>
      <c r="B227" t="s">
        <v>312</v>
      </c>
      <c r="C227" t="s">
        <v>23</v>
      </c>
      <c r="D227" s="2">
        <v>0</v>
      </c>
      <c r="E227" s="2">
        <v>0</v>
      </c>
      <c r="F227" s="2">
        <v>0</v>
      </c>
      <c r="G227" s="2">
        <v>0</v>
      </c>
      <c r="H227" s="2">
        <v>4.7083680000000001</v>
      </c>
      <c r="I227" s="2">
        <v>0</v>
      </c>
      <c r="J227" s="5">
        <f t="shared" si="6"/>
        <v>4.7083680000000001</v>
      </c>
      <c r="K227" s="5">
        <f t="shared" si="7"/>
        <v>4.7083680000000001</v>
      </c>
      <c r="L227" s="6">
        <f>K227/'Quellen &amp; Annahmen'!$B$2</f>
        <v>4.2647917059364286E-5</v>
      </c>
      <c r="M227" s="7" t="s">
        <v>187</v>
      </c>
      <c r="N227" s="7" t="s">
        <v>188</v>
      </c>
    </row>
    <row r="228" spans="1:14" ht="18" customHeight="1">
      <c r="A228">
        <v>227</v>
      </c>
      <c r="B228" t="s">
        <v>313</v>
      </c>
      <c r="C228" t="s">
        <v>38</v>
      </c>
      <c r="D228" s="2">
        <v>0</v>
      </c>
      <c r="E228" s="2">
        <v>0</v>
      </c>
      <c r="F228" s="2">
        <v>0</v>
      </c>
      <c r="G228" s="2">
        <v>0</v>
      </c>
      <c r="H228" s="2">
        <v>4.7083680000000001</v>
      </c>
      <c r="I228" s="2">
        <v>0</v>
      </c>
      <c r="J228" s="5">
        <f t="shared" si="6"/>
        <v>4.7083680000000001</v>
      </c>
      <c r="K228" s="5">
        <f t="shared" si="7"/>
        <v>4.7083680000000001</v>
      </c>
      <c r="L228" s="6">
        <f>K228/'Quellen &amp; Annahmen'!$B$2</f>
        <v>4.2647917059364286E-5</v>
      </c>
      <c r="M228" s="7" t="s">
        <v>187</v>
      </c>
      <c r="N228" s="7" t="s">
        <v>188</v>
      </c>
    </row>
    <row r="229" spans="1:14" ht="18" customHeight="1">
      <c r="A229">
        <v>228</v>
      </c>
      <c r="B229" t="s">
        <v>314</v>
      </c>
      <c r="C229" t="s">
        <v>25</v>
      </c>
      <c r="D229" s="2">
        <v>0</v>
      </c>
      <c r="E229" s="2">
        <v>0</v>
      </c>
      <c r="F229" s="2">
        <v>0</v>
      </c>
      <c r="G229" s="2">
        <v>0</v>
      </c>
      <c r="H229" s="2">
        <v>4.7083680000000001</v>
      </c>
      <c r="I229" s="2">
        <v>0</v>
      </c>
      <c r="J229" s="5">
        <f t="shared" si="6"/>
        <v>4.7083680000000001</v>
      </c>
      <c r="K229" s="5">
        <f t="shared" si="7"/>
        <v>4.7083680000000001</v>
      </c>
      <c r="L229" s="6">
        <f>K229/'Quellen &amp; Annahmen'!$B$2</f>
        <v>4.2647917059364286E-5</v>
      </c>
      <c r="M229" s="7" t="s">
        <v>187</v>
      </c>
      <c r="N229" s="7" t="s">
        <v>188</v>
      </c>
    </row>
    <row r="230" spans="1:14" ht="18" customHeight="1">
      <c r="A230">
        <v>229</v>
      </c>
      <c r="B230" t="s">
        <v>315</v>
      </c>
      <c r="C230" t="s">
        <v>41</v>
      </c>
      <c r="D230" s="2">
        <v>0</v>
      </c>
      <c r="E230" s="2">
        <v>0</v>
      </c>
      <c r="F230" s="2">
        <v>0</v>
      </c>
      <c r="G230" s="2">
        <v>0</v>
      </c>
      <c r="H230" s="2">
        <v>4.7083680000000001</v>
      </c>
      <c r="I230" s="2">
        <v>0</v>
      </c>
      <c r="J230" s="5">
        <f t="shared" si="6"/>
        <v>4.7083680000000001</v>
      </c>
      <c r="K230" s="5">
        <f t="shared" si="7"/>
        <v>4.7083680000000001</v>
      </c>
      <c r="L230" s="6">
        <f>K230/'Quellen &amp; Annahmen'!$B$2</f>
        <v>4.2647917059364286E-5</v>
      </c>
      <c r="M230" s="7" t="s">
        <v>187</v>
      </c>
      <c r="N230" s="7" t="s">
        <v>188</v>
      </c>
    </row>
    <row r="231" spans="1:14" ht="18" customHeight="1">
      <c r="A231">
        <v>230</v>
      </c>
      <c r="B231" t="s">
        <v>316</v>
      </c>
      <c r="C231" t="s">
        <v>38</v>
      </c>
      <c r="D231" s="2">
        <v>0</v>
      </c>
      <c r="E231" s="2">
        <v>0</v>
      </c>
      <c r="F231" s="2">
        <v>0</v>
      </c>
      <c r="G231" s="2">
        <v>0</v>
      </c>
      <c r="H231" s="2">
        <v>4.7083680000000001</v>
      </c>
      <c r="I231" s="2">
        <v>0</v>
      </c>
      <c r="J231" s="5">
        <f t="shared" si="6"/>
        <v>4.7083680000000001</v>
      </c>
      <c r="K231" s="5">
        <f t="shared" si="7"/>
        <v>4.7083680000000001</v>
      </c>
      <c r="L231" s="6">
        <f>K231/'Quellen &amp; Annahmen'!$B$2</f>
        <v>4.2647917059364286E-5</v>
      </c>
      <c r="M231" s="7" t="s">
        <v>187</v>
      </c>
      <c r="N231" s="7" t="s">
        <v>188</v>
      </c>
    </row>
    <row r="232" spans="1:14" ht="18" customHeight="1">
      <c r="A232">
        <v>231</v>
      </c>
      <c r="B232" t="s">
        <v>317</v>
      </c>
      <c r="C232" t="s">
        <v>124</v>
      </c>
      <c r="D232" s="2">
        <v>0</v>
      </c>
      <c r="E232" s="2">
        <v>0</v>
      </c>
      <c r="F232" s="2">
        <v>0</v>
      </c>
      <c r="G232" s="2">
        <v>0</v>
      </c>
      <c r="H232" s="2">
        <v>4.7083680000000001</v>
      </c>
      <c r="I232" s="2">
        <v>0</v>
      </c>
      <c r="J232" s="5">
        <f t="shared" si="6"/>
        <v>4.7083680000000001</v>
      </c>
      <c r="K232" s="5">
        <f t="shared" si="7"/>
        <v>4.7083680000000001</v>
      </c>
      <c r="L232" s="6">
        <f>K232/'Quellen &amp; Annahmen'!$B$2</f>
        <v>4.2647917059364286E-5</v>
      </c>
      <c r="M232" s="7" t="s">
        <v>187</v>
      </c>
      <c r="N232" s="7" t="s">
        <v>188</v>
      </c>
    </row>
    <row r="233" spans="1:14" ht="18" customHeight="1">
      <c r="A233">
        <v>232</v>
      </c>
      <c r="B233" t="s">
        <v>318</v>
      </c>
      <c r="C233" t="s">
        <v>38</v>
      </c>
      <c r="D233" s="2">
        <v>0</v>
      </c>
      <c r="E233" s="2">
        <v>0</v>
      </c>
      <c r="F233" s="2">
        <v>0</v>
      </c>
      <c r="G233" s="2">
        <v>0</v>
      </c>
      <c r="H233" s="2">
        <v>4.7083680000000001</v>
      </c>
      <c r="I233" s="2">
        <v>0</v>
      </c>
      <c r="J233" s="5">
        <f t="shared" si="6"/>
        <v>4.7083680000000001</v>
      </c>
      <c r="K233" s="5">
        <f t="shared" si="7"/>
        <v>4.7083680000000001</v>
      </c>
      <c r="L233" s="6">
        <f>K233/'Quellen &amp; Annahmen'!$B$2</f>
        <v>4.2647917059364286E-5</v>
      </c>
      <c r="M233" s="7" t="s">
        <v>187</v>
      </c>
      <c r="N233" s="7" t="s">
        <v>188</v>
      </c>
    </row>
    <row r="234" spans="1:14" ht="18" customHeight="1">
      <c r="A234">
        <v>233</v>
      </c>
      <c r="B234" t="s">
        <v>319</v>
      </c>
      <c r="C234" t="s">
        <v>23</v>
      </c>
      <c r="D234" s="2">
        <v>0</v>
      </c>
      <c r="E234" s="2">
        <v>0</v>
      </c>
      <c r="F234" s="2">
        <v>0</v>
      </c>
      <c r="G234" s="2">
        <v>0</v>
      </c>
      <c r="H234" s="2">
        <v>2.0178719999999997</v>
      </c>
      <c r="I234" s="2">
        <v>2.6243920000000003</v>
      </c>
      <c r="J234" s="5">
        <f t="shared" si="6"/>
        <v>4.6422639999999999</v>
      </c>
      <c r="K234" s="5">
        <f t="shared" si="7"/>
        <v>4.6422639999999999</v>
      </c>
      <c r="L234" s="6">
        <f>K234/'Quellen &amp; Annahmen'!$B$2</f>
        <v>4.2049153770408919E-5</v>
      </c>
      <c r="M234" s="7" t="s">
        <v>179</v>
      </c>
      <c r="N234" s="7" t="s">
        <v>180</v>
      </c>
    </row>
    <row r="235" spans="1:14" ht="18" customHeight="1">
      <c r="A235">
        <v>234</v>
      </c>
      <c r="B235" t="s">
        <v>320</v>
      </c>
      <c r="C235" t="s">
        <v>38</v>
      </c>
      <c r="D235" s="2">
        <v>0</v>
      </c>
      <c r="E235" s="2">
        <v>0</v>
      </c>
      <c r="F235" s="2">
        <v>0</v>
      </c>
      <c r="G235" s="2">
        <v>0</v>
      </c>
      <c r="H235" s="2">
        <v>1.345248</v>
      </c>
      <c r="I235" s="2">
        <v>3.194912</v>
      </c>
      <c r="J235" s="5">
        <f t="shared" si="6"/>
        <v>4.5401600000000002</v>
      </c>
      <c r="K235" s="5">
        <f t="shared" si="7"/>
        <v>4.5401600000000002</v>
      </c>
      <c r="L235" s="6">
        <f>K235/'Quellen &amp; Annahmen'!$B$2</f>
        <v>4.1124306153691335E-5</v>
      </c>
      <c r="M235" s="7" t="s">
        <v>179</v>
      </c>
      <c r="N235" s="7" t="s">
        <v>180</v>
      </c>
    </row>
    <row r="236" spans="1:14" ht="18" customHeight="1">
      <c r="A236">
        <v>235</v>
      </c>
      <c r="B236" t="s">
        <v>321</v>
      </c>
      <c r="C236" t="s">
        <v>253</v>
      </c>
      <c r="D236" s="2">
        <v>0</v>
      </c>
      <c r="E236" s="2">
        <v>0</v>
      </c>
      <c r="F236" s="2">
        <v>0</v>
      </c>
      <c r="G236" s="2">
        <v>0</v>
      </c>
      <c r="H236" s="2">
        <v>1.345248</v>
      </c>
      <c r="I236" s="2">
        <v>3.194912</v>
      </c>
      <c r="J236" s="5">
        <f t="shared" si="6"/>
        <v>4.5401600000000002</v>
      </c>
      <c r="K236" s="5">
        <f t="shared" si="7"/>
        <v>4.5401600000000002</v>
      </c>
      <c r="L236" s="6">
        <f>K236/'Quellen &amp; Annahmen'!$B$2</f>
        <v>4.1124306153691335E-5</v>
      </c>
      <c r="M236" s="7" t="s">
        <v>179</v>
      </c>
      <c r="N236" s="7" t="s">
        <v>180</v>
      </c>
    </row>
    <row r="237" spans="1:14" ht="18" customHeight="1">
      <c r="A237">
        <v>236</v>
      </c>
      <c r="B237" t="s">
        <v>322</v>
      </c>
      <c r="C237" t="s">
        <v>25</v>
      </c>
      <c r="D237" s="2">
        <v>0</v>
      </c>
      <c r="E237" s="2">
        <v>0</v>
      </c>
      <c r="F237" s="2">
        <v>0</v>
      </c>
      <c r="G237" s="2">
        <v>0</v>
      </c>
      <c r="H237" s="2">
        <v>1.345248</v>
      </c>
      <c r="I237" s="2">
        <v>3.194912</v>
      </c>
      <c r="J237" s="5">
        <f t="shared" si="6"/>
        <v>4.5401600000000002</v>
      </c>
      <c r="K237" s="5">
        <f t="shared" si="7"/>
        <v>4.5401600000000002</v>
      </c>
      <c r="L237" s="6">
        <f>K237/'Quellen &amp; Annahmen'!$B$2</f>
        <v>4.1124306153691335E-5</v>
      </c>
      <c r="M237" s="7" t="s">
        <v>179</v>
      </c>
      <c r="N237" s="7" t="s">
        <v>180</v>
      </c>
    </row>
    <row r="238" spans="1:14" ht="18" customHeight="1">
      <c r="A238">
        <v>237</v>
      </c>
      <c r="B238" t="s">
        <v>323</v>
      </c>
      <c r="C238" t="s">
        <v>25</v>
      </c>
      <c r="D238" s="2">
        <v>0</v>
      </c>
      <c r="E238" s="2">
        <v>0</v>
      </c>
      <c r="F238" s="2">
        <v>0</v>
      </c>
      <c r="G238" s="2">
        <v>0</v>
      </c>
      <c r="H238" s="2">
        <v>1.345248</v>
      </c>
      <c r="I238" s="2">
        <v>3.194912</v>
      </c>
      <c r="J238" s="5">
        <f t="shared" si="6"/>
        <v>4.5401600000000002</v>
      </c>
      <c r="K238" s="5">
        <f t="shared" si="7"/>
        <v>4.5401600000000002</v>
      </c>
      <c r="L238" s="6">
        <f>K238/'Quellen &amp; Annahmen'!$B$2</f>
        <v>4.1124306153691335E-5</v>
      </c>
      <c r="M238" s="7" t="s">
        <v>179</v>
      </c>
      <c r="N238" s="7" t="s">
        <v>180</v>
      </c>
    </row>
    <row r="239" spans="1:14" ht="18" customHeight="1">
      <c r="A239">
        <v>238</v>
      </c>
      <c r="B239" t="s">
        <v>324</v>
      </c>
      <c r="C239" t="s">
        <v>108</v>
      </c>
      <c r="D239" s="2">
        <v>0</v>
      </c>
      <c r="E239" s="2">
        <v>0</v>
      </c>
      <c r="F239" s="2">
        <v>0</v>
      </c>
      <c r="G239" s="2">
        <v>0</v>
      </c>
      <c r="H239" s="2">
        <v>1.6815600000000002</v>
      </c>
      <c r="I239" s="2">
        <v>2.8525999999999998</v>
      </c>
      <c r="J239" s="5">
        <f t="shared" si="6"/>
        <v>4.53416</v>
      </c>
      <c r="K239" s="5">
        <f t="shared" si="7"/>
        <v>4.53416</v>
      </c>
      <c r="L239" s="6">
        <f>K239/'Quellen &amp; Annahmen'!$B$2</f>
        <v>4.1069958765730967E-5</v>
      </c>
      <c r="M239" s="7" t="s">
        <v>179</v>
      </c>
      <c r="N239" s="7" t="s">
        <v>180</v>
      </c>
    </row>
    <row r="240" spans="1:14" ht="18" customHeight="1">
      <c r="A240">
        <v>239</v>
      </c>
      <c r="B240" t="s">
        <v>325</v>
      </c>
      <c r="C240" t="s">
        <v>25</v>
      </c>
      <c r="D240" s="2">
        <v>0</v>
      </c>
      <c r="E240" s="2">
        <v>0</v>
      </c>
      <c r="F240" s="2">
        <v>0</v>
      </c>
      <c r="G240" s="2">
        <v>0</v>
      </c>
      <c r="H240" s="2">
        <v>1.0089359999999998</v>
      </c>
      <c r="I240" s="2">
        <v>3.4231199999999995</v>
      </c>
      <c r="J240" s="5">
        <f t="shared" si="6"/>
        <v>4.4320559999999993</v>
      </c>
      <c r="K240" s="5">
        <f t="shared" si="7"/>
        <v>4.4320559999999993</v>
      </c>
      <c r="L240" s="6">
        <f>K240/'Quellen &amp; Annahmen'!$B$2</f>
        <v>4.0145111149013376E-5</v>
      </c>
      <c r="M240" s="7" t="s">
        <v>179</v>
      </c>
      <c r="N240" s="7" t="s">
        <v>180</v>
      </c>
    </row>
    <row r="241" spans="1:14" ht="18" customHeight="1">
      <c r="A241">
        <v>240</v>
      </c>
      <c r="B241" t="s">
        <v>326</v>
      </c>
      <c r="C241" t="s">
        <v>124</v>
      </c>
      <c r="D241" s="2">
        <v>0</v>
      </c>
      <c r="E241" s="2">
        <v>0</v>
      </c>
      <c r="F241" s="2">
        <v>0</v>
      </c>
      <c r="G241" s="2">
        <v>0</v>
      </c>
      <c r="H241" s="2">
        <v>1.345248</v>
      </c>
      <c r="I241" s="2">
        <v>3.0808080000000002</v>
      </c>
      <c r="J241" s="5">
        <f t="shared" si="6"/>
        <v>4.426056</v>
      </c>
      <c r="K241" s="5">
        <f t="shared" si="7"/>
        <v>4.426056</v>
      </c>
      <c r="L241" s="6">
        <f>K241/'Quellen &amp; Annahmen'!$B$2</f>
        <v>4.0090763761053016E-5</v>
      </c>
      <c r="M241" s="7" t="s">
        <v>179</v>
      </c>
      <c r="N241" s="7" t="s">
        <v>180</v>
      </c>
    </row>
    <row r="242" spans="1:14" ht="18" customHeight="1">
      <c r="A242">
        <v>241</v>
      </c>
      <c r="B242" t="s">
        <v>327</v>
      </c>
      <c r="C242" t="s">
        <v>23</v>
      </c>
      <c r="D242" s="2">
        <v>0</v>
      </c>
      <c r="E242" s="2">
        <v>0</v>
      </c>
      <c r="F242" s="2">
        <v>0</v>
      </c>
      <c r="G242" s="2">
        <v>0</v>
      </c>
      <c r="H242" s="2">
        <v>2.0178719999999997</v>
      </c>
      <c r="I242" s="2">
        <v>2.3961839999999999</v>
      </c>
      <c r="J242" s="5">
        <f t="shared" si="6"/>
        <v>4.4140559999999995</v>
      </c>
      <c r="K242" s="5">
        <f t="shared" si="7"/>
        <v>4.4140559999999995</v>
      </c>
      <c r="L242" s="6">
        <f>K242/'Quellen &amp; Annahmen'!$B$2</f>
        <v>3.9982068985132274E-5</v>
      </c>
      <c r="M242" s="7" t="s">
        <v>179</v>
      </c>
      <c r="N242" s="7" t="s">
        <v>180</v>
      </c>
    </row>
    <row r="243" spans="1:14" ht="18" customHeight="1">
      <c r="A243">
        <v>242</v>
      </c>
      <c r="B243" t="s">
        <v>328</v>
      </c>
      <c r="C243" t="s">
        <v>108</v>
      </c>
      <c r="D243" s="2">
        <v>0</v>
      </c>
      <c r="E243" s="2">
        <v>0</v>
      </c>
      <c r="F243" s="2">
        <v>0</v>
      </c>
      <c r="G243" s="2">
        <v>0</v>
      </c>
      <c r="H243" s="2">
        <v>4.3720559999999997</v>
      </c>
      <c r="I243" s="2">
        <v>0</v>
      </c>
      <c r="J243" s="5">
        <f t="shared" si="6"/>
        <v>4.3720559999999997</v>
      </c>
      <c r="K243" s="5">
        <f t="shared" si="7"/>
        <v>4.3720559999999997</v>
      </c>
      <c r="L243" s="6">
        <f>K243/'Quellen &amp; Annahmen'!$B$2</f>
        <v>3.960163726940969E-5</v>
      </c>
      <c r="M243" s="7" t="s">
        <v>187</v>
      </c>
      <c r="N243" s="7" t="s">
        <v>188</v>
      </c>
    </row>
    <row r="244" spans="1:14" ht="18" customHeight="1">
      <c r="A244">
        <v>243</v>
      </c>
      <c r="B244" t="s">
        <v>329</v>
      </c>
      <c r="C244" t="s">
        <v>33</v>
      </c>
      <c r="D244" s="2">
        <v>0</v>
      </c>
      <c r="E244" s="2">
        <v>0</v>
      </c>
      <c r="F244" s="2">
        <v>0</v>
      </c>
      <c r="G244" s="2">
        <v>0</v>
      </c>
      <c r="H244" s="2">
        <v>4.3720559999999997</v>
      </c>
      <c r="I244" s="2">
        <v>0</v>
      </c>
      <c r="J244" s="5">
        <f t="shared" si="6"/>
        <v>4.3720559999999997</v>
      </c>
      <c r="K244" s="5">
        <f t="shared" si="7"/>
        <v>4.3720559999999997</v>
      </c>
      <c r="L244" s="6">
        <f>K244/'Quellen &amp; Annahmen'!$B$2</f>
        <v>3.960163726940969E-5</v>
      </c>
      <c r="M244" s="7" t="s">
        <v>187</v>
      </c>
      <c r="N244" s="7" t="s">
        <v>188</v>
      </c>
    </row>
    <row r="245" spans="1:14" ht="18" customHeight="1">
      <c r="A245">
        <v>244</v>
      </c>
      <c r="B245" t="s">
        <v>330</v>
      </c>
      <c r="C245" t="s">
        <v>50</v>
      </c>
      <c r="D245" s="2">
        <v>0</v>
      </c>
      <c r="E245" s="2">
        <v>0</v>
      </c>
      <c r="F245" s="2">
        <v>0</v>
      </c>
      <c r="G245" s="2">
        <v>0</v>
      </c>
      <c r="H245" s="2">
        <v>4.3720559999999997</v>
      </c>
      <c r="I245" s="2">
        <v>0</v>
      </c>
      <c r="J245" s="5">
        <f t="shared" si="6"/>
        <v>4.3720559999999997</v>
      </c>
      <c r="K245" s="5">
        <f t="shared" si="7"/>
        <v>4.3720559999999997</v>
      </c>
      <c r="L245" s="6">
        <f>K245/'Quellen &amp; Annahmen'!$B$2</f>
        <v>3.960163726940969E-5</v>
      </c>
      <c r="M245" s="7" t="s">
        <v>187</v>
      </c>
      <c r="N245" s="7" t="s">
        <v>188</v>
      </c>
    </row>
    <row r="246" spans="1:14" ht="18" customHeight="1">
      <c r="A246">
        <v>245</v>
      </c>
      <c r="B246" t="s">
        <v>331</v>
      </c>
      <c r="C246" t="s">
        <v>23</v>
      </c>
      <c r="D246" s="2">
        <v>0</v>
      </c>
      <c r="E246" s="2">
        <v>0</v>
      </c>
      <c r="F246" s="2">
        <v>0</v>
      </c>
      <c r="G246" s="2">
        <v>0</v>
      </c>
      <c r="H246" s="2">
        <v>4.3720559999999997</v>
      </c>
      <c r="I246" s="2">
        <v>0</v>
      </c>
      <c r="J246" s="5">
        <f t="shared" si="6"/>
        <v>4.3720559999999997</v>
      </c>
      <c r="K246" s="5">
        <f t="shared" si="7"/>
        <v>4.3720559999999997</v>
      </c>
      <c r="L246" s="6">
        <f>K246/'Quellen &amp; Annahmen'!$B$2</f>
        <v>3.960163726940969E-5</v>
      </c>
      <c r="M246" s="7" t="s">
        <v>187</v>
      </c>
      <c r="N246" s="7" t="s">
        <v>188</v>
      </c>
    </row>
    <row r="247" spans="1:14" ht="18" customHeight="1">
      <c r="A247">
        <v>246</v>
      </c>
      <c r="B247" t="s">
        <v>332</v>
      </c>
      <c r="C247" t="s">
        <v>23</v>
      </c>
      <c r="D247" s="2">
        <v>0</v>
      </c>
      <c r="E247" s="2">
        <v>0</v>
      </c>
      <c r="F247" s="2">
        <v>0</v>
      </c>
      <c r="G247" s="2">
        <v>0</v>
      </c>
      <c r="H247" s="2">
        <v>4.3720559999999997</v>
      </c>
      <c r="I247" s="2">
        <v>0</v>
      </c>
      <c r="J247" s="5">
        <f t="shared" si="6"/>
        <v>4.3720559999999997</v>
      </c>
      <c r="K247" s="5">
        <f t="shared" si="7"/>
        <v>4.3720559999999997</v>
      </c>
      <c r="L247" s="6">
        <f>K247/'Quellen &amp; Annahmen'!$B$2</f>
        <v>3.960163726940969E-5</v>
      </c>
      <c r="M247" s="7" t="s">
        <v>187</v>
      </c>
      <c r="N247" s="7" t="s">
        <v>188</v>
      </c>
    </row>
    <row r="248" spans="1:14" ht="18" customHeight="1">
      <c r="A248">
        <v>247</v>
      </c>
      <c r="B248" t="s">
        <v>333</v>
      </c>
      <c r="C248" t="s">
        <v>23</v>
      </c>
      <c r="D248" s="2">
        <v>0</v>
      </c>
      <c r="E248" s="2">
        <v>0</v>
      </c>
      <c r="F248" s="2">
        <v>0</v>
      </c>
      <c r="G248" s="2">
        <v>0</v>
      </c>
      <c r="H248" s="2">
        <v>4.3720559999999997</v>
      </c>
      <c r="I248" s="2">
        <v>0</v>
      </c>
      <c r="J248" s="5">
        <f t="shared" si="6"/>
        <v>4.3720559999999997</v>
      </c>
      <c r="K248" s="5">
        <f t="shared" si="7"/>
        <v>4.3720559999999997</v>
      </c>
      <c r="L248" s="6">
        <f>K248/'Quellen &amp; Annahmen'!$B$2</f>
        <v>3.960163726940969E-5</v>
      </c>
      <c r="M248" s="7" t="s">
        <v>187</v>
      </c>
      <c r="N248" s="7" t="s">
        <v>188</v>
      </c>
    </row>
    <row r="249" spans="1:14" ht="18" customHeight="1">
      <c r="A249">
        <v>248</v>
      </c>
      <c r="B249" t="s">
        <v>334</v>
      </c>
      <c r="C249" t="s">
        <v>23</v>
      </c>
      <c r="D249" s="2">
        <v>0</v>
      </c>
      <c r="E249" s="2">
        <v>0</v>
      </c>
      <c r="F249" s="2">
        <v>0</v>
      </c>
      <c r="G249" s="2">
        <v>0</v>
      </c>
      <c r="H249" s="2">
        <v>4.3720559999999997</v>
      </c>
      <c r="I249" s="2">
        <v>0</v>
      </c>
      <c r="J249" s="5">
        <f t="shared" si="6"/>
        <v>4.3720559999999997</v>
      </c>
      <c r="K249" s="5">
        <f t="shared" si="7"/>
        <v>4.3720559999999997</v>
      </c>
      <c r="L249" s="6">
        <f>K249/'Quellen &amp; Annahmen'!$B$2</f>
        <v>3.960163726940969E-5</v>
      </c>
      <c r="M249" s="7" t="s">
        <v>187</v>
      </c>
      <c r="N249" s="7" t="s">
        <v>188</v>
      </c>
    </row>
    <row r="250" spans="1:14" ht="18" customHeight="1">
      <c r="A250">
        <v>249</v>
      </c>
      <c r="B250" t="s">
        <v>335</v>
      </c>
      <c r="C250" t="s">
        <v>23</v>
      </c>
      <c r="D250" s="2">
        <v>0</v>
      </c>
      <c r="E250" s="2">
        <v>0</v>
      </c>
      <c r="F250" s="2">
        <v>0</v>
      </c>
      <c r="G250" s="2">
        <v>0</v>
      </c>
      <c r="H250" s="2">
        <v>4.3720559999999997</v>
      </c>
      <c r="I250" s="2">
        <v>0</v>
      </c>
      <c r="J250" s="5">
        <f t="shared" si="6"/>
        <v>4.3720559999999997</v>
      </c>
      <c r="K250" s="5">
        <f t="shared" si="7"/>
        <v>4.3720559999999997</v>
      </c>
      <c r="L250" s="6">
        <f>K250/'Quellen &amp; Annahmen'!$B$2</f>
        <v>3.960163726940969E-5</v>
      </c>
      <c r="M250" s="7" t="s">
        <v>187</v>
      </c>
      <c r="N250" s="7" t="s">
        <v>188</v>
      </c>
    </row>
    <row r="251" spans="1:14" ht="18" customHeight="1">
      <c r="A251">
        <v>250</v>
      </c>
      <c r="B251" t="s">
        <v>336</v>
      </c>
      <c r="C251" t="s">
        <v>33</v>
      </c>
      <c r="D251" s="2">
        <v>0</v>
      </c>
      <c r="E251" s="2">
        <v>0</v>
      </c>
      <c r="F251" s="2">
        <v>3.9915479999999999</v>
      </c>
      <c r="G251" s="2">
        <v>0</v>
      </c>
      <c r="H251" s="2">
        <v>0.336312</v>
      </c>
      <c r="I251" s="2">
        <v>0</v>
      </c>
      <c r="J251" s="5">
        <f t="shared" si="6"/>
        <v>4.3278600000000003</v>
      </c>
      <c r="K251" s="5">
        <f t="shared" si="7"/>
        <v>4.3278600000000003</v>
      </c>
      <c r="L251" s="6">
        <f>K251/'Quellen &amp; Annahmen'!$B$2</f>
        <v>3.9201314409693619E-5</v>
      </c>
      <c r="M251" s="7" t="s">
        <v>93</v>
      </c>
      <c r="N251" s="7" t="s">
        <v>94</v>
      </c>
    </row>
    <row r="252" spans="1:14" ht="18" customHeight="1">
      <c r="A252">
        <v>251</v>
      </c>
      <c r="B252" t="s">
        <v>337</v>
      </c>
      <c r="C252" t="s">
        <v>27</v>
      </c>
      <c r="D252" s="2">
        <v>0</v>
      </c>
      <c r="E252" s="2">
        <v>0</v>
      </c>
      <c r="F252" s="2">
        <v>0</v>
      </c>
      <c r="G252" s="2">
        <v>0</v>
      </c>
      <c r="H252" s="2">
        <v>1.0089359999999998</v>
      </c>
      <c r="I252" s="2">
        <v>3.3090159999999997</v>
      </c>
      <c r="J252" s="5">
        <f t="shared" si="6"/>
        <v>4.317952</v>
      </c>
      <c r="K252" s="5">
        <f t="shared" si="7"/>
        <v>4.317952</v>
      </c>
      <c r="L252" s="6">
        <f>K252/'Quellen &amp; Annahmen'!$B$2</f>
        <v>3.9111568756375064E-5</v>
      </c>
      <c r="M252" s="7" t="s">
        <v>179</v>
      </c>
      <c r="N252" s="7" t="s">
        <v>180</v>
      </c>
    </row>
    <row r="253" spans="1:14" ht="18" customHeight="1">
      <c r="A253">
        <v>252</v>
      </c>
      <c r="B253" t="s">
        <v>338</v>
      </c>
      <c r="C253" t="s">
        <v>33</v>
      </c>
      <c r="D253" s="2">
        <v>0</v>
      </c>
      <c r="E253" s="2">
        <v>0</v>
      </c>
      <c r="F253" s="2">
        <v>0</v>
      </c>
      <c r="G253" s="2">
        <v>0</v>
      </c>
      <c r="H253" s="2">
        <v>1.6815600000000002</v>
      </c>
      <c r="I253" s="2">
        <v>2.6243920000000003</v>
      </c>
      <c r="J253" s="5">
        <f t="shared" si="6"/>
        <v>4.3059520000000004</v>
      </c>
      <c r="K253" s="5">
        <f t="shared" si="7"/>
        <v>4.3059520000000004</v>
      </c>
      <c r="L253" s="6">
        <f>K253/'Quellen &amp; Annahmen'!$B$2</f>
        <v>3.900287398045433E-5</v>
      </c>
      <c r="M253" s="7" t="s">
        <v>179</v>
      </c>
      <c r="N253" s="7" t="s">
        <v>180</v>
      </c>
    </row>
    <row r="254" spans="1:14" ht="18" customHeight="1">
      <c r="A254">
        <v>253</v>
      </c>
      <c r="B254" t="s">
        <v>339</v>
      </c>
      <c r="C254" t="s">
        <v>41</v>
      </c>
      <c r="D254" s="2">
        <v>0</v>
      </c>
      <c r="E254" s="2">
        <v>0</v>
      </c>
      <c r="F254" s="2">
        <v>0</v>
      </c>
      <c r="G254" s="2">
        <v>0</v>
      </c>
      <c r="H254" s="2">
        <v>2.0178719999999997</v>
      </c>
      <c r="I254" s="2">
        <v>2.2820800000000001</v>
      </c>
      <c r="J254" s="5">
        <f t="shared" si="6"/>
        <v>4.2999519999999993</v>
      </c>
      <c r="K254" s="5">
        <f t="shared" si="7"/>
        <v>4.2999519999999993</v>
      </c>
      <c r="L254" s="6">
        <f>K254/'Quellen &amp; Annahmen'!$B$2</f>
        <v>3.8948526592493949E-5</v>
      </c>
      <c r="M254" s="7" t="s">
        <v>179</v>
      </c>
      <c r="N254" s="7" t="s">
        <v>180</v>
      </c>
    </row>
    <row r="255" spans="1:14" ht="18" customHeight="1">
      <c r="A255">
        <v>254</v>
      </c>
      <c r="B255" t="s">
        <v>340</v>
      </c>
      <c r="C255" t="s">
        <v>25</v>
      </c>
      <c r="D255" s="2">
        <v>0</v>
      </c>
      <c r="E255" s="2">
        <v>0</v>
      </c>
      <c r="F255" s="2">
        <v>0</v>
      </c>
      <c r="G255" s="2">
        <v>0</v>
      </c>
      <c r="H255" s="2">
        <v>1.0089359999999998</v>
      </c>
      <c r="I255" s="2">
        <v>3.194912</v>
      </c>
      <c r="J255" s="5">
        <f t="shared" si="6"/>
        <v>4.2038479999999998</v>
      </c>
      <c r="K255" s="5">
        <f t="shared" si="7"/>
        <v>4.2038479999999998</v>
      </c>
      <c r="L255" s="6">
        <f>K255/'Quellen &amp; Annahmen'!$B$2</f>
        <v>3.8078026363736739E-5</v>
      </c>
      <c r="M255" s="7" t="s">
        <v>179</v>
      </c>
      <c r="N255" s="7" t="s">
        <v>180</v>
      </c>
    </row>
    <row r="256" spans="1:14" ht="18" customHeight="1">
      <c r="A256">
        <v>255</v>
      </c>
      <c r="B256" t="s">
        <v>341</v>
      </c>
      <c r="C256" t="s">
        <v>23</v>
      </c>
      <c r="D256" s="2">
        <v>0</v>
      </c>
      <c r="E256" s="2">
        <v>0</v>
      </c>
      <c r="F256" s="2">
        <v>0</v>
      </c>
      <c r="G256" s="2">
        <v>0</v>
      </c>
      <c r="H256" s="2">
        <v>1.345248</v>
      </c>
      <c r="I256" s="2">
        <v>2.8525999999999998</v>
      </c>
      <c r="J256" s="5">
        <f t="shared" si="6"/>
        <v>4.1978479999999996</v>
      </c>
      <c r="K256" s="5">
        <f t="shared" si="7"/>
        <v>4.1978479999999996</v>
      </c>
      <c r="L256" s="6">
        <f>K256/'Quellen &amp; Annahmen'!$B$2</f>
        <v>3.8023678975776371E-5</v>
      </c>
      <c r="M256" s="7" t="s">
        <v>179</v>
      </c>
      <c r="N256" s="7" t="s">
        <v>180</v>
      </c>
    </row>
    <row r="257" spans="1:14" ht="18" customHeight="1">
      <c r="A257">
        <v>256</v>
      </c>
      <c r="B257" t="s">
        <v>342</v>
      </c>
      <c r="C257" t="s">
        <v>33</v>
      </c>
      <c r="D257" s="2">
        <v>0</v>
      </c>
      <c r="E257" s="2">
        <v>0</v>
      </c>
      <c r="F257" s="2">
        <v>0</v>
      </c>
      <c r="G257" s="2">
        <v>0</v>
      </c>
      <c r="H257" s="2">
        <v>1.6815600000000002</v>
      </c>
      <c r="I257" s="2">
        <v>2.5102880000000001</v>
      </c>
      <c r="J257" s="5">
        <f t="shared" si="6"/>
        <v>4.1918480000000002</v>
      </c>
      <c r="K257" s="5">
        <f t="shared" si="7"/>
        <v>4.1918480000000002</v>
      </c>
      <c r="L257" s="6">
        <f>K257/'Quellen &amp; Annahmen'!$B$2</f>
        <v>3.7969331587816004E-5</v>
      </c>
      <c r="M257" s="7" t="s">
        <v>179</v>
      </c>
      <c r="N257" s="7" t="s">
        <v>180</v>
      </c>
    </row>
    <row r="258" spans="1:14" ht="18" customHeight="1">
      <c r="A258">
        <v>257</v>
      </c>
      <c r="B258" t="s">
        <v>343</v>
      </c>
      <c r="C258" t="s">
        <v>108</v>
      </c>
      <c r="D258" s="2">
        <v>0</v>
      </c>
      <c r="E258" s="2">
        <v>0</v>
      </c>
      <c r="F258" s="2">
        <v>0</v>
      </c>
      <c r="G258" s="2">
        <v>0</v>
      </c>
      <c r="H258" s="2">
        <v>1.6815600000000002</v>
      </c>
      <c r="I258" s="2">
        <v>2.5102880000000001</v>
      </c>
      <c r="J258" s="5">
        <f t="shared" ref="J258:J321" si="8">SUM(E258:I258)</f>
        <v>4.1918480000000002</v>
      </c>
      <c r="K258" s="5">
        <f t="shared" ref="K258:K321" si="9">D258+J258</f>
        <v>4.1918480000000002</v>
      </c>
      <c r="L258" s="6">
        <f>K258/'Quellen &amp; Annahmen'!$B$2</f>
        <v>3.7969331587816004E-5</v>
      </c>
      <c r="M258" s="7" t="s">
        <v>179</v>
      </c>
      <c r="N258" s="7" t="s">
        <v>180</v>
      </c>
    </row>
    <row r="259" spans="1:14" ht="18" customHeight="1">
      <c r="A259">
        <v>258</v>
      </c>
      <c r="B259" t="s">
        <v>344</v>
      </c>
      <c r="C259" t="s">
        <v>23</v>
      </c>
      <c r="D259" s="2">
        <v>0</v>
      </c>
      <c r="E259" s="2">
        <v>0</v>
      </c>
      <c r="F259" s="2">
        <v>0</v>
      </c>
      <c r="G259" s="2">
        <v>0</v>
      </c>
      <c r="H259" s="2">
        <v>2.3541840000000001</v>
      </c>
      <c r="I259" s="2">
        <v>1.825664</v>
      </c>
      <c r="J259" s="5">
        <f t="shared" si="8"/>
        <v>4.1798479999999998</v>
      </c>
      <c r="K259" s="5">
        <f t="shared" si="9"/>
        <v>4.1798479999999998</v>
      </c>
      <c r="L259" s="6">
        <f>K259/'Quellen &amp; Annahmen'!$B$2</f>
        <v>3.7860636811895262E-5</v>
      </c>
      <c r="M259" s="7" t="s">
        <v>179</v>
      </c>
      <c r="N259" s="7" t="s">
        <v>180</v>
      </c>
    </row>
    <row r="260" spans="1:14" ht="18" customHeight="1">
      <c r="A260">
        <v>259</v>
      </c>
      <c r="B260" t="s">
        <v>345</v>
      </c>
      <c r="C260" t="s">
        <v>25</v>
      </c>
      <c r="D260" s="2">
        <v>0</v>
      </c>
      <c r="E260" s="2">
        <v>0</v>
      </c>
      <c r="F260" s="2">
        <v>0</v>
      </c>
      <c r="G260" s="2">
        <v>0</v>
      </c>
      <c r="H260" s="2">
        <v>0.672624</v>
      </c>
      <c r="I260" s="2">
        <v>3.4231199999999995</v>
      </c>
      <c r="J260" s="5">
        <f t="shared" si="8"/>
        <v>4.0957439999999998</v>
      </c>
      <c r="K260" s="5">
        <f t="shared" si="9"/>
        <v>4.0957439999999998</v>
      </c>
      <c r="L260" s="6">
        <f>K260/'Quellen &amp; Annahmen'!$B$2</f>
        <v>3.7098831359058787E-5</v>
      </c>
      <c r="M260" s="7" t="s">
        <v>179</v>
      </c>
      <c r="N260" s="7" t="s">
        <v>180</v>
      </c>
    </row>
    <row r="261" spans="1:14" ht="18" customHeight="1">
      <c r="A261">
        <v>260</v>
      </c>
      <c r="B261" t="s">
        <v>346</v>
      </c>
      <c r="C261" t="s">
        <v>25</v>
      </c>
      <c r="D261" s="2">
        <v>0</v>
      </c>
      <c r="E261" s="2">
        <v>0</v>
      </c>
      <c r="F261" s="2">
        <v>0</v>
      </c>
      <c r="G261" s="2">
        <v>0</v>
      </c>
      <c r="H261" s="2">
        <v>0.672624</v>
      </c>
      <c r="I261" s="2">
        <v>3.4231199999999995</v>
      </c>
      <c r="J261" s="5">
        <f t="shared" si="8"/>
        <v>4.0957439999999998</v>
      </c>
      <c r="K261" s="5">
        <f t="shared" si="9"/>
        <v>4.0957439999999998</v>
      </c>
      <c r="L261" s="6">
        <f>K261/'Quellen &amp; Annahmen'!$B$2</f>
        <v>3.7098831359058787E-5</v>
      </c>
      <c r="M261" s="7" t="s">
        <v>179</v>
      </c>
      <c r="N261" s="7" t="s">
        <v>180</v>
      </c>
    </row>
    <row r="262" spans="1:14" ht="18" customHeight="1">
      <c r="A262">
        <v>261</v>
      </c>
      <c r="B262" t="s">
        <v>347</v>
      </c>
      <c r="C262" t="s">
        <v>50</v>
      </c>
      <c r="D262" s="2">
        <v>0</v>
      </c>
      <c r="E262" s="2">
        <v>0</v>
      </c>
      <c r="F262" s="2">
        <v>0</v>
      </c>
      <c r="G262" s="2">
        <v>0</v>
      </c>
      <c r="H262" s="2">
        <v>0.672624</v>
      </c>
      <c r="I262" s="2">
        <v>3.4231199999999995</v>
      </c>
      <c r="J262" s="5">
        <f t="shared" si="8"/>
        <v>4.0957439999999998</v>
      </c>
      <c r="K262" s="5">
        <f t="shared" si="9"/>
        <v>4.0957439999999998</v>
      </c>
      <c r="L262" s="6">
        <f>K262/'Quellen &amp; Annahmen'!$B$2</f>
        <v>3.7098831359058787E-5</v>
      </c>
      <c r="M262" s="7" t="s">
        <v>179</v>
      </c>
      <c r="N262" s="7" t="s">
        <v>180</v>
      </c>
    </row>
    <row r="263" spans="1:14" ht="18" customHeight="1">
      <c r="A263">
        <v>262</v>
      </c>
      <c r="B263" t="s">
        <v>348</v>
      </c>
      <c r="C263" t="s">
        <v>108</v>
      </c>
      <c r="D263" s="2">
        <v>0</v>
      </c>
      <c r="E263" s="2">
        <v>0</v>
      </c>
      <c r="F263" s="2">
        <v>0</v>
      </c>
      <c r="G263" s="2">
        <v>0</v>
      </c>
      <c r="H263" s="2">
        <v>1.0089359999999998</v>
      </c>
      <c r="I263" s="2">
        <v>3.0808080000000002</v>
      </c>
      <c r="J263" s="5">
        <f t="shared" si="8"/>
        <v>4.0897439999999996</v>
      </c>
      <c r="K263" s="5">
        <f t="shared" si="9"/>
        <v>4.0897439999999996</v>
      </c>
      <c r="L263" s="6">
        <f>K263/'Quellen &amp; Annahmen'!$B$2</f>
        <v>3.704448397109842E-5</v>
      </c>
      <c r="M263" s="7" t="s">
        <v>179</v>
      </c>
      <c r="N263" s="7" t="s">
        <v>180</v>
      </c>
    </row>
    <row r="264" spans="1:14" ht="18" customHeight="1">
      <c r="A264">
        <v>263</v>
      </c>
      <c r="B264" t="s">
        <v>349</v>
      </c>
      <c r="C264" t="s">
        <v>108</v>
      </c>
      <c r="D264" s="2">
        <v>0</v>
      </c>
      <c r="E264" s="2">
        <v>0</v>
      </c>
      <c r="F264" s="2">
        <v>0</v>
      </c>
      <c r="G264" s="2">
        <v>0</v>
      </c>
      <c r="H264" s="2">
        <v>1.345248</v>
      </c>
      <c r="I264" s="2">
        <v>2.738496</v>
      </c>
      <c r="J264" s="5">
        <f t="shared" si="8"/>
        <v>4.0837440000000003</v>
      </c>
      <c r="K264" s="5">
        <f t="shared" si="9"/>
        <v>4.0837440000000003</v>
      </c>
      <c r="L264" s="6">
        <f>K264/'Quellen &amp; Annahmen'!$B$2</f>
        <v>3.6990136583138052E-5</v>
      </c>
      <c r="M264" s="7" t="s">
        <v>179</v>
      </c>
      <c r="N264" s="7" t="s">
        <v>180</v>
      </c>
    </row>
    <row r="265" spans="1:14" ht="18" customHeight="1">
      <c r="A265">
        <v>264</v>
      </c>
      <c r="B265" t="s">
        <v>350</v>
      </c>
      <c r="C265" t="s">
        <v>25</v>
      </c>
      <c r="D265" s="2">
        <v>0</v>
      </c>
      <c r="E265" s="2">
        <v>0</v>
      </c>
      <c r="F265" s="2">
        <v>0</v>
      </c>
      <c r="G265" s="2">
        <v>0</v>
      </c>
      <c r="H265" s="2">
        <v>1.345248</v>
      </c>
      <c r="I265" s="2">
        <v>2.738496</v>
      </c>
      <c r="J265" s="5">
        <f t="shared" si="8"/>
        <v>4.0837440000000003</v>
      </c>
      <c r="K265" s="5">
        <f t="shared" si="9"/>
        <v>4.0837440000000003</v>
      </c>
      <c r="L265" s="6">
        <f>K265/'Quellen &amp; Annahmen'!$B$2</f>
        <v>3.6990136583138052E-5</v>
      </c>
      <c r="M265" s="7" t="s">
        <v>179</v>
      </c>
      <c r="N265" s="7" t="s">
        <v>180</v>
      </c>
    </row>
    <row r="266" spans="1:14" ht="18" customHeight="1">
      <c r="A266">
        <v>265</v>
      </c>
      <c r="B266" t="s">
        <v>351</v>
      </c>
      <c r="C266" t="s">
        <v>23</v>
      </c>
      <c r="D266" s="2">
        <v>0</v>
      </c>
      <c r="E266" s="2">
        <v>0</v>
      </c>
      <c r="F266" s="2">
        <v>0</v>
      </c>
      <c r="G266" s="2">
        <v>0</v>
      </c>
      <c r="H266" s="2">
        <v>4.0357439999999993</v>
      </c>
      <c r="I266" s="2">
        <v>0</v>
      </c>
      <c r="J266" s="5">
        <f t="shared" si="8"/>
        <v>4.0357439999999993</v>
      </c>
      <c r="K266" s="5">
        <f t="shared" si="9"/>
        <v>4.0357439999999993</v>
      </c>
      <c r="L266" s="6">
        <f>K266/'Quellen &amp; Annahmen'!$B$2</f>
        <v>3.6555357479455093E-5</v>
      </c>
      <c r="M266" s="7" t="s">
        <v>187</v>
      </c>
      <c r="N266" s="7" t="s">
        <v>188</v>
      </c>
    </row>
    <row r="267" spans="1:14" ht="18" customHeight="1">
      <c r="A267">
        <v>266</v>
      </c>
      <c r="B267" t="s">
        <v>352</v>
      </c>
      <c r="C267" t="s">
        <v>50</v>
      </c>
      <c r="D267" s="2">
        <v>0</v>
      </c>
      <c r="E267" s="2">
        <v>0</v>
      </c>
      <c r="F267" s="2">
        <v>0</v>
      </c>
      <c r="G267" s="2">
        <v>0</v>
      </c>
      <c r="H267" s="2">
        <v>4.0357439999999993</v>
      </c>
      <c r="I267" s="2">
        <v>0</v>
      </c>
      <c r="J267" s="5">
        <f t="shared" si="8"/>
        <v>4.0357439999999993</v>
      </c>
      <c r="K267" s="5">
        <f t="shared" si="9"/>
        <v>4.0357439999999993</v>
      </c>
      <c r="L267" s="6">
        <f>K267/'Quellen &amp; Annahmen'!$B$2</f>
        <v>3.6555357479455093E-5</v>
      </c>
      <c r="M267" s="7" t="s">
        <v>187</v>
      </c>
      <c r="N267" s="7" t="s">
        <v>188</v>
      </c>
    </row>
    <row r="268" spans="1:14" ht="18" customHeight="1">
      <c r="A268">
        <v>267</v>
      </c>
      <c r="B268" t="s">
        <v>353</v>
      </c>
      <c r="C268" t="s">
        <v>50</v>
      </c>
      <c r="D268" s="2">
        <v>0</v>
      </c>
      <c r="E268" s="2">
        <v>0</v>
      </c>
      <c r="F268" s="2">
        <v>0</v>
      </c>
      <c r="G268" s="2">
        <v>0</v>
      </c>
      <c r="H268" s="2">
        <v>4.0357439999999993</v>
      </c>
      <c r="I268" s="2">
        <v>0</v>
      </c>
      <c r="J268" s="5">
        <f t="shared" si="8"/>
        <v>4.0357439999999993</v>
      </c>
      <c r="K268" s="5">
        <f t="shared" si="9"/>
        <v>4.0357439999999993</v>
      </c>
      <c r="L268" s="6">
        <f>K268/'Quellen &amp; Annahmen'!$B$2</f>
        <v>3.6555357479455093E-5</v>
      </c>
      <c r="M268" s="7" t="s">
        <v>187</v>
      </c>
      <c r="N268" s="7" t="s">
        <v>188</v>
      </c>
    </row>
    <row r="269" spans="1:14" ht="18" customHeight="1">
      <c r="A269">
        <v>268</v>
      </c>
      <c r="B269" t="s">
        <v>354</v>
      </c>
      <c r="C269" t="s">
        <v>253</v>
      </c>
      <c r="D269" s="2">
        <v>0</v>
      </c>
      <c r="E269" s="2">
        <v>0</v>
      </c>
      <c r="F269" s="2">
        <v>0</v>
      </c>
      <c r="G269" s="2">
        <v>0</v>
      </c>
      <c r="H269" s="2">
        <v>4.0357439999999993</v>
      </c>
      <c r="I269" s="2">
        <v>0</v>
      </c>
      <c r="J269" s="5">
        <f t="shared" si="8"/>
        <v>4.0357439999999993</v>
      </c>
      <c r="K269" s="5">
        <f t="shared" si="9"/>
        <v>4.0357439999999993</v>
      </c>
      <c r="L269" s="6">
        <f>K269/'Quellen &amp; Annahmen'!$B$2</f>
        <v>3.6555357479455093E-5</v>
      </c>
      <c r="M269" s="7" t="s">
        <v>187</v>
      </c>
      <c r="N269" s="7" t="s">
        <v>188</v>
      </c>
    </row>
    <row r="270" spans="1:14" ht="18" customHeight="1">
      <c r="A270">
        <v>269</v>
      </c>
      <c r="B270" t="s">
        <v>355</v>
      </c>
      <c r="C270" t="s">
        <v>25</v>
      </c>
      <c r="D270" s="2">
        <v>0</v>
      </c>
      <c r="E270" s="2">
        <v>0</v>
      </c>
      <c r="F270" s="2">
        <v>0</v>
      </c>
      <c r="G270" s="2">
        <v>0</v>
      </c>
      <c r="H270" s="2">
        <v>4.0357439999999993</v>
      </c>
      <c r="I270" s="2">
        <v>0</v>
      </c>
      <c r="J270" s="5">
        <f t="shared" si="8"/>
        <v>4.0357439999999993</v>
      </c>
      <c r="K270" s="5">
        <f t="shared" si="9"/>
        <v>4.0357439999999993</v>
      </c>
      <c r="L270" s="6">
        <f>K270/'Quellen &amp; Annahmen'!$B$2</f>
        <v>3.6555357479455093E-5</v>
      </c>
      <c r="M270" s="7" t="s">
        <v>187</v>
      </c>
      <c r="N270" s="7" t="s">
        <v>188</v>
      </c>
    </row>
    <row r="271" spans="1:14" ht="18" customHeight="1">
      <c r="A271">
        <v>270</v>
      </c>
      <c r="B271" t="s">
        <v>356</v>
      </c>
      <c r="C271" t="s">
        <v>33</v>
      </c>
      <c r="D271" s="2">
        <v>0</v>
      </c>
      <c r="E271" s="2">
        <v>0</v>
      </c>
      <c r="F271" s="2">
        <v>0</v>
      </c>
      <c r="G271" s="2">
        <v>0</v>
      </c>
      <c r="H271" s="2">
        <v>4.0357439999999993</v>
      </c>
      <c r="I271" s="2">
        <v>0</v>
      </c>
      <c r="J271" s="5">
        <f t="shared" si="8"/>
        <v>4.0357439999999993</v>
      </c>
      <c r="K271" s="5">
        <f t="shared" si="9"/>
        <v>4.0357439999999993</v>
      </c>
      <c r="L271" s="6">
        <f>K271/'Quellen &amp; Annahmen'!$B$2</f>
        <v>3.6555357479455093E-5</v>
      </c>
      <c r="M271" s="7" t="s">
        <v>187</v>
      </c>
      <c r="N271" s="7" t="s">
        <v>188</v>
      </c>
    </row>
    <row r="272" spans="1:14" ht="18" customHeight="1">
      <c r="A272">
        <v>271</v>
      </c>
      <c r="B272" t="s">
        <v>357</v>
      </c>
      <c r="C272" t="s">
        <v>50</v>
      </c>
      <c r="D272" s="2">
        <v>0</v>
      </c>
      <c r="E272" s="2">
        <v>0</v>
      </c>
      <c r="F272" s="2">
        <v>0</v>
      </c>
      <c r="G272" s="2">
        <v>0</v>
      </c>
      <c r="H272" s="2">
        <v>4.0357439999999993</v>
      </c>
      <c r="I272" s="2">
        <v>0</v>
      </c>
      <c r="J272" s="5">
        <f t="shared" si="8"/>
        <v>4.0357439999999993</v>
      </c>
      <c r="K272" s="5">
        <f t="shared" si="9"/>
        <v>4.0357439999999993</v>
      </c>
      <c r="L272" s="6">
        <f>K272/'Quellen &amp; Annahmen'!$B$2</f>
        <v>3.6555357479455093E-5</v>
      </c>
      <c r="M272" s="7" t="s">
        <v>187</v>
      </c>
      <c r="N272" s="7" t="s">
        <v>188</v>
      </c>
    </row>
    <row r="273" spans="1:14" ht="18" customHeight="1">
      <c r="A273">
        <v>272</v>
      </c>
      <c r="B273" t="s">
        <v>358</v>
      </c>
      <c r="C273" t="s">
        <v>50</v>
      </c>
      <c r="D273" s="2">
        <v>0</v>
      </c>
      <c r="E273" s="2">
        <v>0</v>
      </c>
      <c r="F273" s="2">
        <v>0</v>
      </c>
      <c r="G273" s="2">
        <v>0</v>
      </c>
      <c r="H273" s="2">
        <v>4.0357439999999993</v>
      </c>
      <c r="I273" s="2">
        <v>0</v>
      </c>
      <c r="J273" s="5">
        <f t="shared" si="8"/>
        <v>4.0357439999999993</v>
      </c>
      <c r="K273" s="5">
        <f t="shared" si="9"/>
        <v>4.0357439999999993</v>
      </c>
      <c r="L273" s="6">
        <f>K273/'Quellen &amp; Annahmen'!$B$2</f>
        <v>3.6555357479455093E-5</v>
      </c>
      <c r="M273" s="7" t="s">
        <v>187</v>
      </c>
      <c r="N273" s="7" t="s">
        <v>188</v>
      </c>
    </row>
    <row r="274" spans="1:14" ht="18" customHeight="1">
      <c r="A274">
        <v>273</v>
      </c>
      <c r="B274" t="s">
        <v>359</v>
      </c>
      <c r="C274" t="s">
        <v>27</v>
      </c>
      <c r="D274" s="2">
        <v>0</v>
      </c>
      <c r="E274" s="2">
        <v>0</v>
      </c>
      <c r="F274" s="2">
        <v>0</v>
      </c>
      <c r="G274" s="2">
        <v>0</v>
      </c>
      <c r="H274" s="2">
        <v>4.0357439999999993</v>
      </c>
      <c r="I274" s="2">
        <v>0</v>
      </c>
      <c r="J274" s="5">
        <f t="shared" si="8"/>
        <v>4.0357439999999993</v>
      </c>
      <c r="K274" s="5">
        <f t="shared" si="9"/>
        <v>4.0357439999999993</v>
      </c>
      <c r="L274" s="6">
        <f>K274/'Quellen &amp; Annahmen'!$B$2</f>
        <v>3.6555357479455093E-5</v>
      </c>
      <c r="M274" s="7" t="s">
        <v>187</v>
      </c>
      <c r="N274" s="7" t="s">
        <v>188</v>
      </c>
    </row>
    <row r="275" spans="1:14" ht="18" customHeight="1">
      <c r="A275">
        <v>274</v>
      </c>
      <c r="B275" t="s">
        <v>360</v>
      </c>
      <c r="C275" t="s">
        <v>23</v>
      </c>
      <c r="D275" s="2">
        <v>0</v>
      </c>
      <c r="E275" s="2">
        <v>0</v>
      </c>
      <c r="F275" s="2">
        <v>0</v>
      </c>
      <c r="G275" s="2">
        <v>0</v>
      </c>
      <c r="H275" s="2">
        <v>4.0357439999999993</v>
      </c>
      <c r="I275" s="2">
        <v>0</v>
      </c>
      <c r="J275" s="5">
        <f t="shared" si="8"/>
        <v>4.0357439999999993</v>
      </c>
      <c r="K275" s="5">
        <f t="shared" si="9"/>
        <v>4.0357439999999993</v>
      </c>
      <c r="L275" s="6">
        <f>K275/'Quellen &amp; Annahmen'!$B$2</f>
        <v>3.6555357479455093E-5</v>
      </c>
      <c r="M275" s="7" t="s">
        <v>187</v>
      </c>
      <c r="N275" s="7" t="s">
        <v>188</v>
      </c>
    </row>
    <row r="276" spans="1:14" ht="18" customHeight="1">
      <c r="A276">
        <v>275</v>
      </c>
      <c r="B276" t="s">
        <v>361</v>
      </c>
      <c r="C276" t="s">
        <v>25</v>
      </c>
      <c r="D276" s="2">
        <v>0</v>
      </c>
      <c r="E276" s="2">
        <v>0</v>
      </c>
      <c r="F276" s="2">
        <v>0</v>
      </c>
      <c r="G276" s="2">
        <v>0</v>
      </c>
      <c r="H276" s="2">
        <v>1.0089359999999998</v>
      </c>
      <c r="I276" s="2">
        <v>2.9667039999999996</v>
      </c>
      <c r="J276" s="5">
        <f t="shared" si="8"/>
        <v>3.9756399999999994</v>
      </c>
      <c r="K276" s="5">
        <f t="shared" si="9"/>
        <v>3.9756399999999994</v>
      </c>
      <c r="L276" s="6">
        <f>K276/'Quellen &amp; Annahmen'!$B$2</f>
        <v>3.6010941578460094E-5</v>
      </c>
      <c r="M276" s="7" t="s">
        <v>179</v>
      </c>
      <c r="N276" s="7" t="s">
        <v>180</v>
      </c>
    </row>
    <row r="277" spans="1:14" ht="18" customHeight="1">
      <c r="A277">
        <v>276</v>
      </c>
      <c r="B277" t="s">
        <v>362</v>
      </c>
      <c r="C277" t="s">
        <v>108</v>
      </c>
      <c r="D277" s="2">
        <v>0</v>
      </c>
      <c r="E277" s="2">
        <v>0</v>
      </c>
      <c r="F277" s="2">
        <v>0</v>
      </c>
      <c r="G277" s="2">
        <v>0</v>
      </c>
      <c r="H277" s="2">
        <v>1.6815600000000002</v>
      </c>
      <c r="I277" s="2">
        <v>2.2820800000000001</v>
      </c>
      <c r="J277" s="5">
        <f t="shared" si="8"/>
        <v>3.9636400000000003</v>
      </c>
      <c r="K277" s="5">
        <f t="shared" si="9"/>
        <v>3.9636400000000003</v>
      </c>
      <c r="L277" s="6">
        <f>K277/'Quellen &amp; Annahmen'!$B$2</f>
        <v>3.5902246802539366E-5</v>
      </c>
      <c r="M277" s="7" t="s">
        <v>179</v>
      </c>
      <c r="N277" s="7" t="s">
        <v>180</v>
      </c>
    </row>
    <row r="278" spans="1:14" ht="18" customHeight="1">
      <c r="A278">
        <v>277</v>
      </c>
      <c r="B278" t="s">
        <v>363</v>
      </c>
      <c r="C278" t="s">
        <v>124</v>
      </c>
      <c r="D278" s="2">
        <v>0</v>
      </c>
      <c r="E278" s="2">
        <v>0</v>
      </c>
      <c r="F278" s="2">
        <v>0</v>
      </c>
      <c r="G278" s="2">
        <v>0</v>
      </c>
      <c r="H278" s="2">
        <v>1.6815600000000002</v>
      </c>
      <c r="I278" s="2">
        <v>2.2820800000000001</v>
      </c>
      <c r="J278" s="5">
        <f t="shared" si="8"/>
        <v>3.9636400000000003</v>
      </c>
      <c r="K278" s="5">
        <f t="shared" si="9"/>
        <v>3.9636400000000003</v>
      </c>
      <c r="L278" s="6">
        <f>K278/'Quellen &amp; Annahmen'!$B$2</f>
        <v>3.5902246802539366E-5</v>
      </c>
      <c r="M278" s="7" t="s">
        <v>179</v>
      </c>
      <c r="N278" s="7" t="s">
        <v>180</v>
      </c>
    </row>
    <row r="279" spans="1:14" ht="18" customHeight="1">
      <c r="A279">
        <v>278</v>
      </c>
      <c r="B279" t="s">
        <v>364</v>
      </c>
      <c r="C279" t="s">
        <v>23</v>
      </c>
      <c r="D279" s="2">
        <v>0</v>
      </c>
      <c r="E279" s="2">
        <v>0</v>
      </c>
      <c r="F279" s="2">
        <v>0</v>
      </c>
      <c r="G279" s="2">
        <v>0</v>
      </c>
      <c r="H279" s="2">
        <v>2.3541840000000001</v>
      </c>
      <c r="I279" s="2">
        <v>1.597456</v>
      </c>
      <c r="J279" s="5">
        <f t="shared" si="8"/>
        <v>3.9516400000000003</v>
      </c>
      <c r="K279" s="5">
        <f t="shared" si="9"/>
        <v>3.9516400000000003</v>
      </c>
      <c r="L279" s="6">
        <f>K279/'Quellen &amp; Annahmen'!$B$2</f>
        <v>3.5793552026618631E-5</v>
      </c>
      <c r="M279" s="7" t="s">
        <v>179</v>
      </c>
      <c r="N279" s="7" t="s">
        <v>180</v>
      </c>
    </row>
    <row r="280" spans="1:14" ht="18" customHeight="1">
      <c r="A280">
        <v>279</v>
      </c>
      <c r="B280" t="s">
        <v>365</v>
      </c>
      <c r="C280" t="s">
        <v>38</v>
      </c>
      <c r="D280" s="2">
        <v>0</v>
      </c>
      <c r="E280" s="2">
        <v>0</v>
      </c>
      <c r="F280" s="2">
        <v>0</v>
      </c>
      <c r="G280" s="2">
        <v>0</v>
      </c>
      <c r="H280" s="2">
        <v>1.0089359999999998</v>
      </c>
      <c r="I280" s="2">
        <v>2.8525999999999998</v>
      </c>
      <c r="J280" s="5">
        <f t="shared" si="8"/>
        <v>3.8615359999999996</v>
      </c>
      <c r="K280" s="5">
        <f t="shared" si="9"/>
        <v>3.8615359999999996</v>
      </c>
      <c r="L280" s="6">
        <f>K280/'Quellen &amp; Annahmen'!$B$2</f>
        <v>3.4977399185821775E-5</v>
      </c>
      <c r="M280" s="7" t="s">
        <v>179</v>
      </c>
      <c r="N280" s="7" t="s">
        <v>180</v>
      </c>
    </row>
    <row r="281" spans="1:14" ht="18" customHeight="1">
      <c r="A281">
        <v>280</v>
      </c>
      <c r="B281" t="s">
        <v>366</v>
      </c>
      <c r="C281" t="s">
        <v>263</v>
      </c>
      <c r="D281" s="2">
        <v>0</v>
      </c>
      <c r="E281" s="2">
        <v>0</v>
      </c>
      <c r="F281" s="2">
        <v>0</v>
      </c>
      <c r="G281" s="2">
        <v>0</v>
      </c>
      <c r="H281" s="2">
        <v>1.0089359999999998</v>
      </c>
      <c r="I281" s="2">
        <v>2.8525999999999998</v>
      </c>
      <c r="J281" s="5">
        <f t="shared" si="8"/>
        <v>3.8615359999999996</v>
      </c>
      <c r="K281" s="5">
        <f t="shared" si="9"/>
        <v>3.8615359999999996</v>
      </c>
      <c r="L281" s="6">
        <f>K281/'Quellen &amp; Annahmen'!$B$2</f>
        <v>3.4977399185821775E-5</v>
      </c>
      <c r="M281" s="7" t="s">
        <v>179</v>
      </c>
      <c r="N281" s="7" t="s">
        <v>180</v>
      </c>
    </row>
    <row r="282" spans="1:14" ht="18" customHeight="1">
      <c r="A282">
        <v>281</v>
      </c>
      <c r="B282" t="s">
        <v>367</v>
      </c>
      <c r="C282" t="s">
        <v>25</v>
      </c>
      <c r="D282" s="2">
        <v>0</v>
      </c>
      <c r="E282" s="2">
        <v>0</v>
      </c>
      <c r="F282" s="2">
        <v>0</v>
      </c>
      <c r="G282" s="2">
        <v>0</v>
      </c>
      <c r="H282" s="2">
        <v>1.345248</v>
      </c>
      <c r="I282" s="2">
        <v>2.5102880000000001</v>
      </c>
      <c r="J282" s="5">
        <f t="shared" si="8"/>
        <v>3.8555359999999999</v>
      </c>
      <c r="K282" s="5">
        <f t="shared" si="9"/>
        <v>3.8555359999999999</v>
      </c>
      <c r="L282" s="6">
        <f>K282/'Quellen &amp; Annahmen'!$B$2</f>
        <v>3.4923051797861408E-5</v>
      </c>
      <c r="M282" s="7" t="s">
        <v>179</v>
      </c>
      <c r="N282" s="7" t="s">
        <v>180</v>
      </c>
    </row>
    <row r="283" spans="1:14" ht="18" customHeight="1">
      <c r="A283">
        <v>282</v>
      </c>
      <c r="B283" t="s">
        <v>368</v>
      </c>
      <c r="C283" t="s">
        <v>33</v>
      </c>
      <c r="D283" s="2">
        <v>0</v>
      </c>
      <c r="E283" s="2">
        <v>0</v>
      </c>
      <c r="F283" s="2">
        <v>0</v>
      </c>
      <c r="G283" s="2">
        <v>0</v>
      </c>
      <c r="H283" s="2">
        <v>1.345248</v>
      </c>
      <c r="I283" s="2">
        <v>2.5102880000000001</v>
      </c>
      <c r="J283" s="5">
        <f t="shared" si="8"/>
        <v>3.8555359999999999</v>
      </c>
      <c r="K283" s="5">
        <f t="shared" si="9"/>
        <v>3.8555359999999999</v>
      </c>
      <c r="L283" s="6">
        <f>K283/'Quellen &amp; Annahmen'!$B$2</f>
        <v>3.4923051797861408E-5</v>
      </c>
      <c r="M283" s="7" t="s">
        <v>179</v>
      </c>
      <c r="N283" s="7" t="s">
        <v>180</v>
      </c>
    </row>
    <row r="284" spans="1:14" ht="18" customHeight="1">
      <c r="A284">
        <v>283</v>
      </c>
      <c r="B284" t="s">
        <v>369</v>
      </c>
      <c r="C284" t="s">
        <v>124</v>
      </c>
      <c r="D284" s="2">
        <v>0</v>
      </c>
      <c r="E284" s="2">
        <v>0</v>
      </c>
      <c r="F284" s="2">
        <v>0</v>
      </c>
      <c r="G284" s="2">
        <v>0</v>
      </c>
      <c r="H284" s="2">
        <v>1.6815600000000002</v>
      </c>
      <c r="I284" s="2">
        <v>2.1679759999999999</v>
      </c>
      <c r="J284" s="5">
        <f t="shared" si="8"/>
        <v>3.8495360000000001</v>
      </c>
      <c r="K284" s="5">
        <f t="shared" si="9"/>
        <v>3.8495360000000001</v>
      </c>
      <c r="L284" s="6">
        <f>K284/'Quellen &amp; Annahmen'!$B$2</f>
        <v>3.4868704409901047E-5</v>
      </c>
      <c r="M284" s="7" t="s">
        <v>179</v>
      </c>
      <c r="N284" s="7" t="s">
        <v>180</v>
      </c>
    </row>
    <row r="285" spans="1:14" ht="18" customHeight="1">
      <c r="A285">
        <v>284</v>
      </c>
      <c r="B285" t="s">
        <v>370</v>
      </c>
      <c r="C285" t="s">
        <v>23</v>
      </c>
      <c r="D285" s="2">
        <v>0</v>
      </c>
      <c r="E285" s="2">
        <v>0</v>
      </c>
      <c r="F285" s="2">
        <v>0</v>
      </c>
      <c r="G285" s="2">
        <v>0</v>
      </c>
      <c r="H285" s="2">
        <v>1.6815600000000002</v>
      </c>
      <c r="I285" s="2">
        <v>2.1679759999999999</v>
      </c>
      <c r="J285" s="5">
        <f t="shared" si="8"/>
        <v>3.8495360000000001</v>
      </c>
      <c r="K285" s="5">
        <f t="shared" si="9"/>
        <v>3.8495360000000001</v>
      </c>
      <c r="L285" s="6">
        <f>K285/'Quellen &amp; Annahmen'!$B$2</f>
        <v>3.4868704409901047E-5</v>
      </c>
      <c r="M285" s="7" t="s">
        <v>179</v>
      </c>
      <c r="N285" s="7" t="s">
        <v>180</v>
      </c>
    </row>
    <row r="286" spans="1:14" ht="18" customHeight="1">
      <c r="A286">
        <v>285</v>
      </c>
      <c r="B286" t="s">
        <v>371</v>
      </c>
      <c r="C286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3.6994319999999998</v>
      </c>
      <c r="I286" s="2">
        <v>0</v>
      </c>
      <c r="J286" s="5">
        <f t="shared" si="8"/>
        <v>3.6994319999999998</v>
      </c>
      <c r="K286" s="5">
        <f t="shared" si="9"/>
        <v>3.6994319999999998</v>
      </c>
      <c r="L286" s="6">
        <f>K286/'Quellen &amp; Annahmen'!$B$2</f>
        <v>3.3509077689500511E-5</v>
      </c>
      <c r="M286" s="7" t="s">
        <v>187</v>
      </c>
      <c r="N286" s="7" t="s">
        <v>188</v>
      </c>
    </row>
    <row r="287" spans="1:14" ht="18" customHeight="1">
      <c r="A287">
        <v>286</v>
      </c>
      <c r="B287" t="s">
        <v>372</v>
      </c>
      <c r="C287" t="s">
        <v>25</v>
      </c>
      <c r="D287" s="2">
        <v>0</v>
      </c>
      <c r="E287" s="2">
        <v>0</v>
      </c>
      <c r="F287" s="2">
        <v>0</v>
      </c>
      <c r="G287" s="2">
        <v>0</v>
      </c>
      <c r="H287" s="2">
        <v>3.6994319999999998</v>
      </c>
      <c r="I287" s="2">
        <v>0</v>
      </c>
      <c r="J287" s="5">
        <f t="shared" si="8"/>
        <v>3.6994319999999998</v>
      </c>
      <c r="K287" s="5">
        <f t="shared" si="9"/>
        <v>3.6994319999999998</v>
      </c>
      <c r="L287" s="6">
        <f>K287/'Quellen &amp; Annahmen'!$B$2</f>
        <v>3.3509077689500511E-5</v>
      </c>
      <c r="M287" s="7" t="s">
        <v>187</v>
      </c>
      <c r="N287" s="7" t="s">
        <v>188</v>
      </c>
    </row>
    <row r="288" spans="1:14" ht="18" customHeight="1">
      <c r="A288">
        <v>287</v>
      </c>
      <c r="B288" t="s">
        <v>373</v>
      </c>
      <c r="C288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3.6994319999999998</v>
      </c>
      <c r="I288" s="2">
        <v>0</v>
      </c>
      <c r="J288" s="5">
        <f t="shared" si="8"/>
        <v>3.6994319999999998</v>
      </c>
      <c r="K288" s="5">
        <f t="shared" si="9"/>
        <v>3.6994319999999998</v>
      </c>
      <c r="L288" s="6">
        <f>K288/'Quellen &amp; Annahmen'!$B$2</f>
        <v>3.3509077689500511E-5</v>
      </c>
      <c r="M288" s="7" t="s">
        <v>187</v>
      </c>
      <c r="N288" s="7" t="s">
        <v>188</v>
      </c>
    </row>
    <row r="289" spans="1:14" ht="18" customHeight="1">
      <c r="A289">
        <v>288</v>
      </c>
      <c r="B289" t="s">
        <v>374</v>
      </c>
      <c r="C289" t="s">
        <v>23</v>
      </c>
      <c r="D289" s="2">
        <v>0</v>
      </c>
      <c r="E289" s="2">
        <v>0</v>
      </c>
      <c r="F289" s="2">
        <v>0</v>
      </c>
      <c r="G289" s="2">
        <v>0</v>
      </c>
      <c r="H289" s="2">
        <v>3.6994319999999998</v>
      </c>
      <c r="I289" s="2">
        <v>0</v>
      </c>
      <c r="J289" s="5">
        <f t="shared" si="8"/>
        <v>3.6994319999999998</v>
      </c>
      <c r="K289" s="5">
        <f t="shared" si="9"/>
        <v>3.6994319999999998</v>
      </c>
      <c r="L289" s="6">
        <f>K289/'Quellen &amp; Annahmen'!$B$2</f>
        <v>3.3509077689500511E-5</v>
      </c>
      <c r="M289" s="7" t="s">
        <v>187</v>
      </c>
      <c r="N289" s="7" t="s">
        <v>188</v>
      </c>
    </row>
    <row r="290" spans="1:14" ht="18" customHeight="1">
      <c r="A290">
        <v>289</v>
      </c>
      <c r="B290" t="s">
        <v>375</v>
      </c>
      <c r="C290" t="s">
        <v>263</v>
      </c>
      <c r="D290" s="2">
        <v>0</v>
      </c>
      <c r="E290" s="2">
        <v>0</v>
      </c>
      <c r="F290" s="2">
        <v>0</v>
      </c>
      <c r="G290" s="2">
        <v>0</v>
      </c>
      <c r="H290" s="2">
        <v>3.6994319999999998</v>
      </c>
      <c r="I290" s="2">
        <v>0</v>
      </c>
      <c r="J290" s="5">
        <f t="shared" si="8"/>
        <v>3.6994319999999998</v>
      </c>
      <c r="K290" s="5">
        <f t="shared" si="9"/>
        <v>3.6994319999999998</v>
      </c>
      <c r="L290" s="6">
        <f>K290/'Quellen &amp; Annahmen'!$B$2</f>
        <v>3.3509077689500511E-5</v>
      </c>
      <c r="M290" s="7" t="s">
        <v>187</v>
      </c>
      <c r="N290" s="7" t="s">
        <v>188</v>
      </c>
    </row>
    <row r="291" spans="1:14" ht="18" customHeight="1">
      <c r="A291">
        <v>290</v>
      </c>
      <c r="B291" t="s">
        <v>376</v>
      </c>
      <c r="C291" t="s">
        <v>25</v>
      </c>
      <c r="D291" s="2">
        <v>0</v>
      </c>
      <c r="E291" s="2">
        <v>0</v>
      </c>
      <c r="F291" s="2">
        <v>0</v>
      </c>
      <c r="G291" s="2">
        <v>0</v>
      </c>
      <c r="H291" s="2">
        <v>3.6994319999999998</v>
      </c>
      <c r="I291" s="2">
        <v>0</v>
      </c>
      <c r="J291" s="5">
        <f t="shared" si="8"/>
        <v>3.6994319999999998</v>
      </c>
      <c r="K291" s="5">
        <f t="shared" si="9"/>
        <v>3.6994319999999998</v>
      </c>
      <c r="L291" s="6">
        <f>K291/'Quellen &amp; Annahmen'!$B$2</f>
        <v>3.3509077689500511E-5</v>
      </c>
      <c r="M291" s="7" t="s">
        <v>187</v>
      </c>
      <c r="N291" s="7" t="s">
        <v>188</v>
      </c>
    </row>
    <row r="292" spans="1:14" ht="18" customHeight="1">
      <c r="A292">
        <v>291</v>
      </c>
      <c r="B292" t="s">
        <v>377</v>
      </c>
      <c r="C292" t="s">
        <v>253</v>
      </c>
      <c r="D292" s="2">
        <v>0</v>
      </c>
      <c r="E292" s="2">
        <v>0</v>
      </c>
      <c r="F292" s="2">
        <v>0</v>
      </c>
      <c r="G292" s="2">
        <v>0</v>
      </c>
      <c r="H292" s="2">
        <v>3.6994319999999998</v>
      </c>
      <c r="I292" s="2">
        <v>0</v>
      </c>
      <c r="J292" s="5">
        <f t="shared" si="8"/>
        <v>3.6994319999999998</v>
      </c>
      <c r="K292" s="5">
        <f t="shared" si="9"/>
        <v>3.6994319999999998</v>
      </c>
      <c r="L292" s="6">
        <f>K292/'Quellen &amp; Annahmen'!$B$2</f>
        <v>3.3509077689500511E-5</v>
      </c>
      <c r="M292" s="7" t="s">
        <v>187</v>
      </c>
      <c r="N292" s="7" t="s">
        <v>188</v>
      </c>
    </row>
    <row r="293" spans="1:14" ht="18" customHeight="1">
      <c r="A293">
        <v>292</v>
      </c>
      <c r="B293" t="s">
        <v>378</v>
      </c>
      <c r="C293" t="s">
        <v>41</v>
      </c>
      <c r="D293" s="2">
        <v>0</v>
      </c>
      <c r="E293" s="2">
        <v>0</v>
      </c>
      <c r="F293" s="2">
        <v>0</v>
      </c>
      <c r="G293" s="2">
        <v>0</v>
      </c>
      <c r="H293" s="2">
        <v>3.6994319999999998</v>
      </c>
      <c r="I293" s="2">
        <v>0</v>
      </c>
      <c r="J293" s="5">
        <f t="shared" si="8"/>
        <v>3.6994319999999998</v>
      </c>
      <c r="K293" s="5">
        <f t="shared" si="9"/>
        <v>3.6994319999999998</v>
      </c>
      <c r="L293" s="6">
        <f>K293/'Quellen &amp; Annahmen'!$B$2</f>
        <v>3.3509077689500511E-5</v>
      </c>
      <c r="M293" s="7" t="s">
        <v>187</v>
      </c>
      <c r="N293" s="7" t="s">
        <v>188</v>
      </c>
    </row>
    <row r="294" spans="1:14" ht="18" customHeight="1">
      <c r="A294">
        <v>293</v>
      </c>
      <c r="B294" t="s">
        <v>379</v>
      </c>
      <c r="C294" t="s">
        <v>23</v>
      </c>
      <c r="D294" s="2">
        <v>0</v>
      </c>
      <c r="E294" s="2">
        <v>0</v>
      </c>
      <c r="F294" s="2">
        <v>0</v>
      </c>
      <c r="G294" s="2">
        <v>0</v>
      </c>
      <c r="H294" s="2">
        <v>3.6994319999999998</v>
      </c>
      <c r="I294" s="2">
        <v>0</v>
      </c>
      <c r="J294" s="5">
        <f t="shared" si="8"/>
        <v>3.6994319999999998</v>
      </c>
      <c r="K294" s="5">
        <f t="shared" si="9"/>
        <v>3.6994319999999998</v>
      </c>
      <c r="L294" s="6">
        <f>K294/'Quellen &amp; Annahmen'!$B$2</f>
        <v>3.3509077689500511E-5</v>
      </c>
      <c r="M294" s="7" t="s">
        <v>187</v>
      </c>
      <c r="N294" s="7" t="s">
        <v>188</v>
      </c>
    </row>
    <row r="295" spans="1:14" ht="18" customHeight="1">
      <c r="A295">
        <v>294</v>
      </c>
      <c r="B295" t="s">
        <v>380</v>
      </c>
      <c r="C295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3.6994319999999998</v>
      </c>
      <c r="I295" s="2">
        <v>0</v>
      </c>
      <c r="J295" s="5">
        <f t="shared" si="8"/>
        <v>3.6994319999999998</v>
      </c>
      <c r="K295" s="5">
        <f t="shared" si="9"/>
        <v>3.6994319999999998</v>
      </c>
      <c r="L295" s="6">
        <f>K295/'Quellen &amp; Annahmen'!$B$2</f>
        <v>3.3509077689500511E-5</v>
      </c>
      <c r="M295" s="7" t="s">
        <v>187</v>
      </c>
      <c r="N295" s="7" t="s">
        <v>188</v>
      </c>
    </row>
    <row r="296" spans="1:14" ht="18" customHeight="1">
      <c r="A296">
        <v>295</v>
      </c>
      <c r="B296" t="s">
        <v>381</v>
      </c>
      <c r="C296" t="s">
        <v>27</v>
      </c>
      <c r="D296" s="2">
        <v>0</v>
      </c>
      <c r="E296" s="2">
        <v>0</v>
      </c>
      <c r="F296" s="2">
        <v>0</v>
      </c>
      <c r="G296" s="2">
        <v>0</v>
      </c>
      <c r="H296" s="2">
        <v>3.6994319999999998</v>
      </c>
      <c r="I296" s="2">
        <v>0</v>
      </c>
      <c r="J296" s="5">
        <f t="shared" si="8"/>
        <v>3.6994319999999998</v>
      </c>
      <c r="K296" s="5">
        <f t="shared" si="9"/>
        <v>3.6994319999999998</v>
      </c>
      <c r="L296" s="6">
        <f>K296/'Quellen &amp; Annahmen'!$B$2</f>
        <v>3.3509077689500511E-5</v>
      </c>
      <c r="M296" s="7" t="s">
        <v>187</v>
      </c>
      <c r="N296" s="7" t="s">
        <v>188</v>
      </c>
    </row>
    <row r="297" spans="1:14" ht="18" customHeight="1">
      <c r="A297">
        <v>296</v>
      </c>
      <c r="B297" t="s">
        <v>382</v>
      </c>
      <c r="C297" t="s">
        <v>124</v>
      </c>
      <c r="D297" s="2">
        <v>0</v>
      </c>
      <c r="E297" s="2">
        <v>0</v>
      </c>
      <c r="F297" s="2">
        <v>0</v>
      </c>
      <c r="G297" s="2">
        <v>0</v>
      </c>
      <c r="H297" s="2">
        <v>3.6994319999999998</v>
      </c>
      <c r="I297" s="2">
        <v>0</v>
      </c>
      <c r="J297" s="5">
        <f t="shared" si="8"/>
        <v>3.6994319999999998</v>
      </c>
      <c r="K297" s="5">
        <f t="shared" si="9"/>
        <v>3.6994319999999998</v>
      </c>
      <c r="L297" s="6">
        <f>K297/'Quellen &amp; Annahmen'!$B$2</f>
        <v>3.3509077689500511E-5</v>
      </c>
      <c r="M297" s="7" t="s">
        <v>187</v>
      </c>
      <c r="N297" s="7" t="s">
        <v>188</v>
      </c>
    </row>
    <row r="298" spans="1:14" ht="18" customHeight="1">
      <c r="A298">
        <v>297</v>
      </c>
      <c r="B298" t="s">
        <v>383</v>
      </c>
      <c r="C298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3.6994319999999998</v>
      </c>
      <c r="I298" s="2">
        <v>0</v>
      </c>
      <c r="J298" s="5">
        <f t="shared" si="8"/>
        <v>3.6994319999999998</v>
      </c>
      <c r="K298" s="5">
        <f t="shared" si="9"/>
        <v>3.6994319999999998</v>
      </c>
      <c r="L298" s="6">
        <f>K298/'Quellen &amp; Annahmen'!$B$2</f>
        <v>3.3509077689500511E-5</v>
      </c>
      <c r="M298" s="7" t="s">
        <v>187</v>
      </c>
      <c r="N298" s="7" t="s">
        <v>188</v>
      </c>
    </row>
    <row r="299" spans="1:14" ht="18" customHeight="1">
      <c r="A299">
        <v>298</v>
      </c>
      <c r="B299" t="s">
        <v>384</v>
      </c>
      <c r="C299" t="s">
        <v>25</v>
      </c>
      <c r="D299" s="2">
        <v>0</v>
      </c>
      <c r="E299" s="2">
        <v>0</v>
      </c>
      <c r="F299" s="2">
        <v>0</v>
      </c>
      <c r="G299" s="2">
        <v>0</v>
      </c>
      <c r="H299" s="2">
        <v>0.672624</v>
      </c>
      <c r="I299" s="2">
        <v>2.9667039999999996</v>
      </c>
      <c r="J299" s="5">
        <f t="shared" si="8"/>
        <v>3.6393279999999995</v>
      </c>
      <c r="K299" s="5">
        <f t="shared" si="9"/>
        <v>3.6393279999999995</v>
      </c>
      <c r="L299" s="6">
        <f>K299/'Quellen &amp; Annahmen'!$B$2</f>
        <v>3.2964661788505505E-5</v>
      </c>
      <c r="M299" s="7" t="s">
        <v>179</v>
      </c>
      <c r="N299" s="7" t="s">
        <v>180</v>
      </c>
    </row>
    <row r="300" spans="1:14" ht="18" customHeight="1">
      <c r="A300">
        <v>299</v>
      </c>
      <c r="B300" t="s">
        <v>385</v>
      </c>
      <c r="C300" t="s">
        <v>27</v>
      </c>
      <c r="D300" s="2">
        <v>0</v>
      </c>
      <c r="E300" s="2">
        <v>0</v>
      </c>
      <c r="F300" s="2">
        <v>0</v>
      </c>
      <c r="G300" s="2">
        <v>0</v>
      </c>
      <c r="H300" s="2">
        <v>1.0089359999999998</v>
      </c>
      <c r="I300" s="2">
        <v>2.6243920000000003</v>
      </c>
      <c r="J300" s="5">
        <f t="shared" si="8"/>
        <v>3.6333280000000001</v>
      </c>
      <c r="K300" s="5">
        <f t="shared" si="9"/>
        <v>3.6333280000000001</v>
      </c>
      <c r="L300" s="6">
        <f>K300/'Quellen &amp; Annahmen'!$B$2</f>
        <v>3.2910314400545144E-5</v>
      </c>
      <c r="M300" s="7" t="s">
        <v>179</v>
      </c>
      <c r="N300" s="7" t="s">
        <v>180</v>
      </c>
    </row>
    <row r="301" spans="1:14" ht="18" customHeight="1">
      <c r="A301">
        <v>300</v>
      </c>
      <c r="B301" t="s">
        <v>386</v>
      </c>
      <c r="C301" t="s">
        <v>253</v>
      </c>
      <c r="D301" s="2">
        <v>0</v>
      </c>
      <c r="E301" s="2">
        <v>0</v>
      </c>
      <c r="F301" s="2">
        <v>0</v>
      </c>
      <c r="G301" s="2">
        <v>0</v>
      </c>
      <c r="H301" s="2">
        <v>1.345248</v>
      </c>
      <c r="I301" s="2">
        <v>2.2820800000000001</v>
      </c>
      <c r="J301" s="5">
        <f t="shared" si="8"/>
        <v>3.6273280000000003</v>
      </c>
      <c r="K301" s="5">
        <f t="shared" si="9"/>
        <v>3.6273280000000003</v>
      </c>
      <c r="L301" s="6">
        <f>K301/'Quellen &amp; Annahmen'!$B$2</f>
        <v>3.2855967012584777E-5</v>
      </c>
      <c r="M301" s="7" t="s">
        <v>179</v>
      </c>
      <c r="N301" s="7" t="s">
        <v>180</v>
      </c>
    </row>
    <row r="302" spans="1:14" ht="18" customHeight="1">
      <c r="A302">
        <v>301</v>
      </c>
      <c r="B302" t="s">
        <v>387</v>
      </c>
      <c r="C302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0.672624</v>
      </c>
      <c r="I302" s="2">
        <v>2.8525999999999998</v>
      </c>
      <c r="J302" s="5">
        <f t="shared" si="8"/>
        <v>3.5252239999999997</v>
      </c>
      <c r="K302" s="5">
        <f t="shared" si="9"/>
        <v>3.5252239999999997</v>
      </c>
      <c r="L302" s="6">
        <f>K302/'Quellen &amp; Annahmen'!$B$2</f>
        <v>3.1931119395867186E-5</v>
      </c>
      <c r="M302" s="7" t="s">
        <v>179</v>
      </c>
      <c r="N302" s="7" t="s">
        <v>180</v>
      </c>
    </row>
    <row r="303" spans="1:14" ht="18" customHeight="1">
      <c r="A303">
        <v>302</v>
      </c>
      <c r="B303" t="s">
        <v>388</v>
      </c>
      <c r="C303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1.0089359999999998</v>
      </c>
      <c r="I303" s="2">
        <v>2.5102880000000001</v>
      </c>
      <c r="J303" s="5">
        <f t="shared" si="8"/>
        <v>3.5192239999999999</v>
      </c>
      <c r="K303" s="5">
        <f t="shared" si="9"/>
        <v>3.5192239999999999</v>
      </c>
      <c r="L303" s="6">
        <f>K303/'Quellen &amp; Annahmen'!$B$2</f>
        <v>3.1876772007906818E-5</v>
      </c>
      <c r="M303" s="7" t="s">
        <v>179</v>
      </c>
      <c r="N303" s="7" t="s">
        <v>180</v>
      </c>
    </row>
    <row r="304" spans="1:14" ht="18" customHeight="1">
      <c r="A304">
        <v>303</v>
      </c>
      <c r="B304" t="s">
        <v>389</v>
      </c>
      <c r="C304" t="s">
        <v>33</v>
      </c>
      <c r="D304" s="2">
        <v>0</v>
      </c>
      <c r="E304" s="2">
        <v>0</v>
      </c>
      <c r="F304" s="2">
        <v>0</v>
      </c>
      <c r="G304" s="2">
        <v>0</v>
      </c>
      <c r="H304" s="2">
        <v>1.345248</v>
      </c>
      <c r="I304" s="2">
        <v>2.1679759999999999</v>
      </c>
      <c r="J304" s="5">
        <f t="shared" si="8"/>
        <v>3.5132240000000001</v>
      </c>
      <c r="K304" s="5">
        <f t="shared" si="9"/>
        <v>3.5132240000000001</v>
      </c>
      <c r="L304" s="6">
        <f>K304/'Quellen &amp; Annahmen'!$B$2</f>
        <v>3.1822424619946451E-5</v>
      </c>
      <c r="M304" s="7" t="s">
        <v>179</v>
      </c>
      <c r="N304" s="7" t="s">
        <v>180</v>
      </c>
    </row>
    <row r="305" spans="1:14" ht="18" customHeight="1">
      <c r="A305">
        <v>304</v>
      </c>
      <c r="B305" t="s">
        <v>390</v>
      </c>
      <c r="C305" t="s">
        <v>38</v>
      </c>
      <c r="D305" s="2">
        <v>0</v>
      </c>
      <c r="E305" s="2">
        <v>0</v>
      </c>
      <c r="F305" s="2">
        <v>0</v>
      </c>
      <c r="G305" s="2">
        <v>0</v>
      </c>
      <c r="H305" s="2">
        <v>1.0089359999999998</v>
      </c>
      <c r="I305" s="2">
        <v>2.3961839999999999</v>
      </c>
      <c r="J305" s="5">
        <f t="shared" si="8"/>
        <v>3.4051199999999997</v>
      </c>
      <c r="K305" s="5">
        <f t="shared" si="9"/>
        <v>3.4051199999999997</v>
      </c>
      <c r="L305" s="6">
        <f>K305/'Quellen &amp; Annahmen'!$B$2</f>
        <v>3.0843229615268499E-5</v>
      </c>
      <c r="M305" s="7" t="s">
        <v>179</v>
      </c>
      <c r="N305" s="7" t="s">
        <v>180</v>
      </c>
    </row>
    <row r="306" spans="1:14" ht="18" customHeight="1">
      <c r="A306">
        <v>305</v>
      </c>
      <c r="B306" t="s">
        <v>391</v>
      </c>
      <c r="C306" t="s">
        <v>41</v>
      </c>
      <c r="D306" s="2">
        <v>0</v>
      </c>
      <c r="E306" s="2">
        <v>0</v>
      </c>
      <c r="F306" s="2">
        <v>0</v>
      </c>
      <c r="G306" s="2">
        <v>0</v>
      </c>
      <c r="H306" s="2">
        <v>1.345248</v>
      </c>
      <c r="I306" s="2">
        <v>2.0538719999999997</v>
      </c>
      <c r="J306" s="5">
        <f t="shared" si="8"/>
        <v>3.3991199999999999</v>
      </c>
      <c r="K306" s="5">
        <f t="shared" si="9"/>
        <v>3.3991199999999999</v>
      </c>
      <c r="L306" s="6">
        <f>K306/'Quellen &amp; Annahmen'!$B$2</f>
        <v>3.0788882227308132E-5</v>
      </c>
      <c r="M306" s="7" t="s">
        <v>179</v>
      </c>
      <c r="N306" s="7" t="s">
        <v>180</v>
      </c>
    </row>
    <row r="307" spans="1:14" ht="18" customHeight="1">
      <c r="A307">
        <v>306</v>
      </c>
      <c r="B307" t="s">
        <v>392</v>
      </c>
      <c r="C307" t="s">
        <v>23</v>
      </c>
      <c r="D307" s="2">
        <v>0</v>
      </c>
      <c r="E307" s="2">
        <v>0</v>
      </c>
      <c r="F307" s="2">
        <v>0</v>
      </c>
      <c r="G307" s="2">
        <v>0</v>
      </c>
      <c r="H307" s="2">
        <v>1.6815600000000002</v>
      </c>
      <c r="I307" s="2">
        <v>1.7115599999999997</v>
      </c>
      <c r="J307" s="5">
        <f t="shared" si="8"/>
        <v>3.3931199999999997</v>
      </c>
      <c r="K307" s="5">
        <f t="shared" si="9"/>
        <v>3.3931199999999997</v>
      </c>
      <c r="L307" s="6">
        <f>K307/'Quellen &amp; Annahmen'!$B$2</f>
        <v>3.0734534839347758E-5</v>
      </c>
      <c r="M307" s="7" t="s">
        <v>179</v>
      </c>
      <c r="N307" s="7" t="s">
        <v>180</v>
      </c>
    </row>
    <row r="308" spans="1:14" ht="18" customHeight="1">
      <c r="A308">
        <v>307</v>
      </c>
      <c r="B308" t="s">
        <v>393</v>
      </c>
      <c r="C308" t="s">
        <v>23</v>
      </c>
      <c r="D308" s="2">
        <v>0</v>
      </c>
      <c r="E308" s="2">
        <v>0</v>
      </c>
      <c r="F308" s="2">
        <v>0</v>
      </c>
      <c r="G308" s="2">
        <v>0</v>
      </c>
      <c r="H308" s="2">
        <v>2.0178719999999997</v>
      </c>
      <c r="I308" s="2">
        <v>1.369248</v>
      </c>
      <c r="J308" s="5">
        <f t="shared" si="8"/>
        <v>3.3871199999999995</v>
      </c>
      <c r="K308" s="5">
        <f t="shared" si="9"/>
        <v>3.3871199999999995</v>
      </c>
      <c r="L308" s="6">
        <f>K308/'Quellen &amp; Annahmen'!$B$2</f>
        <v>3.0680187451387391E-5</v>
      </c>
      <c r="M308" s="7" t="s">
        <v>179</v>
      </c>
      <c r="N308" s="7" t="s">
        <v>180</v>
      </c>
    </row>
    <row r="309" spans="1:14" ht="18" customHeight="1">
      <c r="A309">
        <v>308</v>
      </c>
      <c r="B309" t="s">
        <v>394</v>
      </c>
      <c r="C309" t="s">
        <v>23</v>
      </c>
      <c r="D309" s="2">
        <v>0</v>
      </c>
      <c r="E309" s="2">
        <v>0</v>
      </c>
      <c r="F309" s="2">
        <v>0</v>
      </c>
      <c r="G309" s="2">
        <v>0</v>
      </c>
      <c r="H309" s="2">
        <v>2.0178719999999997</v>
      </c>
      <c r="I309" s="2">
        <v>1.369248</v>
      </c>
      <c r="J309" s="5">
        <f t="shared" si="8"/>
        <v>3.3871199999999995</v>
      </c>
      <c r="K309" s="5">
        <f t="shared" si="9"/>
        <v>3.3871199999999995</v>
      </c>
      <c r="L309" s="6">
        <f>K309/'Quellen &amp; Annahmen'!$B$2</f>
        <v>3.0680187451387391E-5</v>
      </c>
      <c r="M309" s="7" t="s">
        <v>179</v>
      </c>
      <c r="N309" s="7" t="s">
        <v>180</v>
      </c>
    </row>
    <row r="310" spans="1:14" ht="18" customHeight="1">
      <c r="A310">
        <v>309</v>
      </c>
      <c r="B310" t="s">
        <v>395</v>
      </c>
      <c r="C310" t="s">
        <v>25</v>
      </c>
      <c r="D310" s="2">
        <v>0</v>
      </c>
      <c r="E310" s="2">
        <v>0</v>
      </c>
      <c r="F310" s="2">
        <v>0</v>
      </c>
      <c r="G310" s="2">
        <v>0</v>
      </c>
      <c r="H310" s="2">
        <v>3.3631200000000003</v>
      </c>
      <c r="I310" s="2">
        <v>0</v>
      </c>
      <c r="J310" s="5">
        <f t="shared" si="8"/>
        <v>3.3631200000000003</v>
      </c>
      <c r="K310" s="5">
        <f t="shared" si="9"/>
        <v>3.3631200000000003</v>
      </c>
      <c r="L310" s="6">
        <f>K310/'Quellen &amp; Annahmen'!$B$2</f>
        <v>3.0462797899545921E-5</v>
      </c>
      <c r="M310" s="7" t="s">
        <v>187</v>
      </c>
      <c r="N310" s="7" t="s">
        <v>188</v>
      </c>
    </row>
    <row r="311" spans="1:14" ht="18" customHeight="1">
      <c r="A311">
        <v>310</v>
      </c>
      <c r="B311" t="s">
        <v>396</v>
      </c>
      <c r="C311" t="s">
        <v>38</v>
      </c>
      <c r="D311" s="2">
        <v>0</v>
      </c>
      <c r="E311" s="2">
        <v>0</v>
      </c>
      <c r="F311" s="2">
        <v>0</v>
      </c>
      <c r="G311" s="2">
        <v>0</v>
      </c>
      <c r="H311" s="2">
        <v>3.3631200000000003</v>
      </c>
      <c r="I311" s="2">
        <v>0</v>
      </c>
      <c r="J311" s="5">
        <f t="shared" si="8"/>
        <v>3.3631200000000003</v>
      </c>
      <c r="K311" s="5">
        <f t="shared" si="9"/>
        <v>3.3631200000000003</v>
      </c>
      <c r="L311" s="6">
        <f>K311/'Quellen &amp; Annahmen'!$B$2</f>
        <v>3.0462797899545921E-5</v>
      </c>
      <c r="M311" s="7" t="s">
        <v>187</v>
      </c>
      <c r="N311" s="7" t="s">
        <v>188</v>
      </c>
    </row>
    <row r="312" spans="1:14" ht="18" customHeight="1">
      <c r="A312">
        <v>311</v>
      </c>
      <c r="B312" t="s">
        <v>397</v>
      </c>
      <c r="C312" t="s">
        <v>124</v>
      </c>
      <c r="D312" s="2">
        <v>0</v>
      </c>
      <c r="E312" s="2">
        <v>0</v>
      </c>
      <c r="F312" s="2">
        <v>0</v>
      </c>
      <c r="G312" s="2">
        <v>0</v>
      </c>
      <c r="H312" s="2">
        <v>3.3631200000000003</v>
      </c>
      <c r="I312" s="2">
        <v>0</v>
      </c>
      <c r="J312" s="5">
        <f t="shared" si="8"/>
        <v>3.3631200000000003</v>
      </c>
      <c r="K312" s="5">
        <f t="shared" si="9"/>
        <v>3.3631200000000003</v>
      </c>
      <c r="L312" s="6">
        <f>K312/'Quellen &amp; Annahmen'!$B$2</f>
        <v>3.0462797899545921E-5</v>
      </c>
      <c r="M312" s="7" t="s">
        <v>187</v>
      </c>
      <c r="N312" s="7" t="s">
        <v>188</v>
      </c>
    </row>
    <row r="313" spans="1:14" ht="18" customHeight="1">
      <c r="A313">
        <v>312</v>
      </c>
      <c r="B313" t="s">
        <v>398</v>
      </c>
      <c r="C313" t="s">
        <v>124</v>
      </c>
      <c r="D313" s="2">
        <v>0</v>
      </c>
      <c r="E313" s="2">
        <v>0</v>
      </c>
      <c r="F313" s="2">
        <v>0</v>
      </c>
      <c r="G313" s="2">
        <v>0</v>
      </c>
      <c r="H313" s="2">
        <v>3.3631200000000003</v>
      </c>
      <c r="I313" s="2">
        <v>0</v>
      </c>
      <c r="J313" s="5">
        <f t="shared" si="8"/>
        <v>3.3631200000000003</v>
      </c>
      <c r="K313" s="5">
        <f t="shared" si="9"/>
        <v>3.3631200000000003</v>
      </c>
      <c r="L313" s="6">
        <f>K313/'Quellen &amp; Annahmen'!$B$2</f>
        <v>3.0462797899545921E-5</v>
      </c>
      <c r="M313" s="7" t="s">
        <v>187</v>
      </c>
      <c r="N313" s="7" t="s">
        <v>188</v>
      </c>
    </row>
    <row r="314" spans="1:14" ht="18" customHeight="1">
      <c r="A314">
        <v>313</v>
      </c>
      <c r="B314" t="s">
        <v>399</v>
      </c>
      <c r="C314" t="s">
        <v>25</v>
      </c>
      <c r="D314" s="2">
        <v>0</v>
      </c>
      <c r="E314" s="2">
        <v>0</v>
      </c>
      <c r="F314" s="2">
        <v>0</v>
      </c>
      <c r="G314" s="2">
        <v>0</v>
      </c>
      <c r="H314" s="2">
        <v>3.3631200000000003</v>
      </c>
      <c r="I314" s="2">
        <v>0</v>
      </c>
      <c r="J314" s="5">
        <f t="shared" si="8"/>
        <v>3.3631200000000003</v>
      </c>
      <c r="K314" s="5">
        <f t="shared" si="9"/>
        <v>3.3631200000000003</v>
      </c>
      <c r="L314" s="6">
        <f>K314/'Quellen &amp; Annahmen'!$B$2</f>
        <v>3.0462797899545921E-5</v>
      </c>
      <c r="M314" s="7" t="s">
        <v>187</v>
      </c>
      <c r="N314" s="7" t="s">
        <v>188</v>
      </c>
    </row>
    <row r="315" spans="1:14" ht="18" customHeight="1">
      <c r="A315">
        <v>314</v>
      </c>
      <c r="B315" t="s">
        <v>400</v>
      </c>
      <c r="C315" t="s">
        <v>23</v>
      </c>
      <c r="D315" s="2">
        <v>0</v>
      </c>
      <c r="E315" s="2">
        <v>0</v>
      </c>
      <c r="F315" s="2">
        <v>0</v>
      </c>
      <c r="G315" s="2">
        <v>0</v>
      </c>
      <c r="H315" s="2">
        <v>3.3631200000000003</v>
      </c>
      <c r="I315" s="2">
        <v>0</v>
      </c>
      <c r="J315" s="5">
        <f t="shared" si="8"/>
        <v>3.3631200000000003</v>
      </c>
      <c r="K315" s="5">
        <f t="shared" si="9"/>
        <v>3.3631200000000003</v>
      </c>
      <c r="L315" s="6">
        <f>K315/'Quellen &amp; Annahmen'!$B$2</f>
        <v>3.0462797899545921E-5</v>
      </c>
      <c r="M315" s="7" t="s">
        <v>187</v>
      </c>
      <c r="N315" s="7" t="s">
        <v>188</v>
      </c>
    </row>
    <row r="316" spans="1:14" ht="18" customHeight="1">
      <c r="A316">
        <v>315</v>
      </c>
      <c r="B316" t="s">
        <v>401</v>
      </c>
      <c r="C316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3.3631200000000003</v>
      </c>
      <c r="I316" s="2">
        <v>0</v>
      </c>
      <c r="J316" s="5">
        <f t="shared" si="8"/>
        <v>3.3631200000000003</v>
      </c>
      <c r="K316" s="5">
        <f t="shared" si="9"/>
        <v>3.3631200000000003</v>
      </c>
      <c r="L316" s="6">
        <f>K316/'Quellen &amp; Annahmen'!$B$2</f>
        <v>3.0462797899545921E-5</v>
      </c>
      <c r="M316" s="7" t="s">
        <v>187</v>
      </c>
      <c r="N316" s="7" t="s">
        <v>188</v>
      </c>
    </row>
    <row r="317" spans="1:14" ht="18" customHeight="1">
      <c r="A317">
        <v>316</v>
      </c>
      <c r="B317" t="s">
        <v>402</v>
      </c>
      <c r="C317" t="s">
        <v>23</v>
      </c>
      <c r="D317" s="2">
        <v>0</v>
      </c>
      <c r="E317" s="2">
        <v>0</v>
      </c>
      <c r="F317" s="2">
        <v>0</v>
      </c>
      <c r="G317" s="2">
        <v>0</v>
      </c>
      <c r="H317" s="2">
        <v>3.3631200000000003</v>
      </c>
      <c r="I317" s="2">
        <v>0</v>
      </c>
      <c r="J317" s="5">
        <f t="shared" si="8"/>
        <v>3.3631200000000003</v>
      </c>
      <c r="K317" s="5">
        <f t="shared" si="9"/>
        <v>3.3631200000000003</v>
      </c>
      <c r="L317" s="6">
        <f>K317/'Quellen &amp; Annahmen'!$B$2</f>
        <v>3.0462797899545921E-5</v>
      </c>
      <c r="M317" s="7" t="s">
        <v>187</v>
      </c>
      <c r="N317" s="7" t="s">
        <v>188</v>
      </c>
    </row>
    <row r="318" spans="1:14" ht="18" customHeight="1">
      <c r="A318">
        <v>317</v>
      </c>
      <c r="B318" t="s">
        <v>403</v>
      </c>
      <c r="C318" t="s">
        <v>124</v>
      </c>
      <c r="D318" s="2">
        <v>0</v>
      </c>
      <c r="E318" s="2">
        <v>0</v>
      </c>
      <c r="F318" s="2">
        <v>0</v>
      </c>
      <c r="G318" s="2">
        <v>0</v>
      </c>
      <c r="H318" s="2">
        <v>3.3631200000000003</v>
      </c>
      <c r="I318" s="2">
        <v>0</v>
      </c>
      <c r="J318" s="5">
        <f t="shared" si="8"/>
        <v>3.3631200000000003</v>
      </c>
      <c r="K318" s="5">
        <f t="shared" si="9"/>
        <v>3.3631200000000003</v>
      </c>
      <c r="L318" s="6">
        <f>K318/'Quellen &amp; Annahmen'!$B$2</f>
        <v>3.0462797899545921E-5</v>
      </c>
      <c r="M318" s="7" t="s">
        <v>187</v>
      </c>
      <c r="N318" s="7" t="s">
        <v>188</v>
      </c>
    </row>
    <row r="319" spans="1:14" ht="18" customHeight="1">
      <c r="A319">
        <v>318</v>
      </c>
      <c r="B319" t="s">
        <v>404</v>
      </c>
      <c r="C319" t="s">
        <v>23</v>
      </c>
      <c r="D319" s="2">
        <v>0</v>
      </c>
      <c r="E319" s="2">
        <v>0</v>
      </c>
      <c r="F319" s="2">
        <v>0</v>
      </c>
      <c r="G319" s="2">
        <v>0</v>
      </c>
      <c r="H319" s="2">
        <v>3.3631200000000003</v>
      </c>
      <c r="I319" s="2">
        <v>0</v>
      </c>
      <c r="J319" s="5">
        <f t="shared" si="8"/>
        <v>3.3631200000000003</v>
      </c>
      <c r="K319" s="5">
        <f t="shared" si="9"/>
        <v>3.3631200000000003</v>
      </c>
      <c r="L319" s="6">
        <f>K319/'Quellen &amp; Annahmen'!$B$2</f>
        <v>3.0462797899545921E-5</v>
      </c>
      <c r="M319" s="7" t="s">
        <v>187</v>
      </c>
      <c r="N319" s="7" t="s">
        <v>188</v>
      </c>
    </row>
    <row r="320" spans="1:14" ht="18" customHeight="1">
      <c r="A320">
        <v>319</v>
      </c>
      <c r="B320" t="s">
        <v>405</v>
      </c>
      <c r="C320" t="s">
        <v>23</v>
      </c>
      <c r="D320" s="2">
        <v>0</v>
      </c>
      <c r="E320" s="2">
        <v>0</v>
      </c>
      <c r="F320" s="2">
        <v>0</v>
      </c>
      <c r="G320" s="2">
        <v>0</v>
      </c>
      <c r="H320" s="2">
        <v>3.3631200000000003</v>
      </c>
      <c r="I320" s="2">
        <v>0</v>
      </c>
      <c r="J320" s="5">
        <f t="shared" si="8"/>
        <v>3.3631200000000003</v>
      </c>
      <c r="K320" s="5">
        <f t="shared" si="9"/>
        <v>3.3631200000000003</v>
      </c>
      <c r="L320" s="6">
        <f>K320/'Quellen &amp; Annahmen'!$B$2</f>
        <v>3.0462797899545921E-5</v>
      </c>
      <c r="M320" s="7" t="s">
        <v>187</v>
      </c>
      <c r="N320" s="7" t="s">
        <v>188</v>
      </c>
    </row>
    <row r="321" spans="1:14" ht="18" customHeight="1">
      <c r="A321">
        <v>320</v>
      </c>
      <c r="B321" t="s">
        <v>406</v>
      </c>
      <c r="C321" t="s">
        <v>25</v>
      </c>
      <c r="D321" s="2">
        <v>0</v>
      </c>
      <c r="E321" s="2">
        <v>0</v>
      </c>
      <c r="F321" s="2">
        <v>0</v>
      </c>
      <c r="G321" s="2">
        <v>0</v>
      </c>
      <c r="H321" s="2">
        <v>3.3631200000000003</v>
      </c>
      <c r="I321" s="2">
        <v>0</v>
      </c>
      <c r="J321" s="5">
        <f t="shared" si="8"/>
        <v>3.3631200000000003</v>
      </c>
      <c r="K321" s="5">
        <f t="shared" si="9"/>
        <v>3.3631200000000003</v>
      </c>
      <c r="L321" s="6">
        <f>K321/'Quellen &amp; Annahmen'!$B$2</f>
        <v>3.0462797899545921E-5</v>
      </c>
      <c r="M321" s="7" t="s">
        <v>187</v>
      </c>
      <c r="N321" s="7" t="s">
        <v>188</v>
      </c>
    </row>
    <row r="322" spans="1:14" ht="18" customHeight="1">
      <c r="A322">
        <v>321</v>
      </c>
      <c r="B322" t="s">
        <v>407</v>
      </c>
      <c r="C322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3.3631200000000003</v>
      </c>
      <c r="I322" s="2">
        <v>0</v>
      </c>
      <c r="J322" s="5">
        <f t="shared" ref="J322:J385" si="10">SUM(E322:I322)</f>
        <v>3.3631200000000003</v>
      </c>
      <c r="K322" s="5">
        <f t="shared" ref="K322:K385" si="11">D322+J322</f>
        <v>3.3631200000000003</v>
      </c>
      <c r="L322" s="6">
        <f>K322/'Quellen &amp; Annahmen'!$B$2</f>
        <v>3.0462797899545921E-5</v>
      </c>
      <c r="M322" s="7" t="s">
        <v>187</v>
      </c>
      <c r="N322" s="7" t="s">
        <v>188</v>
      </c>
    </row>
    <row r="323" spans="1:14" ht="18" customHeight="1">
      <c r="A323">
        <v>322</v>
      </c>
      <c r="B323" t="s">
        <v>408</v>
      </c>
      <c r="C323" t="s">
        <v>33</v>
      </c>
      <c r="D323" s="2">
        <v>0</v>
      </c>
      <c r="E323" s="2">
        <v>0</v>
      </c>
      <c r="F323" s="2">
        <v>0</v>
      </c>
      <c r="G323" s="2">
        <v>0</v>
      </c>
      <c r="H323" s="2">
        <v>1.0089359999999998</v>
      </c>
      <c r="I323" s="2">
        <v>2.2820800000000001</v>
      </c>
      <c r="J323" s="5">
        <f t="shared" si="10"/>
        <v>3.2910159999999999</v>
      </c>
      <c r="K323" s="5">
        <f t="shared" si="11"/>
        <v>3.2910159999999999</v>
      </c>
      <c r="L323" s="6">
        <f>K323/'Quellen &amp; Annahmen'!$B$2</f>
        <v>2.980968722263018E-5</v>
      </c>
      <c r="M323" s="7" t="s">
        <v>179</v>
      </c>
      <c r="N323" s="7" t="s">
        <v>180</v>
      </c>
    </row>
    <row r="324" spans="1:14" ht="18" customHeight="1">
      <c r="A324">
        <v>323</v>
      </c>
      <c r="B324" t="s">
        <v>409</v>
      </c>
      <c r="C324" t="s">
        <v>27</v>
      </c>
      <c r="D324" s="2">
        <v>0</v>
      </c>
      <c r="E324" s="2">
        <v>0</v>
      </c>
      <c r="F324" s="2">
        <v>0</v>
      </c>
      <c r="G324" s="2">
        <v>0</v>
      </c>
      <c r="H324" s="2">
        <v>1.0089359999999998</v>
      </c>
      <c r="I324" s="2">
        <v>2.2820800000000001</v>
      </c>
      <c r="J324" s="5">
        <f t="shared" si="10"/>
        <v>3.2910159999999999</v>
      </c>
      <c r="K324" s="5">
        <f t="shared" si="11"/>
        <v>3.2910159999999999</v>
      </c>
      <c r="L324" s="6">
        <f>K324/'Quellen &amp; Annahmen'!$B$2</f>
        <v>2.980968722263018E-5</v>
      </c>
      <c r="M324" s="7" t="s">
        <v>179</v>
      </c>
      <c r="N324" s="7" t="s">
        <v>180</v>
      </c>
    </row>
    <row r="325" spans="1:14" ht="18" customHeight="1">
      <c r="A325">
        <v>324</v>
      </c>
      <c r="B325" t="s">
        <v>410</v>
      </c>
      <c r="C325" t="s">
        <v>25</v>
      </c>
      <c r="D325" s="2">
        <v>0</v>
      </c>
      <c r="E325" s="2">
        <v>0</v>
      </c>
      <c r="F325" s="2">
        <v>0</v>
      </c>
      <c r="G325" s="2">
        <v>0</v>
      </c>
      <c r="H325" s="2">
        <v>0.672624</v>
      </c>
      <c r="I325" s="2">
        <v>2.5102880000000001</v>
      </c>
      <c r="J325" s="5">
        <f t="shared" si="10"/>
        <v>3.182912</v>
      </c>
      <c r="K325" s="5">
        <f t="shared" si="11"/>
        <v>3.182912</v>
      </c>
      <c r="L325" s="6">
        <f>K325/'Quellen &amp; Annahmen'!$B$2</f>
        <v>2.8830492217952229E-5</v>
      </c>
      <c r="M325" s="7" t="s">
        <v>179</v>
      </c>
      <c r="N325" s="7" t="s">
        <v>180</v>
      </c>
    </row>
    <row r="326" spans="1:14" ht="18" customHeight="1">
      <c r="A326">
        <v>325</v>
      </c>
      <c r="B326" t="s">
        <v>411</v>
      </c>
      <c r="C326" t="s">
        <v>41</v>
      </c>
      <c r="D326" s="2">
        <v>0</v>
      </c>
      <c r="E326" s="2">
        <v>0</v>
      </c>
      <c r="F326" s="2">
        <v>0</v>
      </c>
      <c r="G326" s="2">
        <v>0</v>
      </c>
      <c r="H326" s="2">
        <v>0.672624</v>
      </c>
      <c r="I326" s="2">
        <v>2.5102880000000001</v>
      </c>
      <c r="J326" s="5">
        <f t="shared" si="10"/>
        <v>3.182912</v>
      </c>
      <c r="K326" s="5">
        <f t="shared" si="11"/>
        <v>3.182912</v>
      </c>
      <c r="L326" s="6">
        <f>K326/'Quellen &amp; Annahmen'!$B$2</f>
        <v>2.8830492217952229E-5</v>
      </c>
      <c r="M326" s="7" t="s">
        <v>179</v>
      </c>
      <c r="N326" s="7" t="s">
        <v>180</v>
      </c>
    </row>
    <row r="327" spans="1:14" ht="18" customHeight="1">
      <c r="A327">
        <v>326</v>
      </c>
      <c r="B327" t="s">
        <v>412</v>
      </c>
      <c r="C327" t="s">
        <v>263</v>
      </c>
      <c r="D327" s="2">
        <v>0</v>
      </c>
      <c r="E327" s="2">
        <v>0</v>
      </c>
      <c r="F327" s="2">
        <v>0</v>
      </c>
      <c r="G327" s="2">
        <v>0</v>
      </c>
      <c r="H327" s="2">
        <v>1.0089359999999998</v>
      </c>
      <c r="I327" s="2">
        <v>2.1679759999999999</v>
      </c>
      <c r="J327" s="5">
        <f t="shared" si="10"/>
        <v>3.1769119999999997</v>
      </c>
      <c r="K327" s="5">
        <f t="shared" si="11"/>
        <v>3.1769119999999997</v>
      </c>
      <c r="L327" s="6">
        <f>K327/'Quellen &amp; Annahmen'!$B$2</f>
        <v>2.8776144829991858E-5</v>
      </c>
      <c r="M327" s="7" t="s">
        <v>179</v>
      </c>
      <c r="N327" s="7" t="s">
        <v>180</v>
      </c>
    </row>
    <row r="328" spans="1:14" ht="18" customHeight="1">
      <c r="A328">
        <v>327</v>
      </c>
      <c r="B328" t="s">
        <v>413</v>
      </c>
      <c r="C328" t="s">
        <v>38</v>
      </c>
      <c r="D328" s="2">
        <v>0</v>
      </c>
      <c r="E328" s="2">
        <v>0</v>
      </c>
      <c r="F328" s="2">
        <v>0</v>
      </c>
      <c r="G328" s="2">
        <v>0</v>
      </c>
      <c r="H328" s="2">
        <v>1.0089359999999998</v>
      </c>
      <c r="I328" s="2">
        <v>2.1679759999999999</v>
      </c>
      <c r="J328" s="5">
        <f t="shared" si="10"/>
        <v>3.1769119999999997</v>
      </c>
      <c r="K328" s="5">
        <f t="shared" si="11"/>
        <v>3.1769119999999997</v>
      </c>
      <c r="L328" s="6">
        <f>K328/'Quellen &amp; Annahmen'!$B$2</f>
        <v>2.8776144829991858E-5</v>
      </c>
      <c r="M328" s="7" t="s">
        <v>179</v>
      </c>
      <c r="N328" s="7" t="s">
        <v>180</v>
      </c>
    </row>
    <row r="329" spans="1:14" ht="18" customHeight="1">
      <c r="A329">
        <v>328</v>
      </c>
      <c r="B329" t="s">
        <v>414</v>
      </c>
      <c r="C329" t="s">
        <v>25</v>
      </c>
      <c r="D329" s="2">
        <v>0</v>
      </c>
      <c r="E329" s="2">
        <v>0</v>
      </c>
      <c r="F329" s="2">
        <v>0</v>
      </c>
      <c r="G329" s="2">
        <v>0</v>
      </c>
      <c r="H329" s="2">
        <v>1.0089359999999998</v>
      </c>
      <c r="I329" s="2">
        <v>2.1679759999999999</v>
      </c>
      <c r="J329" s="5">
        <f t="shared" si="10"/>
        <v>3.1769119999999997</v>
      </c>
      <c r="K329" s="5">
        <f t="shared" si="11"/>
        <v>3.1769119999999997</v>
      </c>
      <c r="L329" s="6">
        <f>K329/'Quellen &amp; Annahmen'!$B$2</f>
        <v>2.8776144829991858E-5</v>
      </c>
      <c r="M329" s="7" t="s">
        <v>179</v>
      </c>
      <c r="N329" s="7" t="s">
        <v>180</v>
      </c>
    </row>
    <row r="330" spans="1:14" ht="18" customHeight="1">
      <c r="A330">
        <v>329</v>
      </c>
      <c r="B330" t="s">
        <v>415</v>
      </c>
      <c r="C330" t="s">
        <v>38</v>
      </c>
      <c r="D330" s="2">
        <v>0</v>
      </c>
      <c r="E330" s="2">
        <v>0</v>
      </c>
      <c r="F330" s="2">
        <v>0</v>
      </c>
      <c r="G330" s="2">
        <v>0</v>
      </c>
      <c r="H330" s="2">
        <v>1.0089359999999998</v>
      </c>
      <c r="I330" s="2">
        <v>2.1679759999999999</v>
      </c>
      <c r="J330" s="5">
        <f t="shared" si="10"/>
        <v>3.1769119999999997</v>
      </c>
      <c r="K330" s="5">
        <f t="shared" si="11"/>
        <v>3.1769119999999997</v>
      </c>
      <c r="L330" s="6">
        <f>K330/'Quellen &amp; Annahmen'!$B$2</f>
        <v>2.8776144829991858E-5</v>
      </c>
      <c r="M330" s="7" t="s">
        <v>179</v>
      </c>
      <c r="N330" s="7" t="s">
        <v>180</v>
      </c>
    </row>
    <row r="331" spans="1:14" ht="18" customHeight="1">
      <c r="A331">
        <v>330</v>
      </c>
      <c r="B331" t="s">
        <v>416</v>
      </c>
      <c r="C331" t="s">
        <v>23</v>
      </c>
      <c r="D331" s="2">
        <v>0</v>
      </c>
      <c r="E331" s="2">
        <v>0</v>
      </c>
      <c r="F331" s="2">
        <v>0</v>
      </c>
      <c r="G331" s="2">
        <v>0</v>
      </c>
      <c r="H331" s="2">
        <v>1.6815600000000002</v>
      </c>
      <c r="I331" s="2">
        <v>1.4833519999999998</v>
      </c>
      <c r="J331" s="5">
        <f t="shared" si="10"/>
        <v>3.1649120000000002</v>
      </c>
      <c r="K331" s="5">
        <f t="shared" si="11"/>
        <v>3.1649120000000002</v>
      </c>
      <c r="L331" s="6">
        <f>K331/'Quellen &amp; Annahmen'!$B$2</f>
        <v>2.8667450054071124E-5</v>
      </c>
      <c r="M331" s="7" t="s">
        <v>179</v>
      </c>
      <c r="N331" s="7" t="s">
        <v>180</v>
      </c>
    </row>
    <row r="332" spans="1:14" ht="18" customHeight="1">
      <c r="A332">
        <v>331</v>
      </c>
      <c r="B332" t="s">
        <v>417</v>
      </c>
      <c r="C332" t="s">
        <v>38</v>
      </c>
      <c r="D332" s="2">
        <v>0</v>
      </c>
      <c r="E332" s="2">
        <v>0</v>
      </c>
      <c r="F332" s="2">
        <v>0</v>
      </c>
      <c r="G332" s="2">
        <v>0</v>
      </c>
      <c r="H332" s="2">
        <v>0.336312</v>
      </c>
      <c r="I332" s="2">
        <v>2.738496</v>
      </c>
      <c r="J332" s="5">
        <f t="shared" si="10"/>
        <v>3.074808</v>
      </c>
      <c r="K332" s="5">
        <f t="shared" si="11"/>
        <v>3.074808</v>
      </c>
      <c r="L332" s="6">
        <f>K332/'Quellen &amp; Annahmen'!$B$2</f>
        <v>2.7851297213274277E-5</v>
      </c>
      <c r="M332" s="7" t="s">
        <v>179</v>
      </c>
      <c r="N332" s="7" t="s">
        <v>180</v>
      </c>
    </row>
    <row r="333" spans="1:14" ht="18" customHeight="1">
      <c r="A333">
        <v>332</v>
      </c>
      <c r="B333" t="s">
        <v>418</v>
      </c>
      <c r="C333" t="s">
        <v>25</v>
      </c>
      <c r="D333" s="2">
        <v>0</v>
      </c>
      <c r="E333" s="2">
        <v>0</v>
      </c>
      <c r="F333" s="2">
        <v>0</v>
      </c>
      <c r="G333" s="2">
        <v>0</v>
      </c>
      <c r="H333" s="2">
        <v>0.672624</v>
      </c>
      <c r="I333" s="2">
        <v>2.3961839999999999</v>
      </c>
      <c r="J333" s="5">
        <f t="shared" si="10"/>
        <v>3.0688079999999998</v>
      </c>
      <c r="K333" s="5">
        <f t="shared" si="11"/>
        <v>3.0688079999999998</v>
      </c>
      <c r="L333" s="6">
        <f>K333/'Quellen &amp; Annahmen'!$B$2</f>
        <v>2.7796949825313907E-5</v>
      </c>
      <c r="M333" s="7" t="s">
        <v>179</v>
      </c>
      <c r="N333" s="7" t="s">
        <v>180</v>
      </c>
    </row>
    <row r="334" spans="1:14" ht="18" customHeight="1">
      <c r="A334">
        <v>333</v>
      </c>
      <c r="B334" t="s">
        <v>419</v>
      </c>
      <c r="C334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0.672624</v>
      </c>
      <c r="I334" s="2">
        <v>2.3961839999999999</v>
      </c>
      <c r="J334" s="5">
        <f t="shared" si="10"/>
        <v>3.0688079999999998</v>
      </c>
      <c r="K334" s="5">
        <f t="shared" si="11"/>
        <v>3.0688079999999998</v>
      </c>
      <c r="L334" s="6">
        <f>K334/'Quellen &amp; Annahmen'!$B$2</f>
        <v>2.7796949825313907E-5</v>
      </c>
      <c r="M334" s="7" t="s">
        <v>179</v>
      </c>
      <c r="N334" s="7" t="s">
        <v>180</v>
      </c>
    </row>
    <row r="335" spans="1:14" ht="18" customHeight="1">
      <c r="A335">
        <v>334</v>
      </c>
      <c r="B335" t="s">
        <v>420</v>
      </c>
      <c r="C335" t="s">
        <v>253</v>
      </c>
      <c r="D335" s="2">
        <v>0</v>
      </c>
      <c r="E335" s="2">
        <v>0</v>
      </c>
      <c r="F335" s="2">
        <v>0</v>
      </c>
      <c r="G335" s="2">
        <v>0</v>
      </c>
      <c r="H335" s="2">
        <v>1.0089359999999998</v>
      </c>
      <c r="I335" s="2">
        <v>2.0538719999999997</v>
      </c>
      <c r="J335" s="5">
        <f t="shared" si="10"/>
        <v>3.0628079999999995</v>
      </c>
      <c r="K335" s="5">
        <f t="shared" si="11"/>
        <v>3.0628079999999995</v>
      </c>
      <c r="L335" s="6">
        <f>K335/'Quellen &amp; Annahmen'!$B$2</f>
        <v>2.7742602437353536E-5</v>
      </c>
      <c r="M335" s="7" t="s">
        <v>179</v>
      </c>
      <c r="N335" s="7" t="s">
        <v>180</v>
      </c>
    </row>
    <row r="336" spans="1:14" ht="18" customHeight="1">
      <c r="A336">
        <v>335</v>
      </c>
      <c r="B336" t="s">
        <v>421</v>
      </c>
      <c r="C336" t="s">
        <v>25</v>
      </c>
      <c r="D336" s="2">
        <v>0</v>
      </c>
      <c r="E336" s="2">
        <v>0</v>
      </c>
      <c r="F336" s="2">
        <v>0</v>
      </c>
      <c r="G336" s="2">
        <v>0</v>
      </c>
      <c r="H336" s="2">
        <v>1.0089359999999998</v>
      </c>
      <c r="I336" s="2">
        <v>2.0538719999999997</v>
      </c>
      <c r="J336" s="5">
        <f t="shared" si="10"/>
        <v>3.0628079999999995</v>
      </c>
      <c r="K336" s="5">
        <f t="shared" si="11"/>
        <v>3.0628079999999995</v>
      </c>
      <c r="L336" s="6">
        <f>K336/'Quellen &amp; Annahmen'!$B$2</f>
        <v>2.7742602437353536E-5</v>
      </c>
      <c r="M336" s="7" t="s">
        <v>179</v>
      </c>
      <c r="N336" s="7" t="s">
        <v>180</v>
      </c>
    </row>
    <row r="337" spans="1:14" ht="18" customHeight="1">
      <c r="A337">
        <v>336</v>
      </c>
      <c r="B337" t="s">
        <v>422</v>
      </c>
      <c r="C337" t="s">
        <v>253</v>
      </c>
      <c r="D337" s="2">
        <v>0</v>
      </c>
      <c r="E337" s="2">
        <v>0</v>
      </c>
      <c r="F337" s="2">
        <v>0</v>
      </c>
      <c r="G337" s="2">
        <v>0</v>
      </c>
      <c r="H337" s="2">
        <v>1.6815600000000002</v>
      </c>
      <c r="I337" s="2">
        <v>1.369248</v>
      </c>
      <c r="J337" s="5">
        <f t="shared" si="10"/>
        <v>3.050808</v>
      </c>
      <c r="K337" s="5">
        <f t="shared" si="11"/>
        <v>3.050808</v>
      </c>
      <c r="L337" s="6">
        <f>K337/'Quellen &amp; Annahmen'!$B$2</f>
        <v>2.7633907661432801E-5</v>
      </c>
      <c r="M337" s="7" t="s">
        <v>179</v>
      </c>
      <c r="N337" s="7" t="s">
        <v>180</v>
      </c>
    </row>
    <row r="338" spans="1:14" ht="18" customHeight="1">
      <c r="A338">
        <v>337</v>
      </c>
      <c r="B338" t="s">
        <v>423</v>
      </c>
      <c r="C338" t="s">
        <v>23</v>
      </c>
      <c r="D338" s="2">
        <v>0</v>
      </c>
      <c r="E338" s="2">
        <v>0</v>
      </c>
      <c r="F338" s="2">
        <v>0</v>
      </c>
      <c r="G338" s="2">
        <v>0</v>
      </c>
      <c r="H338" s="2">
        <v>1.6815600000000002</v>
      </c>
      <c r="I338" s="2">
        <v>1.369248</v>
      </c>
      <c r="J338" s="5">
        <f t="shared" si="10"/>
        <v>3.050808</v>
      </c>
      <c r="K338" s="5">
        <f t="shared" si="11"/>
        <v>3.050808</v>
      </c>
      <c r="L338" s="6">
        <f>K338/'Quellen &amp; Annahmen'!$B$2</f>
        <v>2.7633907661432801E-5</v>
      </c>
      <c r="M338" s="7" t="s">
        <v>179</v>
      </c>
      <c r="N338" s="7" t="s">
        <v>180</v>
      </c>
    </row>
    <row r="339" spans="1:14" ht="18" customHeight="1">
      <c r="A339">
        <v>338</v>
      </c>
      <c r="B339" t="s">
        <v>424</v>
      </c>
      <c r="C339" t="s">
        <v>38</v>
      </c>
      <c r="D339" s="2">
        <v>0</v>
      </c>
      <c r="E339" s="2">
        <v>0</v>
      </c>
      <c r="F339" s="2">
        <v>0</v>
      </c>
      <c r="G339" s="2">
        <v>0</v>
      </c>
      <c r="H339" s="2">
        <v>3.0268079999999999</v>
      </c>
      <c r="I339" s="2">
        <v>0</v>
      </c>
      <c r="J339" s="5">
        <f t="shared" si="10"/>
        <v>3.0268079999999999</v>
      </c>
      <c r="K339" s="5">
        <f t="shared" si="11"/>
        <v>3.0268079999999999</v>
      </c>
      <c r="L339" s="6">
        <f>K339/'Quellen &amp; Annahmen'!$B$2</f>
        <v>2.7416518109591325E-5</v>
      </c>
      <c r="M339" s="7" t="s">
        <v>187</v>
      </c>
      <c r="N339" s="7" t="s">
        <v>188</v>
      </c>
    </row>
    <row r="340" spans="1:14" ht="18" customHeight="1">
      <c r="A340">
        <v>339</v>
      </c>
      <c r="B340" t="s">
        <v>425</v>
      </c>
      <c r="C340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3.0268079999999999</v>
      </c>
      <c r="I340" s="2">
        <v>0</v>
      </c>
      <c r="J340" s="5">
        <f t="shared" si="10"/>
        <v>3.0268079999999999</v>
      </c>
      <c r="K340" s="5">
        <f t="shared" si="11"/>
        <v>3.0268079999999999</v>
      </c>
      <c r="L340" s="6">
        <f>K340/'Quellen &amp; Annahmen'!$B$2</f>
        <v>2.7416518109591325E-5</v>
      </c>
      <c r="M340" s="7" t="s">
        <v>187</v>
      </c>
      <c r="N340" s="7" t="s">
        <v>188</v>
      </c>
    </row>
    <row r="341" spans="1:14" ht="18" customHeight="1">
      <c r="A341">
        <v>340</v>
      </c>
      <c r="B341" t="s">
        <v>426</v>
      </c>
      <c r="C34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3.0268079999999999</v>
      </c>
      <c r="I341" s="2">
        <v>0</v>
      </c>
      <c r="J341" s="5">
        <f t="shared" si="10"/>
        <v>3.0268079999999999</v>
      </c>
      <c r="K341" s="5">
        <f t="shared" si="11"/>
        <v>3.0268079999999999</v>
      </c>
      <c r="L341" s="6">
        <f>K341/'Quellen &amp; Annahmen'!$B$2</f>
        <v>2.7416518109591325E-5</v>
      </c>
      <c r="M341" s="7" t="s">
        <v>187</v>
      </c>
      <c r="N341" s="7" t="s">
        <v>188</v>
      </c>
    </row>
    <row r="342" spans="1:14" ht="18" customHeight="1">
      <c r="A342">
        <v>341</v>
      </c>
      <c r="B342" t="s">
        <v>427</v>
      </c>
      <c r="C342" t="s">
        <v>25</v>
      </c>
      <c r="D342" s="2">
        <v>0</v>
      </c>
      <c r="E342" s="2">
        <v>0</v>
      </c>
      <c r="F342" s="2">
        <v>0</v>
      </c>
      <c r="G342" s="2">
        <v>0</v>
      </c>
      <c r="H342" s="2">
        <v>3.0268079999999999</v>
      </c>
      <c r="I342" s="2">
        <v>0</v>
      </c>
      <c r="J342" s="5">
        <f t="shared" si="10"/>
        <v>3.0268079999999999</v>
      </c>
      <c r="K342" s="5">
        <f t="shared" si="11"/>
        <v>3.0268079999999999</v>
      </c>
      <c r="L342" s="6">
        <f>K342/'Quellen &amp; Annahmen'!$B$2</f>
        <v>2.7416518109591325E-5</v>
      </c>
      <c r="M342" s="7" t="s">
        <v>187</v>
      </c>
      <c r="N342" s="7" t="s">
        <v>188</v>
      </c>
    </row>
    <row r="343" spans="1:14" ht="18" customHeight="1">
      <c r="A343">
        <v>342</v>
      </c>
      <c r="B343" t="s">
        <v>428</v>
      </c>
      <c r="C343" t="s">
        <v>23</v>
      </c>
      <c r="D343" s="2">
        <v>0</v>
      </c>
      <c r="E343" s="2">
        <v>0</v>
      </c>
      <c r="F343" s="2">
        <v>0</v>
      </c>
      <c r="G343" s="2">
        <v>0</v>
      </c>
      <c r="H343" s="2">
        <v>3.0268079999999999</v>
      </c>
      <c r="I343" s="2">
        <v>0</v>
      </c>
      <c r="J343" s="5">
        <f t="shared" si="10"/>
        <v>3.0268079999999999</v>
      </c>
      <c r="K343" s="5">
        <f t="shared" si="11"/>
        <v>3.0268079999999999</v>
      </c>
      <c r="L343" s="6">
        <f>K343/'Quellen &amp; Annahmen'!$B$2</f>
        <v>2.7416518109591325E-5</v>
      </c>
      <c r="M343" s="7" t="s">
        <v>187</v>
      </c>
      <c r="N343" s="7" t="s">
        <v>188</v>
      </c>
    </row>
    <row r="344" spans="1:14" ht="18" customHeight="1">
      <c r="A344">
        <v>343</v>
      </c>
      <c r="B344" t="s">
        <v>429</v>
      </c>
      <c r="C344" t="s">
        <v>50</v>
      </c>
      <c r="D344" s="2">
        <v>0</v>
      </c>
      <c r="E344" s="2">
        <v>0</v>
      </c>
      <c r="F344" s="2">
        <v>0</v>
      </c>
      <c r="G344" s="2">
        <v>0</v>
      </c>
      <c r="H344" s="2">
        <v>3.0268079999999999</v>
      </c>
      <c r="I344" s="2">
        <v>0</v>
      </c>
      <c r="J344" s="5">
        <f t="shared" si="10"/>
        <v>3.0268079999999999</v>
      </c>
      <c r="K344" s="5">
        <f t="shared" si="11"/>
        <v>3.0268079999999999</v>
      </c>
      <c r="L344" s="6">
        <f>K344/'Quellen &amp; Annahmen'!$B$2</f>
        <v>2.7416518109591325E-5</v>
      </c>
      <c r="M344" s="7" t="s">
        <v>187</v>
      </c>
      <c r="N344" s="7" t="s">
        <v>188</v>
      </c>
    </row>
    <row r="345" spans="1:14" ht="18" customHeight="1">
      <c r="A345">
        <v>344</v>
      </c>
      <c r="B345" t="s">
        <v>430</v>
      </c>
      <c r="C345" t="s">
        <v>41</v>
      </c>
      <c r="D345" s="2">
        <v>0</v>
      </c>
      <c r="E345" s="2">
        <v>0</v>
      </c>
      <c r="F345" s="2">
        <v>0</v>
      </c>
      <c r="G345" s="2">
        <v>0</v>
      </c>
      <c r="H345" s="2">
        <v>3.0268079999999999</v>
      </c>
      <c r="I345" s="2">
        <v>0</v>
      </c>
      <c r="J345" s="5">
        <f t="shared" si="10"/>
        <v>3.0268079999999999</v>
      </c>
      <c r="K345" s="5">
        <f t="shared" si="11"/>
        <v>3.0268079999999999</v>
      </c>
      <c r="L345" s="6">
        <f>K345/'Quellen &amp; Annahmen'!$B$2</f>
        <v>2.7416518109591325E-5</v>
      </c>
      <c r="M345" s="7" t="s">
        <v>187</v>
      </c>
      <c r="N345" s="7" t="s">
        <v>188</v>
      </c>
    </row>
    <row r="346" spans="1:14" ht="18" customHeight="1">
      <c r="A346">
        <v>345</v>
      </c>
      <c r="B346" t="s">
        <v>431</v>
      </c>
      <c r="C346" t="s">
        <v>23</v>
      </c>
      <c r="D346" s="2">
        <v>0</v>
      </c>
      <c r="E346" s="2">
        <v>0</v>
      </c>
      <c r="F346" s="2">
        <v>0</v>
      </c>
      <c r="G346" s="2">
        <v>0</v>
      </c>
      <c r="H346" s="2">
        <v>3.0268079999999999</v>
      </c>
      <c r="I346" s="2">
        <v>0</v>
      </c>
      <c r="J346" s="5">
        <f t="shared" si="10"/>
        <v>3.0268079999999999</v>
      </c>
      <c r="K346" s="5">
        <f t="shared" si="11"/>
        <v>3.0268079999999999</v>
      </c>
      <c r="L346" s="6">
        <f>K346/'Quellen &amp; Annahmen'!$B$2</f>
        <v>2.7416518109591325E-5</v>
      </c>
      <c r="M346" s="7" t="s">
        <v>187</v>
      </c>
      <c r="N346" s="7" t="s">
        <v>188</v>
      </c>
    </row>
    <row r="347" spans="1:14" ht="18" customHeight="1">
      <c r="A347">
        <v>346</v>
      </c>
      <c r="B347" t="s">
        <v>432</v>
      </c>
      <c r="C347" t="s">
        <v>23</v>
      </c>
      <c r="D347" s="2">
        <v>0</v>
      </c>
      <c r="E347" s="2">
        <v>0</v>
      </c>
      <c r="F347" s="2">
        <v>0</v>
      </c>
      <c r="G347" s="2">
        <v>0</v>
      </c>
      <c r="H347" s="2">
        <v>3.0268079999999999</v>
      </c>
      <c r="I347" s="2">
        <v>0</v>
      </c>
      <c r="J347" s="5">
        <f t="shared" si="10"/>
        <v>3.0268079999999999</v>
      </c>
      <c r="K347" s="5">
        <f t="shared" si="11"/>
        <v>3.0268079999999999</v>
      </c>
      <c r="L347" s="6">
        <f>K347/'Quellen &amp; Annahmen'!$B$2</f>
        <v>2.7416518109591325E-5</v>
      </c>
      <c r="M347" s="7" t="s">
        <v>187</v>
      </c>
      <c r="N347" s="7" t="s">
        <v>188</v>
      </c>
    </row>
    <row r="348" spans="1:14" ht="18" customHeight="1">
      <c r="A348">
        <v>347</v>
      </c>
      <c r="B348" t="s">
        <v>433</v>
      </c>
      <c r="C348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3.0268079999999999</v>
      </c>
      <c r="I348" s="2">
        <v>0</v>
      </c>
      <c r="J348" s="5">
        <f t="shared" si="10"/>
        <v>3.0268079999999999</v>
      </c>
      <c r="K348" s="5">
        <f t="shared" si="11"/>
        <v>3.0268079999999999</v>
      </c>
      <c r="L348" s="6">
        <f>K348/'Quellen &amp; Annahmen'!$B$2</f>
        <v>2.7416518109591325E-5</v>
      </c>
      <c r="M348" s="7" t="s">
        <v>187</v>
      </c>
      <c r="N348" s="7" t="s">
        <v>188</v>
      </c>
    </row>
    <row r="349" spans="1:14" ht="18" customHeight="1">
      <c r="A349">
        <v>348</v>
      </c>
      <c r="B349" t="s">
        <v>434</v>
      </c>
      <c r="C349" t="s">
        <v>38</v>
      </c>
      <c r="D349" s="2">
        <v>0</v>
      </c>
      <c r="E349" s="2">
        <v>0</v>
      </c>
      <c r="F349" s="2">
        <v>0</v>
      </c>
      <c r="G349" s="2">
        <v>0</v>
      </c>
      <c r="H349" s="2">
        <v>3.0268079999999999</v>
      </c>
      <c r="I349" s="2">
        <v>0</v>
      </c>
      <c r="J349" s="5">
        <f t="shared" si="10"/>
        <v>3.0268079999999999</v>
      </c>
      <c r="K349" s="5">
        <f t="shared" si="11"/>
        <v>3.0268079999999999</v>
      </c>
      <c r="L349" s="6">
        <f>K349/'Quellen &amp; Annahmen'!$B$2</f>
        <v>2.7416518109591325E-5</v>
      </c>
      <c r="M349" s="7" t="s">
        <v>187</v>
      </c>
      <c r="N349" s="7" t="s">
        <v>188</v>
      </c>
    </row>
    <row r="350" spans="1:14" ht="18" customHeight="1">
      <c r="A350">
        <v>349</v>
      </c>
      <c r="B350" t="s">
        <v>435</v>
      </c>
      <c r="C350" t="s">
        <v>23</v>
      </c>
      <c r="D350" s="2">
        <v>0</v>
      </c>
      <c r="E350" s="2">
        <v>0</v>
      </c>
      <c r="F350" s="2">
        <v>0</v>
      </c>
      <c r="G350" s="2">
        <v>0</v>
      </c>
      <c r="H350" s="2">
        <v>3.0268079999999999</v>
      </c>
      <c r="I350" s="2">
        <v>0</v>
      </c>
      <c r="J350" s="5">
        <f t="shared" si="10"/>
        <v>3.0268079999999999</v>
      </c>
      <c r="K350" s="5">
        <f t="shared" si="11"/>
        <v>3.0268079999999999</v>
      </c>
      <c r="L350" s="6">
        <f>K350/'Quellen &amp; Annahmen'!$B$2</f>
        <v>2.7416518109591325E-5</v>
      </c>
      <c r="M350" s="7" t="s">
        <v>187</v>
      </c>
      <c r="N350" s="7" t="s">
        <v>188</v>
      </c>
    </row>
    <row r="351" spans="1:14" ht="18" customHeight="1">
      <c r="A351">
        <v>350</v>
      </c>
      <c r="B351" t="s">
        <v>436</v>
      </c>
      <c r="C351" t="s">
        <v>25</v>
      </c>
      <c r="D351" s="2">
        <v>0</v>
      </c>
      <c r="E351" s="2">
        <v>0</v>
      </c>
      <c r="F351" s="2">
        <v>0</v>
      </c>
      <c r="G351" s="2">
        <v>0</v>
      </c>
      <c r="H351" s="2">
        <v>3.0268079999999999</v>
      </c>
      <c r="I351" s="2">
        <v>0</v>
      </c>
      <c r="J351" s="5">
        <f t="shared" si="10"/>
        <v>3.0268079999999999</v>
      </c>
      <c r="K351" s="5">
        <f t="shared" si="11"/>
        <v>3.0268079999999999</v>
      </c>
      <c r="L351" s="6">
        <f>K351/'Quellen &amp; Annahmen'!$B$2</f>
        <v>2.7416518109591325E-5</v>
      </c>
      <c r="M351" s="7" t="s">
        <v>187</v>
      </c>
      <c r="N351" s="7" t="s">
        <v>188</v>
      </c>
    </row>
    <row r="352" spans="1:14" ht="18" customHeight="1">
      <c r="A352">
        <v>351</v>
      </c>
      <c r="B352" t="s">
        <v>437</v>
      </c>
      <c r="C352" t="s">
        <v>25</v>
      </c>
      <c r="D352" s="2">
        <v>0</v>
      </c>
      <c r="E352" s="2">
        <v>0</v>
      </c>
      <c r="F352" s="2">
        <v>0</v>
      </c>
      <c r="G352" s="2">
        <v>0</v>
      </c>
      <c r="H352" s="2">
        <v>3.0268079999999999</v>
      </c>
      <c r="I352" s="2">
        <v>0</v>
      </c>
      <c r="J352" s="5">
        <f t="shared" si="10"/>
        <v>3.0268079999999999</v>
      </c>
      <c r="K352" s="5">
        <f t="shared" si="11"/>
        <v>3.0268079999999999</v>
      </c>
      <c r="L352" s="6">
        <f>K352/'Quellen &amp; Annahmen'!$B$2</f>
        <v>2.7416518109591325E-5</v>
      </c>
      <c r="M352" s="7" t="s">
        <v>187</v>
      </c>
      <c r="N352" s="7" t="s">
        <v>188</v>
      </c>
    </row>
    <row r="353" spans="1:14" ht="18" customHeight="1">
      <c r="A353">
        <v>352</v>
      </c>
      <c r="B353" t="s">
        <v>438</v>
      </c>
      <c r="C353" t="s">
        <v>263</v>
      </c>
      <c r="D353" s="2">
        <v>0</v>
      </c>
      <c r="E353" s="2">
        <v>0</v>
      </c>
      <c r="F353" s="2">
        <v>0</v>
      </c>
      <c r="G353" s="2">
        <v>0</v>
      </c>
      <c r="H353" s="2">
        <v>3.0268079999999999</v>
      </c>
      <c r="I353" s="2">
        <v>0</v>
      </c>
      <c r="J353" s="5">
        <f t="shared" si="10"/>
        <v>3.0268079999999999</v>
      </c>
      <c r="K353" s="5">
        <f t="shared" si="11"/>
        <v>3.0268079999999999</v>
      </c>
      <c r="L353" s="6">
        <f>K353/'Quellen &amp; Annahmen'!$B$2</f>
        <v>2.7416518109591325E-5</v>
      </c>
      <c r="M353" s="7" t="s">
        <v>187</v>
      </c>
      <c r="N353" s="7" t="s">
        <v>188</v>
      </c>
    </row>
    <row r="354" spans="1:14" ht="18" customHeight="1">
      <c r="A354">
        <v>353</v>
      </c>
      <c r="B354" t="s">
        <v>439</v>
      </c>
      <c r="C354" t="s">
        <v>108</v>
      </c>
      <c r="D354" s="2">
        <v>0</v>
      </c>
      <c r="E354" s="2">
        <v>0</v>
      </c>
      <c r="F354" s="2">
        <v>0</v>
      </c>
      <c r="G354" s="2">
        <v>0</v>
      </c>
      <c r="H354" s="2">
        <v>3.0268079999999999</v>
      </c>
      <c r="I354" s="2">
        <v>0</v>
      </c>
      <c r="J354" s="5">
        <f t="shared" si="10"/>
        <v>3.0268079999999999</v>
      </c>
      <c r="K354" s="5">
        <f t="shared" si="11"/>
        <v>3.0268079999999999</v>
      </c>
      <c r="L354" s="6">
        <f>K354/'Quellen &amp; Annahmen'!$B$2</f>
        <v>2.7416518109591325E-5</v>
      </c>
      <c r="M354" s="7" t="s">
        <v>187</v>
      </c>
      <c r="N354" s="7" t="s">
        <v>188</v>
      </c>
    </row>
    <row r="355" spans="1:14" ht="18" customHeight="1">
      <c r="A355">
        <v>354</v>
      </c>
      <c r="B355" t="s">
        <v>440</v>
      </c>
      <c r="C355" t="s">
        <v>124</v>
      </c>
      <c r="D355" s="2">
        <v>0</v>
      </c>
      <c r="E355" s="2">
        <v>0</v>
      </c>
      <c r="F355" s="2">
        <v>0</v>
      </c>
      <c r="G355" s="2">
        <v>0</v>
      </c>
      <c r="H355" s="2">
        <v>3.0268079999999999</v>
      </c>
      <c r="I355" s="2">
        <v>0</v>
      </c>
      <c r="J355" s="5">
        <f t="shared" si="10"/>
        <v>3.0268079999999999</v>
      </c>
      <c r="K355" s="5">
        <f t="shared" si="11"/>
        <v>3.0268079999999999</v>
      </c>
      <c r="L355" s="6">
        <f>K355/'Quellen &amp; Annahmen'!$B$2</f>
        <v>2.7416518109591325E-5</v>
      </c>
      <c r="M355" s="7" t="s">
        <v>187</v>
      </c>
      <c r="N355" s="7" t="s">
        <v>188</v>
      </c>
    </row>
    <row r="356" spans="1:14" ht="18" customHeight="1">
      <c r="A356">
        <v>355</v>
      </c>
      <c r="B356" t="s">
        <v>441</v>
      </c>
      <c r="C356" t="s">
        <v>23</v>
      </c>
      <c r="D356" s="2">
        <v>0</v>
      </c>
      <c r="E356" s="2">
        <v>0</v>
      </c>
      <c r="F356" s="2">
        <v>0</v>
      </c>
      <c r="G356" s="2">
        <v>0</v>
      </c>
      <c r="H356" s="2">
        <v>3.0268079999999999</v>
      </c>
      <c r="I356" s="2">
        <v>0</v>
      </c>
      <c r="J356" s="5">
        <f t="shared" si="10"/>
        <v>3.0268079999999999</v>
      </c>
      <c r="K356" s="5">
        <f t="shared" si="11"/>
        <v>3.0268079999999999</v>
      </c>
      <c r="L356" s="6">
        <f>K356/'Quellen &amp; Annahmen'!$B$2</f>
        <v>2.7416518109591325E-5</v>
      </c>
      <c r="M356" s="7" t="s">
        <v>187</v>
      </c>
      <c r="N356" s="7" t="s">
        <v>188</v>
      </c>
    </row>
    <row r="357" spans="1:14" ht="18" customHeight="1">
      <c r="A357">
        <v>356</v>
      </c>
      <c r="B357" t="s">
        <v>442</v>
      </c>
      <c r="C357" t="s">
        <v>253</v>
      </c>
      <c r="D357" s="2">
        <v>0</v>
      </c>
      <c r="E357" s="2">
        <v>0</v>
      </c>
      <c r="F357" s="2">
        <v>0</v>
      </c>
      <c r="G357" s="2">
        <v>0</v>
      </c>
      <c r="H357" s="2">
        <v>3.0268079999999999</v>
      </c>
      <c r="I357" s="2">
        <v>0</v>
      </c>
      <c r="J357" s="5">
        <f t="shared" si="10"/>
        <v>3.0268079999999999</v>
      </c>
      <c r="K357" s="5">
        <f t="shared" si="11"/>
        <v>3.0268079999999999</v>
      </c>
      <c r="L357" s="6">
        <f>K357/'Quellen &amp; Annahmen'!$B$2</f>
        <v>2.7416518109591325E-5</v>
      </c>
      <c r="M357" s="7" t="s">
        <v>187</v>
      </c>
      <c r="N357" s="7" t="s">
        <v>188</v>
      </c>
    </row>
    <row r="358" spans="1:14" ht="18" customHeight="1">
      <c r="A358">
        <v>357</v>
      </c>
      <c r="B358" t="s">
        <v>443</v>
      </c>
      <c r="C358" t="s">
        <v>41</v>
      </c>
      <c r="D358" s="2">
        <v>0</v>
      </c>
      <c r="E358" s="2">
        <v>0</v>
      </c>
      <c r="F358" s="2">
        <v>0</v>
      </c>
      <c r="G358" s="2">
        <v>0</v>
      </c>
      <c r="H358" s="2">
        <v>3.0268079999999999</v>
      </c>
      <c r="I358" s="2">
        <v>0</v>
      </c>
      <c r="J358" s="5">
        <f t="shared" si="10"/>
        <v>3.0268079999999999</v>
      </c>
      <c r="K358" s="5">
        <f t="shared" si="11"/>
        <v>3.0268079999999999</v>
      </c>
      <c r="L358" s="6">
        <f>K358/'Quellen &amp; Annahmen'!$B$2</f>
        <v>2.7416518109591325E-5</v>
      </c>
      <c r="M358" s="7" t="s">
        <v>187</v>
      </c>
      <c r="N358" s="7" t="s">
        <v>188</v>
      </c>
    </row>
    <row r="359" spans="1:14" ht="18" customHeight="1">
      <c r="A359">
        <v>358</v>
      </c>
      <c r="B359" t="s">
        <v>444</v>
      </c>
      <c r="C359" t="s">
        <v>124</v>
      </c>
      <c r="D359" s="2">
        <v>0</v>
      </c>
      <c r="E359" s="2">
        <v>0</v>
      </c>
      <c r="F359" s="2">
        <v>0</v>
      </c>
      <c r="G359" s="2">
        <v>0</v>
      </c>
      <c r="H359" s="2">
        <v>3.0268079999999999</v>
      </c>
      <c r="I359" s="2">
        <v>0</v>
      </c>
      <c r="J359" s="5">
        <f t="shared" si="10"/>
        <v>3.0268079999999999</v>
      </c>
      <c r="K359" s="5">
        <f t="shared" si="11"/>
        <v>3.0268079999999999</v>
      </c>
      <c r="L359" s="6">
        <f>K359/'Quellen &amp; Annahmen'!$B$2</f>
        <v>2.7416518109591325E-5</v>
      </c>
      <c r="M359" s="7" t="s">
        <v>187</v>
      </c>
      <c r="N359" s="7" t="s">
        <v>188</v>
      </c>
    </row>
    <row r="360" spans="1:14" ht="18" customHeight="1">
      <c r="A360">
        <v>359</v>
      </c>
      <c r="B360" t="s">
        <v>445</v>
      </c>
      <c r="C360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3.0268079999999999</v>
      </c>
      <c r="I360" s="2">
        <v>0</v>
      </c>
      <c r="J360" s="5">
        <f t="shared" si="10"/>
        <v>3.0268079999999999</v>
      </c>
      <c r="K360" s="5">
        <f t="shared" si="11"/>
        <v>3.0268079999999999</v>
      </c>
      <c r="L360" s="6">
        <f>K360/'Quellen &amp; Annahmen'!$B$2</f>
        <v>2.7416518109591325E-5</v>
      </c>
      <c r="M360" s="7" t="s">
        <v>187</v>
      </c>
      <c r="N360" s="7" t="s">
        <v>188</v>
      </c>
    </row>
    <row r="361" spans="1:14" ht="18" customHeight="1">
      <c r="A361">
        <v>360</v>
      </c>
      <c r="B361" t="s">
        <v>446</v>
      </c>
      <c r="C361" t="s">
        <v>38</v>
      </c>
      <c r="D361" s="2">
        <v>0</v>
      </c>
      <c r="E361" s="2">
        <v>0</v>
      </c>
      <c r="F361" s="2">
        <v>0</v>
      </c>
      <c r="G361" s="2">
        <v>0</v>
      </c>
      <c r="H361" s="2">
        <v>3.0268079999999999</v>
      </c>
      <c r="I361" s="2">
        <v>0</v>
      </c>
      <c r="J361" s="5">
        <f t="shared" si="10"/>
        <v>3.0268079999999999</v>
      </c>
      <c r="K361" s="5">
        <f t="shared" si="11"/>
        <v>3.0268079999999999</v>
      </c>
      <c r="L361" s="6">
        <f>K361/'Quellen &amp; Annahmen'!$B$2</f>
        <v>2.7416518109591325E-5</v>
      </c>
      <c r="M361" s="7" t="s">
        <v>187</v>
      </c>
      <c r="N361" s="7" t="s">
        <v>188</v>
      </c>
    </row>
    <row r="362" spans="1:14" ht="18" customHeight="1">
      <c r="A362">
        <v>361</v>
      </c>
      <c r="B362" t="s">
        <v>447</v>
      </c>
      <c r="C362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3.0268079999999995</v>
      </c>
      <c r="I362" s="2">
        <v>0</v>
      </c>
      <c r="J362" s="5">
        <f t="shared" si="10"/>
        <v>3.0268079999999995</v>
      </c>
      <c r="K362" s="5">
        <f t="shared" si="11"/>
        <v>3.0268079999999995</v>
      </c>
      <c r="L362" s="6">
        <f>K362/'Quellen &amp; Annahmen'!$B$2</f>
        <v>2.7416518109591322E-5</v>
      </c>
      <c r="M362" s="7" t="s">
        <v>187</v>
      </c>
      <c r="N362" s="7" t="s">
        <v>188</v>
      </c>
    </row>
    <row r="363" spans="1:14" ht="18" customHeight="1">
      <c r="A363">
        <v>362</v>
      </c>
      <c r="B363" t="s">
        <v>448</v>
      </c>
      <c r="C363" t="s">
        <v>38</v>
      </c>
      <c r="D363" s="2">
        <v>0</v>
      </c>
      <c r="E363" s="2">
        <v>0</v>
      </c>
      <c r="F363" s="2">
        <v>0</v>
      </c>
      <c r="G363" s="2">
        <v>0</v>
      </c>
      <c r="H363" s="2">
        <v>0.672624</v>
      </c>
      <c r="I363" s="2">
        <v>2.2820800000000001</v>
      </c>
      <c r="J363" s="5">
        <f t="shared" si="10"/>
        <v>2.954704</v>
      </c>
      <c r="K363" s="5">
        <f t="shared" si="11"/>
        <v>2.954704</v>
      </c>
      <c r="L363" s="6">
        <f>K363/'Quellen &amp; Annahmen'!$B$2</f>
        <v>2.6763407432675588E-5</v>
      </c>
      <c r="M363" s="7" t="s">
        <v>179</v>
      </c>
      <c r="N363" s="7" t="s">
        <v>180</v>
      </c>
    </row>
    <row r="364" spans="1:14" ht="18" customHeight="1">
      <c r="A364">
        <v>363</v>
      </c>
      <c r="B364" t="s">
        <v>449</v>
      </c>
      <c r="C364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1.345248</v>
      </c>
      <c r="I364" s="2">
        <v>1.597456</v>
      </c>
      <c r="J364" s="5">
        <f t="shared" si="10"/>
        <v>2.942704</v>
      </c>
      <c r="K364" s="5">
        <f t="shared" si="11"/>
        <v>2.942704</v>
      </c>
      <c r="L364" s="6">
        <f>K364/'Quellen &amp; Annahmen'!$B$2</f>
        <v>2.665471265675485E-5</v>
      </c>
      <c r="M364" s="7" t="s">
        <v>179</v>
      </c>
      <c r="N364" s="7" t="s">
        <v>180</v>
      </c>
    </row>
    <row r="365" spans="1:14" ht="18" customHeight="1">
      <c r="A365">
        <v>364</v>
      </c>
      <c r="B365" t="s">
        <v>450</v>
      </c>
      <c r="C365" t="s">
        <v>38</v>
      </c>
      <c r="D365" s="2">
        <v>0</v>
      </c>
      <c r="E365" s="2">
        <v>0</v>
      </c>
      <c r="F365" s="2">
        <v>0</v>
      </c>
      <c r="G365" s="2">
        <v>0</v>
      </c>
      <c r="H365" s="2">
        <v>0.672624</v>
      </c>
      <c r="I365" s="2">
        <v>2.1679759999999999</v>
      </c>
      <c r="J365" s="5">
        <f t="shared" si="10"/>
        <v>2.8405999999999998</v>
      </c>
      <c r="K365" s="5">
        <f t="shared" si="11"/>
        <v>2.8405999999999998</v>
      </c>
      <c r="L365" s="6">
        <f>K365/'Quellen &amp; Annahmen'!$B$2</f>
        <v>2.5729865040037265E-5</v>
      </c>
      <c r="M365" s="7" t="s">
        <v>179</v>
      </c>
      <c r="N365" s="7" t="s">
        <v>180</v>
      </c>
    </row>
    <row r="366" spans="1:14" ht="18" customHeight="1">
      <c r="A366">
        <v>365</v>
      </c>
      <c r="B366" t="s">
        <v>451</v>
      </c>
      <c r="C366" t="s">
        <v>33</v>
      </c>
      <c r="D366" s="2">
        <v>0</v>
      </c>
      <c r="E366" s="2">
        <v>0</v>
      </c>
      <c r="F366" s="2">
        <v>0</v>
      </c>
      <c r="G366" s="2">
        <v>0</v>
      </c>
      <c r="H366" s="2">
        <v>1.345248</v>
      </c>
      <c r="I366" s="2">
        <v>1.4833519999999998</v>
      </c>
      <c r="J366" s="5">
        <f t="shared" si="10"/>
        <v>2.8285999999999998</v>
      </c>
      <c r="K366" s="5">
        <f t="shared" si="11"/>
        <v>2.8285999999999998</v>
      </c>
      <c r="L366" s="6">
        <f>K366/'Quellen &amp; Annahmen'!$B$2</f>
        <v>2.5621170264116527E-5</v>
      </c>
      <c r="M366" s="7" t="s">
        <v>179</v>
      </c>
      <c r="N366" s="7" t="s">
        <v>180</v>
      </c>
    </row>
    <row r="367" spans="1:14" ht="18" customHeight="1">
      <c r="A367">
        <v>366</v>
      </c>
      <c r="B367" t="s">
        <v>452</v>
      </c>
      <c r="C367" t="s">
        <v>253</v>
      </c>
      <c r="D367" s="2">
        <v>0</v>
      </c>
      <c r="E367" s="2">
        <v>0</v>
      </c>
      <c r="F367" s="2">
        <v>0</v>
      </c>
      <c r="G367" s="2">
        <v>0</v>
      </c>
      <c r="H367" s="2">
        <v>1.345248</v>
      </c>
      <c r="I367" s="2">
        <v>1.4833519999999998</v>
      </c>
      <c r="J367" s="5">
        <f t="shared" si="10"/>
        <v>2.8285999999999998</v>
      </c>
      <c r="K367" s="5">
        <f t="shared" si="11"/>
        <v>2.8285999999999998</v>
      </c>
      <c r="L367" s="6">
        <f>K367/'Quellen &amp; Annahmen'!$B$2</f>
        <v>2.5621170264116527E-5</v>
      </c>
      <c r="M367" s="7" t="s">
        <v>179</v>
      </c>
      <c r="N367" s="7" t="s">
        <v>180</v>
      </c>
    </row>
    <row r="368" spans="1:14" ht="18" customHeight="1">
      <c r="A368">
        <v>367</v>
      </c>
      <c r="B368" t="s">
        <v>453</v>
      </c>
      <c r="C368" t="s">
        <v>108</v>
      </c>
      <c r="D368" s="2">
        <v>0</v>
      </c>
      <c r="E368" s="2">
        <v>0</v>
      </c>
      <c r="F368" s="2">
        <v>0</v>
      </c>
      <c r="G368" s="2">
        <v>0</v>
      </c>
      <c r="H368" s="2">
        <v>0.672624</v>
      </c>
      <c r="I368" s="2">
        <v>2.0538719999999997</v>
      </c>
      <c r="J368" s="5">
        <f t="shared" si="10"/>
        <v>2.7264959999999996</v>
      </c>
      <c r="K368" s="5">
        <f t="shared" si="11"/>
        <v>2.7264959999999996</v>
      </c>
      <c r="L368" s="6">
        <f>K368/'Quellen &amp; Annahmen'!$B$2</f>
        <v>2.4696322647398943E-5</v>
      </c>
      <c r="M368" s="7" t="s">
        <v>179</v>
      </c>
      <c r="N368" s="7" t="s">
        <v>180</v>
      </c>
    </row>
    <row r="369" spans="1:14" ht="18" customHeight="1">
      <c r="A369">
        <v>368</v>
      </c>
      <c r="B369" t="s">
        <v>454</v>
      </c>
      <c r="C369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0.672624</v>
      </c>
      <c r="I369" s="2">
        <v>2.0538719999999997</v>
      </c>
      <c r="J369" s="5">
        <f t="shared" si="10"/>
        <v>2.7264959999999996</v>
      </c>
      <c r="K369" s="5">
        <f t="shared" si="11"/>
        <v>2.7264959999999996</v>
      </c>
      <c r="L369" s="6">
        <f>K369/'Quellen &amp; Annahmen'!$B$2</f>
        <v>2.4696322647398943E-5</v>
      </c>
      <c r="M369" s="7" t="s">
        <v>179</v>
      </c>
      <c r="N369" s="7" t="s">
        <v>180</v>
      </c>
    </row>
    <row r="370" spans="1:14" ht="18" customHeight="1">
      <c r="A370">
        <v>369</v>
      </c>
      <c r="B370" t="s">
        <v>455</v>
      </c>
      <c r="C370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0.672624</v>
      </c>
      <c r="I370" s="2">
        <v>2.0538719999999997</v>
      </c>
      <c r="J370" s="5">
        <f t="shared" si="10"/>
        <v>2.7264959999999996</v>
      </c>
      <c r="K370" s="5">
        <f t="shared" si="11"/>
        <v>2.7264959999999996</v>
      </c>
      <c r="L370" s="6">
        <f>K370/'Quellen &amp; Annahmen'!$B$2</f>
        <v>2.4696322647398943E-5</v>
      </c>
      <c r="M370" s="7" t="s">
        <v>179</v>
      </c>
      <c r="N370" s="7" t="s">
        <v>180</v>
      </c>
    </row>
    <row r="371" spans="1:14" ht="18" customHeight="1">
      <c r="A371">
        <v>370</v>
      </c>
      <c r="B371" t="s">
        <v>456</v>
      </c>
      <c r="C37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1.0089359999999998</v>
      </c>
      <c r="I371" s="2">
        <v>1.7115599999999997</v>
      </c>
      <c r="J371" s="5">
        <f t="shared" si="10"/>
        <v>2.7204959999999998</v>
      </c>
      <c r="K371" s="5">
        <f t="shared" si="11"/>
        <v>2.7204959999999998</v>
      </c>
      <c r="L371" s="6">
        <f>K371/'Quellen &amp; Annahmen'!$B$2</f>
        <v>2.4641975259438576E-5</v>
      </c>
      <c r="M371" s="7" t="s">
        <v>179</v>
      </c>
      <c r="N371" s="7" t="s">
        <v>180</v>
      </c>
    </row>
    <row r="372" spans="1:14" ht="18" customHeight="1">
      <c r="A372">
        <v>371</v>
      </c>
      <c r="B372" t="s">
        <v>457</v>
      </c>
      <c r="C372" t="s">
        <v>33</v>
      </c>
      <c r="D372" s="2">
        <v>0</v>
      </c>
      <c r="E372" s="2">
        <v>0</v>
      </c>
      <c r="F372" s="2">
        <v>0</v>
      </c>
      <c r="G372" s="2">
        <v>0</v>
      </c>
      <c r="H372" s="2">
        <v>1.0089359999999998</v>
      </c>
      <c r="I372" s="2">
        <v>1.7115599999999997</v>
      </c>
      <c r="J372" s="5">
        <f t="shared" si="10"/>
        <v>2.7204959999999998</v>
      </c>
      <c r="K372" s="5">
        <f t="shared" si="11"/>
        <v>2.7204959999999998</v>
      </c>
      <c r="L372" s="6">
        <f>K372/'Quellen &amp; Annahmen'!$B$2</f>
        <v>2.4641975259438576E-5</v>
      </c>
      <c r="M372" s="7" t="s">
        <v>179</v>
      </c>
      <c r="N372" s="7" t="s">
        <v>180</v>
      </c>
    </row>
    <row r="373" spans="1:14" ht="18" customHeight="1">
      <c r="A373">
        <v>372</v>
      </c>
      <c r="B373" t="s">
        <v>458</v>
      </c>
      <c r="C373" t="s">
        <v>23</v>
      </c>
      <c r="D373" s="2">
        <v>0</v>
      </c>
      <c r="E373" s="2">
        <v>0</v>
      </c>
      <c r="F373" s="2">
        <v>0</v>
      </c>
      <c r="G373" s="2">
        <v>0</v>
      </c>
      <c r="H373" s="2">
        <v>1.0089359999999998</v>
      </c>
      <c r="I373" s="2">
        <v>1.7115599999999997</v>
      </c>
      <c r="J373" s="5">
        <f t="shared" si="10"/>
        <v>2.7204959999999998</v>
      </c>
      <c r="K373" s="5">
        <f t="shared" si="11"/>
        <v>2.7204959999999998</v>
      </c>
      <c r="L373" s="6">
        <f>K373/'Quellen &amp; Annahmen'!$B$2</f>
        <v>2.4641975259438576E-5</v>
      </c>
      <c r="M373" s="7" t="s">
        <v>179</v>
      </c>
      <c r="N373" s="7" t="s">
        <v>180</v>
      </c>
    </row>
    <row r="374" spans="1:14" ht="18" customHeight="1">
      <c r="A374">
        <v>373</v>
      </c>
      <c r="B374" t="s">
        <v>459</v>
      </c>
      <c r="C374" t="s">
        <v>23</v>
      </c>
      <c r="D374" s="2">
        <v>0</v>
      </c>
      <c r="E374" s="2">
        <v>0</v>
      </c>
      <c r="F374" s="2">
        <v>0</v>
      </c>
      <c r="G374" s="2">
        <v>0</v>
      </c>
      <c r="H374" s="2">
        <v>1.345248</v>
      </c>
      <c r="I374" s="2">
        <v>1.369248</v>
      </c>
      <c r="J374" s="5">
        <f t="shared" si="10"/>
        <v>2.714496</v>
      </c>
      <c r="K374" s="5">
        <f t="shared" si="11"/>
        <v>2.714496</v>
      </c>
      <c r="L374" s="6">
        <f>K374/'Quellen &amp; Annahmen'!$B$2</f>
        <v>2.4587627871478212E-5</v>
      </c>
      <c r="M374" s="7" t="s">
        <v>179</v>
      </c>
      <c r="N374" s="7" t="s">
        <v>180</v>
      </c>
    </row>
    <row r="375" spans="1:14" ht="18" customHeight="1">
      <c r="A375">
        <v>374</v>
      </c>
      <c r="B375" t="s">
        <v>460</v>
      </c>
      <c r="C375" t="s">
        <v>23</v>
      </c>
      <c r="D375" s="2">
        <v>0</v>
      </c>
      <c r="E375" s="2">
        <v>0</v>
      </c>
      <c r="F375" s="2">
        <v>0</v>
      </c>
      <c r="G375" s="2">
        <v>0</v>
      </c>
      <c r="H375" s="2">
        <v>1.345248</v>
      </c>
      <c r="I375" s="2">
        <v>1.369248</v>
      </c>
      <c r="J375" s="5">
        <f t="shared" si="10"/>
        <v>2.714496</v>
      </c>
      <c r="K375" s="5">
        <f t="shared" si="11"/>
        <v>2.714496</v>
      </c>
      <c r="L375" s="6">
        <f>K375/'Quellen &amp; Annahmen'!$B$2</f>
        <v>2.4587627871478212E-5</v>
      </c>
      <c r="M375" s="7" t="s">
        <v>179</v>
      </c>
      <c r="N375" s="7" t="s">
        <v>180</v>
      </c>
    </row>
    <row r="376" spans="1:14" ht="18" customHeight="1">
      <c r="A376">
        <v>375</v>
      </c>
      <c r="B376" t="s">
        <v>461</v>
      </c>
      <c r="C376" t="s">
        <v>23</v>
      </c>
      <c r="D376" s="2">
        <v>0</v>
      </c>
      <c r="E376" s="2">
        <v>0</v>
      </c>
      <c r="F376" s="2">
        <v>0</v>
      </c>
      <c r="G376" s="2">
        <v>0</v>
      </c>
      <c r="H376" s="2">
        <v>1.345248</v>
      </c>
      <c r="I376" s="2">
        <v>1.369248</v>
      </c>
      <c r="J376" s="5">
        <f t="shared" si="10"/>
        <v>2.714496</v>
      </c>
      <c r="K376" s="5">
        <f t="shared" si="11"/>
        <v>2.714496</v>
      </c>
      <c r="L376" s="6">
        <f>K376/'Quellen &amp; Annahmen'!$B$2</f>
        <v>2.4587627871478212E-5</v>
      </c>
      <c r="M376" s="7" t="s">
        <v>179</v>
      </c>
      <c r="N376" s="7" t="s">
        <v>180</v>
      </c>
    </row>
    <row r="377" spans="1:14" ht="18" customHeight="1">
      <c r="A377">
        <v>376</v>
      </c>
      <c r="B377" t="s">
        <v>462</v>
      </c>
      <c r="C377" t="s">
        <v>50</v>
      </c>
      <c r="D377" s="2">
        <v>0</v>
      </c>
      <c r="E377" s="2">
        <v>0</v>
      </c>
      <c r="F377" s="2">
        <v>0</v>
      </c>
      <c r="G377" s="2">
        <v>0</v>
      </c>
      <c r="H377" s="2">
        <v>2.690496</v>
      </c>
      <c r="I377" s="2">
        <v>0</v>
      </c>
      <c r="J377" s="5">
        <f t="shared" si="10"/>
        <v>2.690496</v>
      </c>
      <c r="K377" s="5">
        <f t="shared" si="11"/>
        <v>2.690496</v>
      </c>
      <c r="L377" s="6">
        <f>K377/'Quellen &amp; Annahmen'!$B$2</f>
        <v>2.4370238319636736E-5</v>
      </c>
      <c r="M377" s="7" t="s">
        <v>187</v>
      </c>
      <c r="N377" s="7" t="s">
        <v>188</v>
      </c>
    </row>
    <row r="378" spans="1:14" ht="18" customHeight="1">
      <c r="A378">
        <v>377</v>
      </c>
      <c r="B378" t="s">
        <v>463</v>
      </c>
      <c r="C378" t="s">
        <v>23</v>
      </c>
      <c r="D378" s="2">
        <v>0</v>
      </c>
      <c r="E378" s="2">
        <v>0</v>
      </c>
      <c r="F378" s="2">
        <v>0</v>
      </c>
      <c r="G378" s="2">
        <v>0</v>
      </c>
      <c r="H378" s="2">
        <v>2.690496</v>
      </c>
      <c r="I378" s="2">
        <v>0</v>
      </c>
      <c r="J378" s="5">
        <f t="shared" si="10"/>
        <v>2.690496</v>
      </c>
      <c r="K378" s="5">
        <f t="shared" si="11"/>
        <v>2.690496</v>
      </c>
      <c r="L378" s="6">
        <f>K378/'Quellen &amp; Annahmen'!$B$2</f>
        <v>2.4370238319636736E-5</v>
      </c>
      <c r="M378" s="7" t="s">
        <v>187</v>
      </c>
      <c r="N378" s="7" t="s">
        <v>188</v>
      </c>
    </row>
    <row r="379" spans="1:14" ht="18" customHeight="1">
      <c r="A379">
        <v>378</v>
      </c>
      <c r="B379" t="s">
        <v>464</v>
      </c>
      <c r="C379" t="s">
        <v>23</v>
      </c>
      <c r="D379" s="2">
        <v>0</v>
      </c>
      <c r="E379" s="2">
        <v>0</v>
      </c>
      <c r="F379" s="2">
        <v>0</v>
      </c>
      <c r="G379" s="2">
        <v>0</v>
      </c>
      <c r="H379" s="2">
        <v>2.690496</v>
      </c>
      <c r="I379" s="2">
        <v>0</v>
      </c>
      <c r="J379" s="5">
        <f t="shared" si="10"/>
        <v>2.690496</v>
      </c>
      <c r="K379" s="5">
        <f t="shared" si="11"/>
        <v>2.690496</v>
      </c>
      <c r="L379" s="6">
        <f>K379/'Quellen &amp; Annahmen'!$B$2</f>
        <v>2.4370238319636736E-5</v>
      </c>
      <c r="M379" s="7" t="s">
        <v>187</v>
      </c>
      <c r="N379" s="7" t="s">
        <v>188</v>
      </c>
    </row>
    <row r="380" spans="1:14" ht="18" customHeight="1">
      <c r="A380">
        <v>379</v>
      </c>
      <c r="B380" t="s">
        <v>465</v>
      </c>
      <c r="C380" t="s">
        <v>41</v>
      </c>
      <c r="D380" s="2">
        <v>0</v>
      </c>
      <c r="E380" s="2">
        <v>0</v>
      </c>
      <c r="F380" s="2">
        <v>0</v>
      </c>
      <c r="G380" s="2">
        <v>0</v>
      </c>
      <c r="H380" s="2">
        <v>2.690496</v>
      </c>
      <c r="I380" s="2">
        <v>0</v>
      </c>
      <c r="J380" s="5">
        <f t="shared" si="10"/>
        <v>2.690496</v>
      </c>
      <c r="K380" s="5">
        <f t="shared" si="11"/>
        <v>2.690496</v>
      </c>
      <c r="L380" s="6">
        <f>K380/'Quellen &amp; Annahmen'!$B$2</f>
        <v>2.4370238319636736E-5</v>
      </c>
      <c r="M380" s="7" t="s">
        <v>187</v>
      </c>
      <c r="N380" s="7" t="s">
        <v>188</v>
      </c>
    </row>
    <row r="381" spans="1:14" ht="18" customHeight="1">
      <c r="A381">
        <v>380</v>
      </c>
      <c r="B381" t="s">
        <v>466</v>
      </c>
      <c r="C381" t="s">
        <v>38</v>
      </c>
      <c r="D381" s="2">
        <v>0</v>
      </c>
      <c r="E381" s="2">
        <v>0</v>
      </c>
      <c r="F381" s="2">
        <v>0</v>
      </c>
      <c r="G381" s="2">
        <v>0</v>
      </c>
      <c r="H381" s="2">
        <v>2.690496</v>
      </c>
      <c r="I381" s="2">
        <v>0</v>
      </c>
      <c r="J381" s="5">
        <f t="shared" si="10"/>
        <v>2.690496</v>
      </c>
      <c r="K381" s="5">
        <f t="shared" si="11"/>
        <v>2.690496</v>
      </c>
      <c r="L381" s="6">
        <f>K381/'Quellen &amp; Annahmen'!$B$2</f>
        <v>2.4370238319636736E-5</v>
      </c>
      <c r="M381" s="7" t="s">
        <v>187</v>
      </c>
      <c r="N381" s="7" t="s">
        <v>188</v>
      </c>
    </row>
    <row r="382" spans="1:14" ht="18" customHeight="1">
      <c r="A382">
        <v>381</v>
      </c>
      <c r="B382" t="s">
        <v>467</v>
      </c>
      <c r="C382" t="s">
        <v>50</v>
      </c>
      <c r="D382" s="2">
        <v>0</v>
      </c>
      <c r="E382" s="2">
        <v>0</v>
      </c>
      <c r="F382" s="2">
        <v>0</v>
      </c>
      <c r="G382" s="2">
        <v>0</v>
      </c>
      <c r="H382" s="2">
        <v>2.690496</v>
      </c>
      <c r="I382" s="2">
        <v>0</v>
      </c>
      <c r="J382" s="5">
        <f t="shared" si="10"/>
        <v>2.690496</v>
      </c>
      <c r="K382" s="5">
        <f t="shared" si="11"/>
        <v>2.690496</v>
      </c>
      <c r="L382" s="6">
        <f>K382/'Quellen &amp; Annahmen'!$B$2</f>
        <v>2.4370238319636736E-5</v>
      </c>
      <c r="M382" s="7" t="s">
        <v>187</v>
      </c>
      <c r="N382" s="7" t="s">
        <v>188</v>
      </c>
    </row>
    <row r="383" spans="1:14" ht="18" customHeight="1">
      <c r="A383">
        <v>382</v>
      </c>
      <c r="B383" t="s">
        <v>468</v>
      </c>
      <c r="C383" t="s">
        <v>38</v>
      </c>
      <c r="D383" s="2">
        <v>0</v>
      </c>
      <c r="E383" s="2">
        <v>0</v>
      </c>
      <c r="F383" s="2">
        <v>0</v>
      </c>
      <c r="G383" s="2">
        <v>0</v>
      </c>
      <c r="H383" s="2">
        <v>2.690496</v>
      </c>
      <c r="I383" s="2">
        <v>0</v>
      </c>
      <c r="J383" s="5">
        <f t="shared" si="10"/>
        <v>2.690496</v>
      </c>
      <c r="K383" s="5">
        <f t="shared" si="11"/>
        <v>2.690496</v>
      </c>
      <c r="L383" s="6">
        <f>K383/'Quellen &amp; Annahmen'!$B$2</f>
        <v>2.4370238319636736E-5</v>
      </c>
      <c r="M383" s="7" t="s">
        <v>187</v>
      </c>
      <c r="N383" s="7" t="s">
        <v>188</v>
      </c>
    </row>
    <row r="384" spans="1:14" ht="18" customHeight="1">
      <c r="A384">
        <v>383</v>
      </c>
      <c r="B384" t="s">
        <v>469</v>
      </c>
      <c r="C384" t="s">
        <v>23</v>
      </c>
      <c r="D384" s="2">
        <v>0</v>
      </c>
      <c r="E384" s="2">
        <v>0</v>
      </c>
      <c r="F384" s="2">
        <v>0</v>
      </c>
      <c r="G384" s="2">
        <v>0</v>
      </c>
      <c r="H384" s="2">
        <v>2.690496</v>
      </c>
      <c r="I384" s="2">
        <v>0</v>
      </c>
      <c r="J384" s="5">
        <f t="shared" si="10"/>
        <v>2.690496</v>
      </c>
      <c r="K384" s="5">
        <f t="shared" si="11"/>
        <v>2.690496</v>
      </c>
      <c r="L384" s="6">
        <f>K384/'Quellen &amp; Annahmen'!$B$2</f>
        <v>2.4370238319636736E-5</v>
      </c>
      <c r="M384" s="7" t="s">
        <v>187</v>
      </c>
      <c r="N384" s="7" t="s">
        <v>188</v>
      </c>
    </row>
    <row r="385" spans="1:14" ht="18" customHeight="1">
      <c r="A385">
        <v>384</v>
      </c>
      <c r="B385" t="s">
        <v>470</v>
      </c>
      <c r="C385" t="s">
        <v>38</v>
      </c>
      <c r="D385" s="2">
        <v>0</v>
      </c>
      <c r="E385" s="2">
        <v>0</v>
      </c>
      <c r="F385" s="2">
        <v>0</v>
      </c>
      <c r="G385" s="2">
        <v>0</v>
      </c>
      <c r="H385" s="2">
        <v>2.690496</v>
      </c>
      <c r="I385" s="2">
        <v>0</v>
      </c>
      <c r="J385" s="5">
        <f t="shared" si="10"/>
        <v>2.690496</v>
      </c>
      <c r="K385" s="5">
        <f t="shared" si="11"/>
        <v>2.690496</v>
      </c>
      <c r="L385" s="6">
        <f>K385/'Quellen &amp; Annahmen'!$B$2</f>
        <v>2.4370238319636736E-5</v>
      </c>
      <c r="M385" s="7" t="s">
        <v>187</v>
      </c>
      <c r="N385" s="7" t="s">
        <v>188</v>
      </c>
    </row>
    <row r="386" spans="1:14" ht="18" customHeight="1">
      <c r="A386">
        <v>385</v>
      </c>
      <c r="B386" t="s">
        <v>471</v>
      </c>
      <c r="C386" t="s">
        <v>50</v>
      </c>
      <c r="D386" s="2">
        <v>0</v>
      </c>
      <c r="E386" s="2">
        <v>0</v>
      </c>
      <c r="F386" s="2">
        <v>0</v>
      </c>
      <c r="G386" s="2">
        <v>0</v>
      </c>
      <c r="H386" s="2">
        <v>2.690496</v>
      </c>
      <c r="I386" s="2">
        <v>0</v>
      </c>
      <c r="J386" s="5">
        <f t="shared" ref="J386:J449" si="12">SUM(E386:I386)</f>
        <v>2.690496</v>
      </c>
      <c r="K386" s="5">
        <f t="shared" ref="K386:K449" si="13">D386+J386</f>
        <v>2.690496</v>
      </c>
      <c r="L386" s="6">
        <f>K386/'Quellen &amp; Annahmen'!$B$2</f>
        <v>2.4370238319636736E-5</v>
      </c>
      <c r="M386" s="7" t="s">
        <v>187</v>
      </c>
      <c r="N386" s="7" t="s">
        <v>188</v>
      </c>
    </row>
    <row r="387" spans="1:14" ht="18" customHeight="1">
      <c r="A387">
        <v>386</v>
      </c>
      <c r="B387" t="s">
        <v>472</v>
      </c>
      <c r="C387" t="s">
        <v>23</v>
      </c>
      <c r="D387" s="2">
        <v>0</v>
      </c>
      <c r="E387" s="2">
        <v>0</v>
      </c>
      <c r="F387" s="2">
        <v>0</v>
      </c>
      <c r="G387" s="2">
        <v>0</v>
      </c>
      <c r="H387" s="2">
        <v>2.690496</v>
      </c>
      <c r="I387" s="2">
        <v>0</v>
      </c>
      <c r="J387" s="5">
        <f t="shared" si="12"/>
        <v>2.690496</v>
      </c>
      <c r="K387" s="5">
        <f t="shared" si="13"/>
        <v>2.690496</v>
      </c>
      <c r="L387" s="6">
        <f>K387/'Quellen &amp; Annahmen'!$B$2</f>
        <v>2.4370238319636736E-5</v>
      </c>
      <c r="M387" s="7" t="s">
        <v>187</v>
      </c>
      <c r="N387" s="7" t="s">
        <v>188</v>
      </c>
    </row>
    <row r="388" spans="1:14" ht="18" customHeight="1">
      <c r="A388">
        <v>387</v>
      </c>
      <c r="B388" t="s">
        <v>473</v>
      </c>
      <c r="C388" t="s">
        <v>23</v>
      </c>
      <c r="D388" s="2">
        <v>0</v>
      </c>
      <c r="E388" s="2">
        <v>0</v>
      </c>
      <c r="F388" s="2">
        <v>0</v>
      </c>
      <c r="G388" s="2">
        <v>0</v>
      </c>
      <c r="H388" s="2">
        <v>2.690496</v>
      </c>
      <c r="I388" s="2">
        <v>0</v>
      </c>
      <c r="J388" s="5">
        <f t="shared" si="12"/>
        <v>2.690496</v>
      </c>
      <c r="K388" s="5">
        <f t="shared" si="13"/>
        <v>2.690496</v>
      </c>
      <c r="L388" s="6">
        <f>K388/'Quellen &amp; Annahmen'!$B$2</f>
        <v>2.4370238319636736E-5</v>
      </c>
      <c r="M388" s="7" t="s">
        <v>187</v>
      </c>
      <c r="N388" s="7" t="s">
        <v>188</v>
      </c>
    </row>
    <row r="389" spans="1:14" ht="18" customHeight="1">
      <c r="A389">
        <v>388</v>
      </c>
      <c r="B389" t="s">
        <v>474</v>
      </c>
      <c r="C389" t="s">
        <v>108</v>
      </c>
      <c r="D389" s="2">
        <v>0</v>
      </c>
      <c r="E389" s="2">
        <v>0</v>
      </c>
      <c r="F389" s="2">
        <v>0</v>
      </c>
      <c r="G389" s="2">
        <v>0</v>
      </c>
      <c r="H389" s="2">
        <v>2.690496</v>
      </c>
      <c r="I389" s="2">
        <v>0</v>
      </c>
      <c r="J389" s="5">
        <f t="shared" si="12"/>
        <v>2.690496</v>
      </c>
      <c r="K389" s="5">
        <f t="shared" si="13"/>
        <v>2.690496</v>
      </c>
      <c r="L389" s="6">
        <f>K389/'Quellen &amp; Annahmen'!$B$2</f>
        <v>2.4370238319636736E-5</v>
      </c>
      <c r="M389" s="7" t="s">
        <v>187</v>
      </c>
      <c r="N389" s="7" t="s">
        <v>188</v>
      </c>
    </row>
    <row r="390" spans="1:14" ht="18" customHeight="1">
      <c r="A390">
        <v>389</v>
      </c>
      <c r="B390" t="s">
        <v>475</v>
      </c>
      <c r="C390" t="s">
        <v>27</v>
      </c>
      <c r="D390" s="2">
        <v>0</v>
      </c>
      <c r="E390" s="2">
        <v>0</v>
      </c>
      <c r="F390" s="2">
        <v>0</v>
      </c>
      <c r="G390" s="2">
        <v>0</v>
      </c>
      <c r="H390" s="2">
        <v>2.690496</v>
      </c>
      <c r="I390" s="2">
        <v>0</v>
      </c>
      <c r="J390" s="5">
        <f t="shared" si="12"/>
        <v>2.690496</v>
      </c>
      <c r="K390" s="5">
        <f t="shared" si="13"/>
        <v>2.690496</v>
      </c>
      <c r="L390" s="6">
        <f>K390/'Quellen &amp; Annahmen'!$B$2</f>
        <v>2.4370238319636736E-5</v>
      </c>
      <c r="M390" s="7" t="s">
        <v>187</v>
      </c>
      <c r="N390" s="7" t="s">
        <v>188</v>
      </c>
    </row>
    <row r="391" spans="1:14" ht="18" customHeight="1">
      <c r="A391">
        <v>390</v>
      </c>
      <c r="B391" t="s">
        <v>476</v>
      </c>
      <c r="C391" t="s">
        <v>23</v>
      </c>
      <c r="D391" s="2">
        <v>0</v>
      </c>
      <c r="E391" s="2">
        <v>0</v>
      </c>
      <c r="F391" s="2">
        <v>0</v>
      </c>
      <c r="G391" s="2">
        <v>0</v>
      </c>
      <c r="H391" s="2">
        <v>2.690496</v>
      </c>
      <c r="I391" s="2">
        <v>0</v>
      </c>
      <c r="J391" s="5">
        <f t="shared" si="12"/>
        <v>2.690496</v>
      </c>
      <c r="K391" s="5">
        <f t="shared" si="13"/>
        <v>2.690496</v>
      </c>
      <c r="L391" s="6">
        <f>K391/'Quellen &amp; Annahmen'!$B$2</f>
        <v>2.4370238319636736E-5</v>
      </c>
      <c r="M391" s="7" t="s">
        <v>187</v>
      </c>
      <c r="N391" s="7" t="s">
        <v>188</v>
      </c>
    </row>
    <row r="392" spans="1:14" ht="18" customHeight="1">
      <c r="A392">
        <v>391</v>
      </c>
      <c r="B392" t="s">
        <v>477</v>
      </c>
      <c r="C392" t="s">
        <v>124</v>
      </c>
      <c r="D392" s="2">
        <v>0</v>
      </c>
      <c r="E392" s="2">
        <v>0</v>
      </c>
      <c r="F392" s="2">
        <v>0</v>
      </c>
      <c r="G392" s="2">
        <v>0</v>
      </c>
      <c r="H392" s="2">
        <v>2.690496</v>
      </c>
      <c r="I392" s="2">
        <v>0</v>
      </c>
      <c r="J392" s="5">
        <f t="shared" si="12"/>
        <v>2.690496</v>
      </c>
      <c r="K392" s="5">
        <f t="shared" si="13"/>
        <v>2.690496</v>
      </c>
      <c r="L392" s="6">
        <f>K392/'Quellen &amp; Annahmen'!$B$2</f>
        <v>2.4370238319636736E-5</v>
      </c>
      <c r="M392" s="7" t="s">
        <v>187</v>
      </c>
      <c r="N392" s="7" t="s">
        <v>188</v>
      </c>
    </row>
    <row r="393" spans="1:14" ht="18" customHeight="1">
      <c r="A393">
        <v>392</v>
      </c>
      <c r="B393" t="s">
        <v>478</v>
      </c>
      <c r="C393" t="s">
        <v>50</v>
      </c>
      <c r="D393" s="2">
        <v>0</v>
      </c>
      <c r="E393" s="2">
        <v>0</v>
      </c>
      <c r="F393" s="2">
        <v>0</v>
      </c>
      <c r="G393" s="2">
        <v>0</v>
      </c>
      <c r="H393" s="2">
        <v>2.690496</v>
      </c>
      <c r="I393" s="2">
        <v>0</v>
      </c>
      <c r="J393" s="5">
        <f t="shared" si="12"/>
        <v>2.690496</v>
      </c>
      <c r="K393" s="5">
        <f t="shared" si="13"/>
        <v>2.690496</v>
      </c>
      <c r="L393" s="6">
        <f>K393/'Quellen &amp; Annahmen'!$B$2</f>
        <v>2.4370238319636736E-5</v>
      </c>
      <c r="M393" s="7" t="s">
        <v>187</v>
      </c>
      <c r="N393" s="7" t="s">
        <v>188</v>
      </c>
    </row>
    <row r="394" spans="1:14" ht="18" customHeight="1">
      <c r="A394">
        <v>393</v>
      </c>
      <c r="B394" t="s">
        <v>479</v>
      </c>
      <c r="C394" t="s">
        <v>124</v>
      </c>
      <c r="D394" s="2">
        <v>0</v>
      </c>
      <c r="E394" s="2">
        <v>0</v>
      </c>
      <c r="F394" s="2">
        <v>0</v>
      </c>
      <c r="G394" s="2">
        <v>0</v>
      </c>
      <c r="H394" s="2">
        <v>2.690496</v>
      </c>
      <c r="I394" s="2">
        <v>0</v>
      </c>
      <c r="J394" s="5">
        <f t="shared" si="12"/>
        <v>2.690496</v>
      </c>
      <c r="K394" s="5">
        <f t="shared" si="13"/>
        <v>2.690496</v>
      </c>
      <c r="L394" s="6">
        <f>K394/'Quellen &amp; Annahmen'!$B$2</f>
        <v>2.4370238319636736E-5</v>
      </c>
      <c r="M394" s="7" t="s">
        <v>187</v>
      </c>
      <c r="N394" s="7" t="s">
        <v>188</v>
      </c>
    </row>
    <row r="395" spans="1:14" ht="18" customHeight="1">
      <c r="A395">
        <v>394</v>
      </c>
      <c r="B395" t="s">
        <v>480</v>
      </c>
      <c r="C395" t="s">
        <v>108</v>
      </c>
      <c r="D395" s="2">
        <v>0</v>
      </c>
      <c r="E395" s="2">
        <v>0</v>
      </c>
      <c r="F395" s="2">
        <v>0</v>
      </c>
      <c r="G395" s="2">
        <v>0</v>
      </c>
      <c r="H395" s="2">
        <v>2.690496</v>
      </c>
      <c r="I395" s="2">
        <v>0</v>
      </c>
      <c r="J395" s="5">
        <f t="shared" si="12"/>
        <v>2.690496</v>
      </c>
      <c r="K395" s="5">
        <f t="shared" si="13"/>
        <v>2.690496</v>
      </c>
      <c r="L395" s="6">
        <f>K395/'Quellen &amp; Annahmen'!$B$2</f>
        <v>2.4370238319636736E-5</v>
      </c>
      <c r="M395" s="7" t="s">
        <v>187</v>
      </c>
      <c r="N395" s="7" t="s">
        <v>188</v>
      </c>
    </row>
    <row r="396" spans="1:14" ht="18" customHeight="1">
      <c r="A396">
        <v>395</v>
      </c>
      <c r="B396" t="s">
        <v>481</v>
      </c>
      <c r="C396" t="s">
        <v>50</v>
      </c>
      <c r="D396" s="2">
        <v>0</v>
      </c>
      <c r="E396" s="2">
        <v>0</v>
      </c>
      <c r="F396" s="2">
        <v>0</v>
      </c>
      <c r="G396" s="2">
        <v>0</v>
      </c>
      <c r="H396" s="2">
        <v>2.690496</v>
      </c>
      <c r="I396" s="2">
        <v>0</v>
      </c>
      <c r="J396" s="5">
        <f t="shared" si="12"/>
        <v>2.690496</v>
      </c>
      <c r="K396" s="5">
        <f t="shared" si="13"/>
        <v>2.690496</v>
      </c>
      <c r="L396" s="6">
        <f>K396/'Quellen &amp; Annahmen'!$B$2</f>
        <v>2.4370238319636736E-5</v>
      </c>
      <c r="M396" s="7" t="s">
        <v>187</v>
      </c>
      <c r="N396" s="7" t="s">
        <v>188</v>
      </c>
    </row>
    <row r="397" spans="1:14" ht="18" customHeight="1">
      <c r="A397">
        <v>396</v>
      </c>
      <c r="B397" t="s">
        <v>482</v>
      </c>
      <c r="C397" t="s">
        <v>23</v>
      </c>
      <c r="D397" s="2">
        <v>0</v>
      </c>
      <c r="E397" s="2">
        <v>0</v>
      </c>
      <c r="F397" s="2">
        <v>0</v>
      </c>
      <c r="G397" s="2">
        <v>0</v>
      </c>
      <c r="H397" s="2">
        <v>2.690496</v>
      </c>
      <c r="I397" s="2">
        <v>0</v>
      </c>
      <c r="J397" s="5">
        <f t="shared" si="12"/>
        <v>2.690496</v>
      </c>
      <c r="K397" s="5">
        <f t="shared" si="13"/>
        <v>2.690496</v>
      </c>
      <c r="L397" s="6">
        <f>K397/'Quellen &amp; Annahmen'!$B$2</f>
        <v>2.4370238319636736E-5</v>
      </c>
      <c r="M397" s="7" t="s">
        <v>187</v>
      </c>
      <c r="N397" s="7" t="s">
        <v>188</v>
      </c>
    </row>
    <row r="398" spans="1:14" ht="18" customHeight="1">
      <c r="A398">
        <v>397</v>
      </c>
      <c r="B398" t="s">
        <v>483</v>
      </c>
      <c r="C398" t="s">
        <v>124</v>
      </c>
      <c r="D398" s="2">
        <v>0</v>
      </c>
      <c r="E398" s="2">
        <v>0</v>
      </c>
      <c r="F398" s="2">
        <v>0</v>
      </c>
      <c r="G398" s="2">
        <v>0</v>
      </c>
      <c r="H398" s="2">
        <v>2.690496</v>
      </c>
      <c r="I398" s="2">
        <v>0</v>
      </c>
      <c r="J398" s="5">
        <f t="shared" si="12"/>
        <v>2.690496</v>
      </c>
      <c r="K398" s="5">
        <f t="shared" si="13"/>
        <v>2.690496</v>
      </c>
      <c r="L398" s="6">
        <f>K398/'Quellen &amp; Annahmen'!$B$2</f>
        <v>2.4370238319636736E-5</v>
      </c>
      <c r="M398" s="7" t="s">
        <v>187</v>
      </c>
      <c r="N398" s="7" t="s">
        <v>188</v>
      </c>
    </row>
    <row r="399" spans="1:14" ht="18" customHeight="1">
      <c r="A399">
        <v>398</v>
      </c>
      <c r="B399" t="s">
        <v>484</v>
      </c>
      <c r="C399" t="s">
        <v>50</v>
      </c>
      <c r="D399" s="2">
        <v>0</v>
      </c>
      <c r="E399" s="2">
        <v>0</v>
      </c>
      <c r="F399" s="2">
        <v>0</v>
      </c>
      <c r="G399" s="2">
        <v>0</v>
      </c>
      <c r="H399" s="2">
        <v>2.690496</v>
      </c>
      <c r="I399" s="2">
        <v>0</v>
      </c>
      <c r="J399" s="5">
        <f t="shared" si="12"/>
        <v>2.690496</v>
      </c>
      <c r="K399" s="5">
        <f t="shared" si="13"/>
        <v>2.690496</v>
      </c>
      <c r="L399" s="6">
        <f>K399/'Quellen &amp; Annahmen'!$B$2</f>
        <v>2.4370238319636736E-5</v>
      </c>
      <c r="M399" s="7" t="s">
        <v>187</v>
      </c>
      <c r="N399" s="7" t="s">
        <v>188</v>
      </c>
    </row>
    <row r="400" spans="1:14" ht="18" customHeight="1">
      <c r="A400">
        <v>399</v>
      </c>
      <c r="B400" t="s">
        <v>485</v>
      </c>
      <c r="C400" t="s">
        <v>38</v>
      </c>
      <c r="D400" s="2">
        <v>0</v>
      </c>
      <c r="E400" s="2">
        <v>0</v>
      </c>
      <c r="F400" s="2">
        <v>0</v>
      </c>
      <c r="G400" s="2">
        <v>0</v>
      </c>
      <c r="H400" s="2">
        <v>2.690496</v>
      </c>
      <c r="I400" s="2">
        <v>0</v>
      </c>
      <c r="J400" s="5">
        <f t="shared" si="12"/>
        <v>2.690496</v>
      </c>
      <c r="K400" s="5">
        <f t="shared" si="13"/>
        <v>2.690496</v>
      </c>
      <c r="L400" s="6">
        <f>K400/'Quellen &amp; Annahmen'!$B$2</f>
        <v>2.4370238319636736E-5</v>
      </c>
      <c r="M400" s="7" t="s">
        <v>187</v>
      </c>
      <c r="N400" s="7" t="s">
        <v>188</v>
      </c>
    </row>
    <row r="401" spans="1:14" ht="18" customHeight="1">
      <c r="A401">
        <v>400</v>
      </c>
      <c r="B401" t="s">
        <v>486</v>
      </c>
      <c r="C401" t="s">
        <v>41</v>
      </c>
      <c r="D401" s="2">
        <v>0</v>
      </c>
      <c r="E401" s="2">
        <v>0</v>
      </c>
      <c r="F401" s="2">
        <v>0</v>
      </c>
      <c r="G401" s="2">
        <v>0</v>
      </c>
      <c r="H401" s="2">
        <v>2.690496</v>
      </c>
      <c r="I401" s="2">
        <v>0</v>
      </c>
      <c r="J401" s="5">
        <f t="shared" si="12"/>
        <v>2.690496</v>
      </c>
      <c r="K401" s="5">
        <f t="shared" si="13"/>
        <v>2.690496</v>
      </c>
      <c r="L401" s="6">
        <f>K401/'Quellen &amp; Annahmen'!$B$2</f>
        <v>2.4370238319636736E-5</v>
      </c>
      <c r="M401" s="7" t="s">
        <v>187</v>
      </c>
      <c r="N401" s="7" t="s">
        <v>188</v>
      </c>
    </row>
    <row r="402" spans="1:14" ht="18" customHeight="1">
      <c r="A402">
        <v>401</v>
      </c>
      <c r="B402" t="s">
        <v>487</v>
      </c>
      <c r="C402" t="s">
        <v>38</v>
      </c>
      <c r="D402" s="2">
        <v>0</v>
      </c>
      <c r="E402" s="2">
        <v>0</v>
      </c>
      <c r="F402" s="2">
        <v>0</v>
      </c>
      <c r="G402" s="2">
        <v>0</v>
      </c>
      <c r="H402" s="2">
        <v>2.690496</v>
      </c>
      <c r="I402" s="2">
        <v>0</v>
      </c>
      <c r="J402" s="5">
        <f t="shared" si="12"/>
        <v>2.690496</v>
      </c>
      <c r="K402" s="5">
        <f t="shared" si="13"/>
        <v>2.690496</v>
      </c>
      <c r="L402" s="6">
        <f>K402/'Quellen &amp; Annahmen'!$B$2</f>
        <v>2.4370238319636736E-5</v>
      </c>
      <c r="M402" s="7" t="s">
        <v>187</v>
      </c>
      <c r="N402" s="7" t="s">
        <v>188</v>
      </c>
    </row>
    <row r="403" spans="1:14" ht="18" customHeight="1">
      <c r="A403">
        <v>402</v>
      </c>
      <c r="B403" t="s">
        <v>488</v>
      </c>
      <c r="C403" t="s">
        <v>33</v>
      </c>
      <c r="D403" s="2">
        <v>0</v>
      </c>
      <c r="E403" s="2">
        <v>0</v>
      </c>
      <c r="F403" s="2">
        <v>0</v>
      </c>
      <c r="G403" s="2">
        <v>0</v>
      </c>
      <c r="H403" s="2">
        <v>2.690496</v>
      </c>
      <c r="I403" s="2">
        <v>0</v>
      </c>
      <c r="J403" s="5">
        <f t="shared" si="12"/>
        <v>2.690496</v>
      </c>
      <c r="K403" s="5">
        <f t="shared" si="13"/>
        <v>2.690496</v>
      </c>
      <c r="L403" s="6">
        <f>K403/'Quellen &amp; Annahmen'!$B$2</f>
        <v>2.4370238319636736E-5</v>
      </c>
      <c r="M403" s="7" t="s">
        <v>187</v>
      </c>
      <c r="N403" s="7" t="s">
        <v>188</v>
      </c>
    </row>
    <row r="404" spans="1:14" ht="18" customHeight="1">
      <c r="A404">
        <v>403</v>
      </c>
      <c r="B404" t="s">
        <v>489</v>
      </c>
      <c r="C404" t="s">
        <v>253</v>
      </c>
      <c r="D404" s="2">
        <v>0</v>
      </c>
      <c r="E404" s="2">
        <v>0</v>
      </c>
      <c r="F404" s="2">
        <v>0</v>
      </c>
      <c r="G404" s="2">
        <v>0</v>
      </c>
      <c r="H404" s="2">
        <v>2.690496</v>
      </c>
      <c r="I404" s="2">
        <v>0</v>
      </c>
      <c r="J404" s="5">
        <f t="shared" si="12"/>
        <v>2.690496</v>
      </c>
      <c r="K404" s="5">
        <f t="shared" si="13"/>
        <v>2.690496</v>
      </c>
      <c r="L404" s="6">
        <f>K404/'Quellen &amp; Annahmen'!$B$2</f>
        <v>2.4370238319636736E-5</v>
      </c>
      <c r="M404" s="7" t="s">
        <v>187</v>
      </c>
      <c r="N404" s="7" t="s">
        <v>188</v>
      </c>
    </row>
    <row r="405" spans="1:14" ht="18" customHeight="1">
      <c r="A405">
        <v>404</v>
      </c>
      <c r="B405" t="s">
        <v>490</v>
      </c>
      <c r="C405" t="s">
        <v>108</v>
      </c>
      <c r="D405" s="2">
        <v>0</v>
      </c>
      <c r="E405" s="2">
        <v>0</v>
      </c>
      <c r="F405" s="2">
        <v>0</v>
      </c>
      <c r="G405" s="2">
        <v>0</v>
      </c>
      <c r="H405" s="2">
        <v>2.690496</v>
      </c>
      <c r="I405" s="2">
        <v>0</v>
      </c>
      <c r="J405" s="5">
        <f t="shared" si="12"/>
        <v>2.690496</v>
      </c>
      <c r="K405" s="5">
        <f t="shared" si="13"/>
        <v>2.690496</v>
      </c>
      <c r="L405" s="6">
        <f>K405/'Quellen &amp; Annahmen'!$B$2</f>
        <v>2.4370238319636736E-5</v>
      </c>
      <c r="M405" s="7" t="s">
        <v>187</v>
      </c>
      <c r="N405" s="7" t="s">
        <v>188</v>
      </c>
    </row>
    <row r="406" spans="1:14" ht="18" customHeight="1">
      <c r="A406">
        <v>405</v>
      </c>
      <c r="B406" t="s">
        <v>491</v>
      </c>
      <c r="C406" t="s">
        <v>38</v>
      </c>
      <c r="D406" s="2">
        <v>0</v>
      </c>
      <c r="E406" s="2">
        <v>0</v>
      </c>
      <c r="F406" s="2">
        <v>0</v>
      </c>
      <c r="G406" s="2">
        <v>0</v>
      </c>
      <c r="H406" s="2">
        <v>2.690496</v>
      </c>
      <c r="I406" s="2">
        <v>0</v>
      </c>
      <c r="J406" s="5">
        <f t="shared" si="12"/>
        <v>2.690496</v>
      </c>
      <c r="K406" s="5">
        <f t="shared" si="13"/>
        <v>2.690496</v>
      </c>
      <c r="L406" s="6">
        <f>K406/'Quellen &amp; Annahmen'!$B$2</f>
        <v>2.4370238319636736E-5</v>
      </c>
      <c r="M406" s="7" t="s">
        <v>187</v>
      </c>
      <c r="N406" s="7" t="s">
        <v>188</v>
      </c>
    </row>
    <row r="407" spans="1:14" ht="18" customHeight="1">
      <c r="A407">
        <v>406</v>
      </c>
      <c r="B407" t="s">
        <v>492</v>
      </c>
      <c r="C407" t="s">
        <v>41</v>
      </c>
      <c r="D407" s="2">
        <v>0</v>
      </c>
      <c r="E407" s="2">
        <v>0</v>
      </c>
      <c r="F407" s="2">
        <v>0</v>
      </c>
      <c r="G407" s="2">
        <v>0</v>
      </c>
      <c r="H407" s="2">
        <v>2.690496</v>
      </c>
      <c r="I407" s="2">
        <v>0</v>
      </c>
      <c r="J407" s="5">
        <f t="shared" si="12"/>
        <v>2.690496</v>
      </c>
      <c r="K407" s="5">
        <f t="shared" si="13"/>
        <v>2.690496</v>
      </c>
      <c r="L407" s="6">
        <f>K407/'Quellen &amp; Annahmen'!$B$2</f>
        <v>2.4370238319636736E-5</v>
      </c>
      <c r="M407" s="7" t="s">
        <v>187</v>
      </c>
      <c r="N407" s="7" t="s">
        <v>188</v>
      </c>
    </row>
    <row r="408" spans="1:14" ht="18" customHeight="1">
      <c r="A408">
        <v>407</v>
      </c>
      <c r="B408" t="s">
        <v>493</v>
      </c>
      <c r="C408" t="s">
        <v>27</v>
      </c>
      <c r="D408" s="2">
        <v>0</v>
      </c>
      <c r="E408" s="2">
        <v>0</v>
      </c>
      <c r="F408" s="2">
        <v>0</v>
      </c>
      <c r="G408" s="2">
        <v>0</v>
      </c>
      <c r="H408" s="2">
        <v>2.690496</v>
      </c>
      <c r="I408" s="2">
        <v>0</v>
      </c>
      <c r="J408" s="5">
        <f t="shared" si="12"/>
        <v>2.690496</v>
      </c>
      <c r="K408" s="5">
        <f t="shared" si="13"/>
        <v>2.690496</v>
      </c>
      <c r="L408" s="6">
        <f>K408/'Quellen &amp; Annahmen'!$B$2</f>
        <v>2.4370238319636736E-5</v>
      </c>
      <c r="M408" s="7" t="s">
        <v>187</v>
      </c>
      <c r="N408" s="7" t="s">
        <v>188</v>
      </c>
    </row>
    <row r="409" spans="1:14" ht="18" customHeight="1">
      <c r="A409">
        <v>408</v>
      </c>
      <c r="B409" t="s">
        <v>494</v>
      </c>
      <c r="C409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2.690496</v>
      </c>
      <c r="I409" s="2">
        <v>0</v>
      </c>
      <c r="J409" s="5">
        <f t="shared" si="12"/>
        <v>2.690496</v>
      </c>
      <c r="K409" s="5">
        <f t="shared" si="13"/>
        <v>2.690496</v>
      </c>
      <c r="L409" s="6">
        <f>K409/'Quellen &amp; Annahmen'!$B$2</f>
        <v>2.4370238319636736E-5</v>
      </c>
      <c r="M409" s="7" t="s">
        <v>187</v>
      </c>
      <c r="N409" s="7" t="s">
        <v>188</v>
      </c>
    </row>
    <row r="410" spans="1:14" ht="18" customHeight="1">
      <c r="A410">
        <v>409</v>
      </c>
      <c r="B410" t="s">
        <v>495</v>
      </c>
      <c r="C410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2.690496</v>
      </c>
      <c r="I410" s="2">
        <v>0</v>
      </c>
      <c r="J410" s="5">
        <f t="shared" si="12"/>
        <v>2.690496</v>
      </c>
      <c r="K410" s="5">
        <f t="shared" si="13"/>
        <v>2.690496</v>
      </c>
      <c r="L410" s="6">
        <f>K410/'Quellen &amp; Annahmen'!$B$2</f>
        <v>2.4370238319636736E-5</v>
      </c>
      <c r="M410" s="7" t="s">
        <v>187</v>
      </c>
      <c r="N410" s="7" t="s">
        <v>188</v>
      </c>
    </row>
    <row r="411" spans="1:14" ht="18" customHeight="1">
      <c r="A411">
        <v>410</v>
      </c>
      <c r="B411" t="s">
        <v>496</v>
      </c>
      <c r="C411" t="s">
        <v>50</v>
      </c>
      <c r="D411" s="2">
        <v>0</v>
      </c>
      <c r="E411" s="2">
        <v>0</v>
      </c>
      <c r="F411" s="2">
        <v>0</v>
      </c>
      <c r="G411" s="2">
        <v>0</v>
      </c>
      <c r="H411" s="2">
        <v>0.336312</v>
      </c>
      <c r="I411" s="2">
        <v>2.2820800000000001</v>
      </c>
      <c r="J411" s="5">
        <f t="shared" si="12"/>
        <v>2.6183920000000001</v>
      </c>
      <c r="K411" s="5">
        <f t="shared" si="13"/>
        <v>2.6183920000000001</v>
      </c>
      <c r="L411" s="6">
        <f>K411/'Quellen &amp; Annahmen'!$B$2</f>
        <v>2.3717127642720998E-5</v>
      </c>
      <c r="M411" s="7" t="s">
        <v>179</v>
      </c>
      <c r="N411" s="7" t="s">
        <v>180</v>
      </c>
    </row>
    <row r="412" spans="1:14" ht="18" customHeight="1">
      <c r="A412">
        <v>411</v>
      </c>
      <c r="B412" t="s">
        <v>497</v>
      </c>
      <c r="C412" t="s">
        <v>27</v>
      </c>
      <c r="D412" s="2">
        <v>0</v>
      </c>
      <c r="E412" s="2">
        <v>0</v>
      </c>
      <c r="F412" s="2">
        <v>0</v>
      </c>
      <c r="G412" s="2">
        <v>0</v>
      </c>
      <c r="H412" s="2">
        <v>0.672624</v>
      </c>
      <c r="I412" s="2">
        <v>1.9397679999999999</v>
      </c>
      <c r="J412" s="5">
        <f t="shared" si="12"/>
        <v>2.6123919999999998</v>
      </c>
      <c r="K412" s="5">
        <f t="shared" si="13"/>
        <v>2.6123919999999998</v>
      </c>
      <c r="L412" s="6">
        <f>K412/'Quellen &amp; Annahmen'!$B$2</f>
        <v>2.3662780254760628E-5</v>
      </c>
      <c r="M412" s="7" t="s">
        <v>179</v>
      </c>
      <c r="N412" s="7" t="s">
        <v>180</v>
      </c>
    </row>
    <row r="413" spans="1:14" ht="18" customHeight="1">
      <c r="A413">
        <v>412</v>
      </c>
      <c r="B413" t="s">
        <v>498</v>
      </c>
      <c r="C413" t="s">
        <v>27</v>
      </c>
      <c r="D413" s="2">
        <v>0</v>
      </c>
      <c r="E413" s="2">
        <v>0</v>
      </c>
      <c r="F413" s="2">
        <v>0</v>
      </c>
      <c r="G413" s="2">
        <v>0</v>
      </c>
      <c r="H413" s="2">
        <v>1.0089360000000001</v>
      </c>
      <c r="I413" s="2">
        <v>1.597456</v>
      </c>
      <c r="J413" s="5">
        <f t="shared" si="12"/>
        <v>2.606392</v>
      </c>
      <c r="K413" s="5">
        <f t="shared" si="13"/>
        <v>2.606392</v>
      </c>
      <c r="L413" s="6">
        <f>K413/'Quellen &amp; Annahmen'!$B$2</f>
        <v>2.360843286680026E-5</v>
      </c>
      <c r="M413" s="7" t="s">
        <v>179</v>
      </c>
      <c r="N413" s="7" t="s">
        <v>180</v>
      </c>
    </row>
    <row r="414" spans="1:14" ht="18" customHeight="1">
      <c r="A414">
        <v>413</v>
      </c>
      <c r="B414" t="s">
        <v>499</v>
      </c>
      <c r="C414" t="s">
        <v>263</v>
      </c>
      <c r="D414" s="2">
        <v>0</v>
      </c>
      <c r="E414" s="2">
        <v>0</v>
      </c>
      <c r="F414" s="2">
        <v>0</v>
      </c>
      <c r="G414" s="2">
        <v>0</v>
      </c>
      <c r="H414" s="2">
        <v>1.0089359999999998</v>
      </c>
      <c r="I414" s="2">
        <v>1.597456</v>
      </c>
      <c r="J414" s="5">
        <f t="shared" si="12"/>
        <v>2.6063919999999996</v>
      </c>
      <c r="K414" s="5">
        <f t="shared" si="13"/>
        <v>2.6063919999999996</v>
      </c>
      <c r="L414" s="6">
        <f>K414/'Quellen &amp; Annahmen'!$B$2</f>
        <v>2.3608432866800253E-5</v>
      </c>
      <c r="M414" s="7" t="s">
        <v>179</v>
      </c>
      <c r="N414" s="7" t="s">
        <v>180</v>
      </c>
    </row>
    <row r="415" spans="1:14" ht="18" customHeight="1">
      <c r="A415">
        <v>414</v>
      </c>
      <c r="B415" t="s">
        <v>500</v>
      </c>
      <c r="C415" t="s">
        <v>124</v>
      </c>
      <c r="D415" s="2">
        <v>0</v>
      </c>
      <c r="E415" s="2">
        <v>0</v>
      </c>
      <c r="F415" s="2">
        <v>0</v>
      </c>
      <c r="G415" s="2">
        <v>0</v>
      </c>
      <c r="H415" s="2">
        <v>1.345248</v>
      </c>
      <c r="I415" s="2">
        <v>1.255144</v>
      </c>
      <c r="J415" s="5">
        <f t="shared" si="12"/>
        <v>2.6003920000000003</v>
      </c>
      <c r="K415" s="5">
        <f t="shared" si="13"/>
        <v>2.6003920000000003</v>
      </c>
      <c r="L415" s="6">
        <f>K415/'Quellen &amp; Annahmen'!$B$2</f>
        <v>2.3554085478839893E-5</v>
      </c>
      <c r="M415" s="7" t="s">
        <v>179</v>
      </c>
      <c r="N415" s="7" t="s">
        <v>180</v>
      </c>
    </row>
    <row r="416" spans="1:14" ht="18" customHeight="1">
      <c r="A416">
        <v>415</v>
      </c>
      <c r="B416" t="s">
        <v>501</v>
      </c>
      <c r="C416" t="s">
        <v>23</v>
      </c>
      <c r="D416" s="2">
        <v>0</v>
      </c>
      <c r="E416" s="2">
        <v>0</v>
      </c>
      <c r="F416" s="2">
        <v>0</v>
      </c>
      <c r="G416" s="2">
        <v>0</v>
      </c>
      <c r="H416" s="2">
        <v>1.345248</v>
      </c>
      <c r="I416" s="2">
        <v>1.255144</v>
      </c>
      <c r="J416" s="5">
        <f t="shared" si="12"/>
        <v>2.6003920000000003</v>
      </c>
      <c r="K416" s="5">
        <f t="shared" si="13"/>
        <v>2.6003920000000003</v>
      </c>
      <c r="L416" s="6">
        <f>K416/'Quellen &amp; Annahmen'!$B$2</f>
        <v>2.3554085478839893E-5</v>
      </c>
      <c r="M416" s="7" t="s">
        <v>179</v>
      </c>
      <c r="N416" s="7" t="s">
        <v>180</v>
      </c>
    </row>
    <row r="417" spans="1:14" ht="18" customHeight="1">
      <c r="A417">
        <v>416</v>
      </c>
      <c r="B417" t="s">
        <v>502</v>
      </c>
      <c r="C417" t="s">
        <v>23</v>
      </c>
      <c r="D417" s="2">
        <v>0</v>
      </c>
      <c r="E417" s="2">
        <v>0</v>
      </c>
      <c r="F417" s="2">
        <v>0</v>
      </c>
      <c r="G417" s="2">
        <v>0</v>
      </c>
      <c r="H417" s="2">
        <v>1.345248</v>
      </c>
      <c r="I417" s="2">
        <v>1.255144</v>
      </c>
      <c r="J417" s="5">
        <f t="shared" si="12"/>
        <v>2.6003920000000003</v>
      </c>
      <c r="K417" s="5">
        <f t="shared" si="13"/>
        <v>2.6003920000000003</v>
      </c>
      <c r="L417" s="6">
        <f>K417/'Quellen &amp; Annahmen'!$B$2</f>
        <v>2.3554085478839893E-5</v>
      </c>
      <c r="M417" s="7" t="s">
        <v>179</v>
      </c>
      <c r="N417" s="7" t="s">
        <v>180</v>
      </c>
    </row>
    <row r="418" spans="1:14" ht="18" customHeight="1">
      <c r="A418">
        <v>417</v>
      </c>
      <c r="B418" t="s">
        <v>503</v>
      </c>
      <c r="C418" t="s">
        <v>124</v>
      </c>
      <c r="D418" s="2">
        <v>0</v>
      </c>
      <c r="E418" s="2">
        <v>0</v>
      </c>
      <c r="F418" s="2">
        <v>0</v>
      </c>
      <c r="G418" s="2">
        <v>0</v>
      </c>
      <c r="H418" s="2">
        <v>1.345248</v>
      </c>
      <c r="I418" s="2">
        <v>1.255144</v>
      </c>
      <c r="J418" s="5">
        <f t="shared" si="12"/>
        <v>2.6003920000000003</v>
      </c>
      <c r="K418" s="5">
        <f t="shared" si="13"/>
        <v>2.6003920000000003</v>
      </c>
      <c r="L418" s="6">
        <f>K418/'Quellen &amp; Annahmen'!$B$2</f>
        <v>2.3554085478839893E-5</v>
      </c>
      <c r="M418" s="7" t="s">
        <v>179</v>
      </c>
      <c r="N418" s="7" t="s">
        <v>180</v>
      </c>
    </row>
    <row r="419" spans="1:14" ht="18" customHeight="1">
      <c r="A419">
        <v>418</v>
      </c>
      <c r="B419" t="s">
        <v>504</v>
      </c>
      <c r="C419" t="s">
        <v>23</v>
      </c>
      <c r="D419" s="2">
        <v>0</v>
      </c>
      <c r="E419" s="2">
        <v>0</v>
      </c>
      <c r="F419" s="2">
        <v>0</v>
      </c>
      <c r="G419" s="2">
        <v>0</v>
      </c>
      <c r="H419" s="2">
        <v>1.345248</v>
      </c>
      <c r="I419" s="2">
        <v>1.255144</v>
      </c>
      <c r="J419" s="5">
        <f t="shared" si="12"/>
        <v>2.6003920000000003</v>
      </c>
      <c r="K419" s="5">
        <f t="shared" si="13"/>
        <v>2.6003920000000003</v>
      </c>
      <c r="L419" s="6">
        <f>K419/'Quellen &amp; Annahmen'!$B$2</f>
        <v>2.3554085478839893E-5</v>
      </c>
      <c r="M419" s="7" t="s">
        <v>179</v>
      </c>
      <c r="N419" s="7" t="s">
        <v>180</v>
      </c>
    </row>
    <row r="420" spans="1:14" ht="18" customHeight="1">
      <c r="A420">
        <v>419</v>
      </c>
      <c r="B420" t="s">
        <v>505</v>
      </c>
      <c r="C420" t="s">
        <v>23</v>
      </c>
      <c r="D420" s="2">
        <v>0</v>
      </c>
      <c r="E420" s="2">
        <v>0</v>
      </c>
      <c r="F420" s="2">
        <v>0</v>
      </c>
      <c r="G420" s="2">
        <v>0</v>
      </c>
      <c r="H420" s="2">
        <v>1.345248</v>
      </c>
      <c r="I420" s="2">
        <v>1.255144</v>
      </c>
      <c r="J420" s="5">
        <f t="shared" si="12"/>
        <v>2.6003920000000003</v>
      </c>
      <c r="K420" s="5">
        <f t="shared" si="13"/>
        <v>2.6003920000000003</v>
      </c>
      <c r="L420" s="6">
        <f>K420/'Quellen &amp; Annahmen'!$B$2</f>
        <v>2.3554085478839893E-5</v>
      </c>
      <c r="M420" s="7" t="s">
        <v>179</v>
      </c>
      <c r="N420" s="7" t="s">
        <v>180</v>
      </c>
    </row>
    <row r="421" spans="1:14" ht="18" customHeight="1">
      <c r="A421">
        <v>420</v>
      </c>
      <c r="B421" t="s">
        <v>506</v>
      </c>
      <c r="C421" t="s">
        <v>27</v>
      </c>
      <c r="D421" s="2">
        <v>0</v>
      </c>
      <c r="E421" s="2">
        <v>0</v>
      </c>
      <c r="F421" s="2">
        <v>0</v>
      </c>
      <c r="G421" s="2">
        <v>0</v>
      </c>
      <c r="H421" s="2">
        <v>0.336312</v>
      </c>
      <c r="I421" s="2">
        <v>2.1679759999999999</v>
      </c>
      <c r="J421" s="5">
        <f t="shared" si="12"/>
        <v>2.5042879999999998</v>
      </c>
      <c r="K421" s="5">
        <f t="shared" si="13"/>
        <v>2.5042879999999998</v>
      </c>
      <c r="L421" s="6">
        <f>K421/'Quellen &amp; Annahmen'!$B$2</f>
        <v>2.2683585250082676E-5</v>
      </c>
      <c r="M421" s="7" t="s">
        <v>179</v>
      </c>
      <c r="N421" s="7" t="s">
        <v>180</v>
      </c>
    </row>
    <row r="422" spans="1:14" ht="18" customHeight="1">
      <c r="A422">
        <v>421</v>
      </c>
      <c r="B422" t="s">
        <v>507</v>
      </c>
      <c r="C422" t="s">
        <v>25</v>
      </c>
      <c r="D422" s="2">
        <v>0</v>
      </c>
      <c r="E422" s="2">
        <v>0</v>
      </c>
      <c r="F422" s="2">
        <v>0</v>
      </c>
      <c r="G422" s="2">
        <v>0</v>
      </c>
      <c r="H422" s="2">
        <v>1.0089359999999998</v>
      </c>
      <c r="I422" s="2">
        <v>1.4833519999999998</v>
      </c>
      <c r="J422" s="5">
        <f t="shared" si="12"/>
        <v>2.4922879999999994</v>
      </c>
      <c r="K422" s="5">
        <f t="shared" si="13"/>
        <v>2.4922879999999994</v>
      </c>
      <c r="L422" s="6">
        <f>K422/'Quellen &amp; Annahmen'!$B$2</f>
        <v>2.2574890474161935E-5</v>
      </c>
      <c r="M422" s="7" t="s">
        <v>179</v>
      </c>
      <c r="N422" s="7" t="s">
        <v>180</v>
      </c>
    </row>
    <row r="423" spans="1:14" ht="18" customHeight="1">
      <c r="A423">
        <v>422</v>
      </c>
      <c r="B423" t="s">
        <v>508</v>
      </c>
      <c r="C423" t="s">
        <v>23</v>
      </c>
      <c r="D423" s="2">
        <v>0</v>
      </c>
      <c r="E423" s="2">
        <v>0</v>
      </c>
      <c r="F423" s="2">
        <v>0</v>
      </c>
      <c r="G423" s="2">
        <v>0</v>
      </c>
      <c r="H423" s="2">
        <v>1.0089359999999998</v>
      </c>
      <c r="I423" s="2">
        <v>1.4833519999999998</v>
      </c>
      <c r="J423" s="5">
        <f t="shared" si="12"/>
        <v>2.4922879999999994</v>
      </c>
      <c r="K423" s="5">
        <f t="shared" si="13"/>
        <v>2.4922879999999994</v>
      </c>
      <c r="L423" s="6">
        <f>K423/'Quellen &amp; Annahmen'!$B$2</f>
        <v>2.2574890474161935E-5</v>
      </c>
      <c r="M423" s="7" t="s">
        <v>179</v>
      </c>
      <c r="N423" s="7" t="s">
        <v>180</v>
      </c>
    </row>
    <row r="424" spans="1:14" ht="18" customHeight="1">
      <c r="A424">
        <v>423</v>
      </c>
      <c r="B424" t="s">
        <v>509</v>
      </c>
      <c r="C424" t="s">
        <v>23</v>
      </c>
      <c r="D424" s="2">
        <v>0</v>
      </c>
      <c r="E424" s="2">
        <v>0</v>
      </c>
      <c r="F424" s="2">
        <v>0</v>
      </c>
      <c r="G424" s="2">
        <v>0</v>
      </c>
      <c r="H424" s="2">
        <v>1.0089359999999998</v>
      </c>
      <c r="I424" s="2">
        <v>1.4833519999999998</v>
      </c>
      <c r="J424" s="5">
        <f t="shared" si="12"/>
        <v>2.4922879999999994</v>
      </c>
      <c r="K424" s="5">
        <f t="shared" si="13"/>
        <v>2.4922879999999994</v>
      </c>
      <c r="L424" s="6">
        <f>K424/'Quellen &amp; Annahmen'!$B$2</f>
        <v>2.2574890474161935E-5</v>
      </c>
      <c r="M424" s="7" t="s">
        <v>179</v>
      </c>
      <c r="N424" s="7" t="s">
        <v>180</v>
      </c>
    </row>
    <row r="425" spans="1:14" ht="18" customHeight="1">
      <c r="A425">
        <v>424</v>
      </c>
      <c r="B425" t="s">
        <v>510</v>
      </c>
      <c r="C425" t="s">
        <v>23</v>
      </c>
      <c r="D425" s="2">
        <v>0</v>
      </c>
      <c r="E425" s="2">
        <v>0</v>
      </c>
      <c r="F425" s="2">
        <v>0</v>
      </c>
      <c r="G425" s="2">
        <v>0</v>
      </c>
      <c r="H425" s="2">
        <v>1.345248</v>
      </c>
      <c r="I425" s="2">
        <v>1.1410400000000001</v>
      </c>
      <c r="J425" s="5">
        <f t="shared" si="12"/>
        <v>2.4862880000000001</v>
      </c>
      <c r="K425" s="5">
        <f t="shared" si="13"/>
        <v>2.4862880000000001</v>
      </c>
      <c r="L425" s="6">
        <f>K425/'Quellen &amp; Annahmen'!$B$2</f>
        <v>2.2520543086201571E-5</v>
      </c>
      <c r="M425" s="7" t="s">
        <v>179</v>
      </c>
      <c r="N425" s="7" t="s">
        <v>180</v>
      </c>
    </row>
    <row r="426" spans="1:14" ht="18" customHeight="1">
      <c r="A426">
        <v>425</v>
      </c>
      <c r="B426" t="s">
        <v>511</v>
      </c>
      <c r="C426" t="s">
        <v>23</v>
      </c>
      <c r="D426" s="2">
        <v>0</v>
      </c>
      <c r="E426" s="2">
        <v>0</v>
      </c>
      <c r="F426" s="2">
        <v>0</v>
      </c>
      <c r="G426" s="2">
        <v>0</v>
      </c>
      <c r="H426" s="2">
        <v>0.672624</v>
      </c>
      <c r="I426" s="2">
        <v>1.7115599999999997</v>
      </c>
      <c r="J426" s="5">
        <f t="shared" si="12"/>
        <v>2.3841839999999999</v>
      </c>
      <c r="K426" s="5">
        <f t="shared" si="13"/>
        <v>2.3841839999999999</v>
      </c>
      <c r="L426" s="6">
        <f>K426/'Quellen &amp; Annahmen'!$B$2</f>
        <v>2.1595695469483986E-5</v>
      </c>
      <c r="M426" s="7" t="s">
        <v>179</v>
      </c>
      <c r="N426" s="7" t="s">
        <v>180</v>
      </c>
    </row>
    <row r="427" spans="1:14" ht="18" customHeight="1">
      <c r="A427">
        <v>426</v>
      </c>
      <c r="B427" t="s">
        <v>512</v>
      </c>
      <c r="C427" t="s">
        <v>38</v>
      </c>
      <c r="D427" s="2">
        <v>0</v>
      </c>
      <c r="E427" s="2">
        <v>0</v>
      </c>
      <c r="F427" s="2">
        <v>0</v>
      </c>
      <c r="G427" s="2">
        <v>0</v>
      </c>
      <c r="H427" s="2">
        <v>0.672624</v>
      </c>
      <c r="I427" s="2">
        <v>1.7115599999999997</v>
      </c>
      <c r="J427" s="5">
        <f t="shared" si="12"/>
        <v>2.3841839999999999</v>
      </c>
      <c r="K427" s="5">
        <f t="shared" si="13"/>
        <v>2.3841839999999999</v>
      </c>
      <c r="L427" s="6">
        <f>K427/'Quellen &amp; Annahmen'!$B$2</f>
        <v>2.1595695469483986E-5</v>
      </c>
      <c r="M427" s="7" t="s">
        <v>179</v>
      </c>
      <c r="N427" s="7" t="s">
        <v>180</v>
      </c>
    </row>
    <row r="428" spans="1:14" ht="18" customHeight="1">
      <c r="A428">
        <v>427</v>
      </c>
      <c r="B428" t="s">
        <v>513</v>
      </c>
      <c r="C428" t="s">
        <v>263</v>
      </c>
      <c r="D428" s="2">
        <v>0</v>
      </c>
      <c r="E428" s="2">
        <v>0</v>
      </c>
      <c r="F428" s="2">
        <v>0</v>
      </c>
      <c r="G428" s="2">
        <v>0</v>
      </c>
      <c r="H428" s="2">
        <v>0.672624</v>
      </c>
      <c r="I428" s="2">
        <v>1.7115599999999997</v>
      </c>
      <c r="J428" s="5">
        <f t="shared" si="12"/>
        <v>2.3841839999999999</v>
      </c>
      <c r="K428" s="5">
        <f t="shared" si="13"/>
        <v>2.3841839999999999</v>
      </c>
      <c r="L428" s="6">
        <f>K428/'Quellen &amp; Annahmen'!$B$2</f>
        <v>2.1595695469483986E-5</v>
      </c>
      <c r="M428" s="7" t="s">
        <v>179</v>
      </c>
      <c r="N428" s="7" t="s">
        <v>180</v>
      </c>
    </row>
    <row r="429" spans="1:14" ht="18" customHeight="1">
      <c r="A429">
        <v>428</v>
      </c>
      <c r="B429" t="s">
        <v>514</v>
      </c>
      <c r="C429" t="s">
        <v>41</v>
      </c>
      <c r="D429" s="2">
        <v>0</v>
      </c>
      <c r="E429" s="2">
        <v>0</v>
      </c>
      <c r="F429" s="2">
        <v>0</v>
      </c>
      <c r="G429" s="2">
        <v>0</v>
      </c>
      <c r="H429" s="2">
        <v>1.0089359999999998</v>
      </c>
      <c r="I429" s="2">
        <v>1.369248</v>
      </c>
      <c r="J429" s="5">
        <f t="shared" si="12"/>
        <v>2.3781840000000001</v>
      </c>
      <c r="K429" s="5">
        <f t="shared" si="13"/>
        <v>2.3781840000000001</v>
      </c>
      <c r="L429" s="6">
        <f>K429/'Quellen &amp; Annahmen'!$B$2</f>
        <v>2.1541348081523619E-5</v>
      </c>
      <c r="M429" s="7" t="s">
        <v>179</v>
      </c>
      <c r="N429" s="7" t="s">
        <v>180</v>
      </c>
    </row>
    <row r="430" spans="1:14" ht="18" customHeight="1">
      <c r="A430">
        <v>429</v>
      </c>
      <c r="B430" t="s">
        <v>515</v>
      </c>
      <c r="C430" t="s">
        <v>23</v>
      </c>
      <c r="D430" s="2">
        <v>0</v>
      </c>
      <c r="E430" s="2">
        <v>0</v>
      </c>
      <c r="F430" s="2">
        <v>0</v>
      </c>
      <c r="G430" s="2">
        <v>0</v>
      </c>
      <c r="H430" s="2">
        <v>1.0089359999999998</v>
      </c>
      <c r="I430" s="2">
        <v>1.369248</v>
      </c>
      <c r="J430" s="5">
        <f t="shared" si="12"/>
        <v>2.3781840000000001</v>
      </c>
      <c r="K430" s="5">
        <f t="shared" si="13"/>
        <v>2.3781840000000001</v>
      </c>
      <c r="L430" s="6">
        <f>K430/'Quellen &amp; Annahmen'!$B$2</f>
        <v>2.1541348081523619E-5</v>
      </c>
      <c r="M430" s="7" t="s">
        <v>179</v>
      </c>
      <c r="N430" s="7" t="s">
        <v>180</v>
      </c>
    </row>
    <row r="431" spans="1:14" ht="18" customHeight="1">
      <c r="A431">
        <v>430</v>
      </c>
      <c r="B431" t="s">
        <v>516</v>
      </c>
      <c r="C431" t="s">
        <v>27</v>
      </c>
      <c r="D431" s="2">
        <v>0</v>
      </c>
      <c r="E431" s="2">
        <v>0</v>
      </c>
      <c r="F431" s="2">
        <v>0</v>
      </c>
      <c r="G431" s="2">
        <v>0</v>
      </c>
      <c r="H431" s="2">
        <v>2.3541840000000001</v>
      </c>
      <c r="I431" s="2">
        <v>0</v>
      </c>
      <c r="J431" s="5">
        <f t="shared" si="12"/>
        <v>2.3541840000000001</v>
      </c>
      <c r="K431" s="5">
        <f t="shared" si="13"/>
        <v>2.3541840000000001</v>
      </c>
      <c r="L431" s="6">
        <f>K431/'Quellen &amp; Annahmen'!$B$2</f>
        <v>2.1323958529682143E-5</v>
      </c>
      <c r="M431" s="7" t="s">
        <v>187</v>
      </c>
      <c r="N431" s="7" t="s">
        <v>188</v>
      </c>
    </row>
    <row r="432" spans="1:14" ht="18" customHeight="1">
      <c r="A432">
        <v>431</v>
      </c>
      <c r="B432" t="s">
        <v>517</v>
      </c>
      <c r="C432" t="s">
        <v>50</v>
      </c>
      <c r="D432" s="2">
        <v>0</v>
      </c>
      <c r="E432" s="2">
        <v>0</v>
      </c>
      <c r="F432" s="2">
        <v>0</v>
      </c>
      <c r="G432" s="2">
        <v>0</v>
      </c>
      <c r="H432" s="2">
        <v>2.3541840000000001</v>
      </c>
      <c r="I432" s="2">
        <v>0</v>
      </c>
      <c r="J432" s="5">
        <f t="shared" si="12"/>
        <v>2.3541840000000001</v>
      </c>
      <c r="K432" s="5">
        <f t="shared" si="13"/>
        <v>2.3541840000000001</v>
      </c>
      <c r="L432" s="6">
        <f>K432/'Quellen &amp; Annahmen'!$B$2</f>
        <v>2.1323958529682143E-5</v>
      </c>
      <c r="M432" s="7" t="s">
        <v>187</v>
      </c>
      <c r="N432" s="7" t="s">
        <v>188</v>
      </c>
    </row>
    <row r="433" spans="1:14" ht="18" customHeight="1">
      <c r="A433">
        <v>432</v>
      </c>
      <c r="B433" t="s">
        <v>518</v>
      </c>
      <c r="C433" t="s">
        <v>50</v>
      </c>
      <c r="D433" s="2">
        <v>0</v>
      </c>
      <c r="E433" s="2">
        <v>0</v>
      </c>
      <c r="F433" s="2">
        <v>0</v>
      </c>
      <c r="G433" s="2">
        <v>0</v>
      </c>
      <c r="H433" s="2">
        <v>2.3541840000000001</v>
      </c>
      <c r="I433" s="2">
        <v>0</v>
      </c>
      <c r="J433" s="5">
        <f t="shared" si="12"/>
        <v>2.3541840000000001</v>
      </c>
      <c r="K433" s="5">
        <f t="shared" si="13"/>
        <v>2.3541840000000001</v>
      </c>
      <c r="L433" s="6">
        <f>K433/'Quellen &amp; Annahmen'!$B$2</f>
        <v>2.1323958529682143E-5</v>
      </c>
      <c r="M433" s="7" t="s">
        <v>187</v>
      </c>
      <c r="N433" s="7" t="s">
        <v>188</v>
      </c>
    </row>
    <row r="434" spans="1:14" ht="18" customHeight="1">
      <c r="A434">
        <v>433</v>
      </c>
      <c r="B434" t="s">
        <v>519</v>
      </c>
      <c r="C434" t="s">
        <v>23</v>
      </c>
      <c r="D434" s="2">
        <v>0</v>
      </c>
      <c r="E434" s="2">
        <v>0</v>
      </c>
      <c r="F434" s="2">
        <v>0</v>
      </c>
      <c r="G434" s="2">
        <v>0</v>
      </c>
      <c r="H434" s="2">
        <v>2.3541840000000001</v>
      </c>
      <c r="I434" s="2">
        <v>0</v>
      </c>
      <c r="J434" s="5">
        <f t="shared" si="12"/>
        <v>2.3541840000000001</v>
      </c>
      <c r="K434" s="5">
        <f t="shared" si="13"/>
        <v>2.3541840000000001</v>
      </c>
      <c r="L434" s="6">
        <f>K434/'Quellen &amp; Annahmen'!$B$2</f>
        <v>2.1323958529682143E-5</v>
      </c>
      <c r="M434" s="7" t="s">
        <v>187</v>
      </c>
      <c r="N434" s="7" t="s">
        <v>188</v>
      </c>
    </row>
    <row r="435" spans="1:14" ht="18" customHeight="1">
      <c r="A435">
        <v>434</v>
      </c>
      <c r="B435" t="s">
        <v>520</v>
      </c>
      <c r="C435" t="s">
        <v>41</v>
      </c>
      <c r="D435" s="2">
        <v>0</v>
      </c>
      <c r="E435" s="2">
        <v>0</v>
      </c>
      <c r="F435" s="2">
        <v>0</v>
      </c>
      <c r="G435" s="2">
        <v>0</v>
      </c>
      <c r="H435" s="2">
        <v>2.3541840000000001</v>
      </c>
      <c r="I435" s="2">
        <v>0</v>
      </c>
      <c r="J435" s="5">
        <f t="shared" si="12"/>
        <v>2.3541840000000001</v>
      </c>
      <c r="K435" s="5">
        <f t="shared" si="13"/>
        <v>2.3541840000000001</v>
      </c>
      <c r="L435" s="6">
        <f>K435/'Quellen &amp; Annahmen'!$B$2</f>
        <v>2.1323958529682143E-5</v>
      </c>
      <c r="M435" s="7" t="s">
        <v>187</v>
      </c>
      <c r="N435" s="7" t="s">
        <v>188</v>
      </c>
    </row>
    <row r="436" spans="1:14" ht="18" customHeight="1">
      <c r="A436">
        <v>435</v>
      </c>
      <c r="B436" t="s">
        <v>521</v>
      </c>
      <c r="C436" t="s">
        <v>33</v>
      </c>
      <c r="D436" s="2">
        <v>0</v>
      </c>
      <c r="E436" s="2">
        <v>0</v>
      </c>
      <c r="F436" s="2">
        <v>0</v>
      </c>
      <c r="G436" s="2">
        <v>0</v>
      </c>
      <c r="H436" s="2">
        <v>2.3541840000000001</v>
      </c>
      <c r="I436" s="2">
        <v>0</v>
      </c>
      <c r="J436" s="5">
        <f t="shared" si="12"/>
        <v>2.3541840000000001</v>
      </c>
      <c r="K436" s="5">
        <f t="shared" si="13"/>
        <v>2.3541840000000001</v>
      </c>
      <c r="L436" s="6">
        <f>K436/'Quellen &amp; Annahmen'!$B$2</f>
        <v>2.1323958529682143E-5</v>
      </c>
      <c r="M436" s="7" t="s">
        <v>187</v>
      </c>
      <c r="N436" s="7" t="s">
        <v>188</v>
      </c>
    </row>
    <row r="437" spans="1:14" ht="18" customHeight="1">
      <c r="A437">
        <v>436</v>
      </c>
      <c r="B437" t="s">
        <v>522</v>
      </c>
      <c r="C437" t="s">
        <v>23</v>
      </c>
      <c r="D437" s="2">
        <v>0</v>
      </c>
      <c r="E437" s="2">
        <v>0</v>
      </c>
      <c r="F437" s="2">
        <v>0</v>
      </c>
      <c r="G437" s="2">
        <v>0</v>
      </c>
      <c r="H437" s="2">
        <v>2.3541840000000001</v>
      </c>
      <c r="I437" s="2">
        <v>0</v>
      </c>
      <c r="J437" s="5">
        <f t="shared" si="12"/>
        <v>2.3541840000000001</v>
      </c>
      <c r="K437" s="5">
        <f t="shared" si="13"/>
        <v>2.3541840000000001</v>
      </c>
      <c r="L437" s="6">
        <f>K437/'Quellen &amp; Annahmen'!$B$2</f>
        <v>2.1323958529682143E-5</v>
      </c>
      <c r="M437" s="7" t="s">
        <v>187</v>
      </c>
      <c r="N437" s="7" t="s">
        <v>188</v>
      </c>
    </row>
    <row r="438" spans="1:14" ht="18" customHeight="1">
      <c r="A438">
        <v>437</v>
      </c>
      <c r="B438" t="s">
        <v>523</v>
      </c>
      <c r="C438" t="s">
        <v>23</v>
      </c>
      <c r="D438" s="2">
        <v>0</v>
      </c>
      <c r="E438" s="2">
        <v>0</v>
      </c>
      <c r="F438" s="2">
        <v>0</v>
      </c>
      <c r="G438" s="2">
        <v>0</v>
      </c>
      <c r="H438" s="2">
        <v>2.3541840000000001</v>
      </c>
      <c r="I438" s="2">
        <v>0</v>
      </c>
      <c r="J438" s="5">
        <f t="shared" si="12"/>
        <v>2.3541840000000001</v>
      </c>
      <c r="K438" s="5">
        <f t="shared" si="13"/>
        <v>2.3541840000000001</v>
      </c>
      <c r="L438" s="6">
        <f>K438/'Quellen &amp; Annahmen'!$B$2</f>
        <v>2.1323958529682143E-5</v>
      </c>
      <c r="M438" s="7" t="s">
        <v>187</v>
      </c>
      <c r="N438" s="7" t="s">
        <v>188</v>
      </c>
    </row>
    <row r="439" spans="1:14" ht="18" customHeight="1">
      <c r="A439">
        <v>438</v>
      </c>
      <c r="B439" t="s">
        <v>524</v>
      </c>
      <c r="C439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2.3541840000000001</v>
      </c>
      <c r="I439" s="2">
        <v>0</v>
      </c>
      <c r="J439" s="5">
        <f t="shared" si="12"/>
        <v>2.3541840000000001</v>
      </c>
      <c r="K439" s="5">
        <f t="shared" si="13"/>
        <v>2.3541840000000001</v>
      </c>
      <c r="L439" s="6">
        <f>K439/'Quellen &amp; Annahmen'!$B$2</f>
        <v>2.1323958529682143E-5</v>
      </c>
      <c r="M439" s="7" t="s">
        <v>187</v>
      </c>
      <c r="N439" s="7" t="s">
        <v>188</v>
      </c>
    </row>
    <row r="440" spans="1:14" ht="18" customHeight="1">
      <c r="A440">
        <v>439</v>
      </c>
      <c r="B440" t="s">
        <v>525</v>
      </c>
      <c r="C440" t="s">
        <v>23</v>
      </c>
      <c r="D440" s="2">
        <v>0</v>
      </c>
      <c r="E440" s="2">
        <v>0</v>
      </c>
      <c r="F440" s="2">
        <v>0</v>
      </c>
      <c r="G440" s="2">
        <v>0</v>
      </c>
      <c r="H440" s="2">
        <v>2.3541840000000001</v>
      </c>
      <c r="I440" s="2">
        <v>0</v>
      </c>
      <c r="J440" s="5">
        <f t="shared" si="12"/>
        <v>2.3541840000000001</v>
      </c>
      <c r="K440" s="5">
        <f t="shared" si="13"/>
        <v>2.3541840000000001</v>
      </c>
      <c r="L440" s="6">
        <f>K440/'Quellen &amp; Annahmen'!$B$2</f>
        <v>2.1323958529682143E-5</v>
      </c>
      <c r="M440" s="7" t="s">
        <v>187</v>
      </c>
      <c r="N440" s="7" t="s">
        <v>188</v>
      </c>
    </row>
    <row r="441" spans="1:14" ht="18" customHeight="1">
      <c r="A441">
        <v>440</v>
      </c>
      <c r="B441" t="s">
        <v>526</v>
      </c>
      <c r="C44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2.3541840000000001</v>
      </c>
      <c r="I441" s="2">
        <v>0</v>
      </c>
      <c r="J441" s="5">
        <f t="shared" si="12"/>
        <v>2.3541840000000001</v>
      </c>
      <c r="K441" s="5">
        <f t="shared" si="13"/>
        <v>2.3541840000000001</v>
      </c>
      <c r="L441" s="6">
        <f>K441/'Quellen &amp; Annahmen'!$B$2</f>
        <v>2.1323958529682143E-5</v>
      </c>
      <c r="M441" s="7" t="s">
        <v>187</v>
      </c>
      <c r="N441" s="7" t="s">
        <v>188</v>
      </c>
    </row>
    <row r="442" spans="1:14" ht="18" customHeight="1">
      <c r="A442">
        <v>441</v>
      </c>
      <c r="B442" t="s">
        <v>527</v>
      </c>
      <c r="C442" t="s">
        <v>38</v>
      </c>
      <c r="D442" s="2">
        <v>0</v>
      </c>
      <c r="E442" s="2">
        <v>0</v>
      </c>
      <c r="F442" s="2">
        <v>0</v>
      </c>
      <c r="G442" s="2">
        <v>0</v>
      </c>
      <c r="H442" s="2">
        <v>2.3541840000000001</v>
      </c>
      <c r="I442" s="2">
        <v>0</v>
      </c>
      <c r="J442" s="5">
        <f t="shared" si="12"/>
        <v>2.3541840000000001</v>
      </c>
      <c r="K442" s="5">
        <f t="shared" si="13"/>
        <v>2.3541840000000001</v>
      </c>
      <c r="L442" s="6">
        <f>K442/'Quellen &amp; Annahmen'!$B$2</f>
        <v>2.1323958529682143E-5</v>
      </c>
      <c r="M442" s="7" t="s">
        <v>187</v>
      </c>
      <c r="N442" s="7" t="s">
        <v>188</v>
      </c>
    </row>
    <row r="443" spans="1:14" ht="18" customHeight="1">
      <c r="A443">
        <v>442</v>
      </c>
      <c r="B443" t="s">
        <v>528</v>
      </c>
      <c r="C443" t="s">
        <v>253</v>
      </c>
      <c r="D443" s="2">
        <v>0</v>
      </c>
      <c r="E443" s="2">
        <v>0</v>
      </c>
      <c r="F443" s="2">
        <v>0</v>
      </c>
      <c r="G443" s="2">
        <v>0</v>
      </c>
      <c r="H443" s="2">
        <v>2.3541840000000001</v>
      </c>
      <c r="I443" s="2">
        <v>0</v>
      </c>
      <c r="J443" s="5">
        <f t="shared" si="12"/>
        <v>2.3541840000000001</v>
      </c>
      <c r="K443" s="5">
        <f t="shared" si="13"/>
        <v>2.3541840000000001</v>
      </c>
      <c r="L443" s="6">
        <f>K443/'Quellen &amp; Annahmen'!$B$2</f>
        <v>2.1323958529682143E-5</v>
      </c>
      <c r="M443" s="7" t="s">
        <v>187</v>
      </c>
      <c r="N443" s="7" t="s">
        <v>188</v>
      </c>
    </row>
    <row r="444" spans="1:14" ht="18" customHeight="1">
      <c r="A444">
        <v>443</v>
      </c>
      <c r="B444" t="s">
        <v>529</v>
      </c>
      <c r="C444" t="s">
        <v>124</v>
      </c>
      <c r="D444" s="2">
        <v>0</v>
      </c>
      <c r="E444" s="2">
        <v>0</v>
      </c>
      <c r="F444" s="2">
        <v>0</v>
      </c>
      <c r="G444" s="2">
        <v>0</v>
      </c>
      <c r="H444" s="2">
        <v>2.3541840000000001</v>
      </c>
      <c r="I444" s="2">
        <v>0</v>
      </c>
      <c r="J444" s="5">
        <f t="shared" si="12"/>
        <v>2.3541840000000001</v>
      </c>
      <c r="K444" s="5">
        <f t="shared" si="13"/>
        <v>2.3541840000000001</v>
      </c>
      <c r="L444" s="6">
        <f>K444/'Quellen &amp; Annahmen'!$B$2</f>
        <v>2.1323958529682143E-5</v>
      </c>
      <c r="M444" s="7" t="s">
        <v>187</v>
      </c>
      <c r="N444" s="7" t="s">
        <v>188</v>
      </c>
    </row>
    <row r="445" spans="1:14" ht="18" customHeight="1">
      <c r="A445">
        <v>444</v>
      </c>
      <c r="B445" t="s">
        <v>530</v>
      </c>
      <c r="C445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2.3541840000000001</v>
      </c>
      <c r="I445" s="2">
        <v>0</v>
      </c>
      <c r="J445" s="5">
        <f t="shared" si="12"/>
        <v>2.3541840000000001</v>
      </c>
      <c r="K445" s="5">
        <f t="shared" si="13"/>
        <v>2.3541840000000001</v>
      </c>
      <c r="L445" s="6">
        <f>K445/'Quellen &amp; Annahmen'!$B$2</f>
        <v>2.1323958529682143E-5</v>
      </c>
      <c r="M445" s="7" t="s">
        <v>187</v>
      </c>
      <c r="N445" s="7" t="s">
        <v>188</v>
      </c>
    </row>
    <row r="446" spans="1:14" ht="18" customHeight="1">
      <c r="A446">
        <v>445</v>
      </c>
      <c r="B446" t="s">
        <v>531</v>
      </c>
      <c r="C446" t="s">
        <v>41</v>
      </c>
      <c r="D446" s="2">
        <v>0</v>
      </c>
      <c r="E446" s="2">
        <v>0</v>
      </c>
      <c r="F446" s="2">
        <v>0</v>
      </c>
      <c r="G446" s="2">
        <v>0</v>
      </c>
      <c r="H446" s="2">
        <v>2.3541840000000001</v>
      </c>
      <c r="I446" s="2">
        <v>0</v>
      </c>
      <c r="J446" s="5">
        <f t="shared" si="12"/>
        <v>2.3541840000000001</v>
      </c>
      <c r="K446" s="5">
        <f t="shared" si="13"/>
        <v>2.3541840000000001</v>
      </c>
      <c r="L446" s="6">
        <f>K446/'Quellen &amp; Annahmen'!$B$2</f>
        <v>2.1323958529682143E-5</v>
      </c>
      <c r="M446" s="7" t="s">
        <v>187</v>
      </c>
      <c r="N446" s="7" t="s">
        <v>188</v>
      </c>
    </row>
    <row r="447" spans="1:14" ht="18" customHeight="1">
      <c r="A447">
        <v>446</v>
      </c>
      <c r="B447" t="s">
        <v>532</v>
      </c>
      <c r="C447" t="s">
        <v>108</v>
      </c>
      <c r="D447" s="2">
        <v>0</v>
      </c>
      <c r="E447" s="2">
        <v>0</v>
      </c>
      <c r="F447" s="2">
        <v>0</v>
      </c>
      <c r="G447" s="2">
        <v>0</v>
      </c>
      <c r="H447" s="2">
        <v>2.3541840000000001</v>
      </c>
      <c r="I447" s="2">
        <v>0</v>
      </c>
      <c r="J447" s="5">
        <f t="shared" si="12"/>
        <v>2.3541840000000001</v>
      </c>
      <c r="K447" s="5">
        <f t="shared" si="13"/>
        <v>2.3541840000000001</v>
      </c>
      <c r="L447" s="6">
        <f>K447/'Quellen &amp; Annahmen'!$B$2</f>
        <v>2.1323958529682143E-5</v>
      </c>
      <c r="M447" s="7" t="s">
        <v>187</v>
      </c>
      <c r="N447" s="7" t="s">
        <v>188</v>
      </c>
    </row>
    <row r="448" spans="1:14" ht="18" customHeight="1">
      <c r="A448">
        <v>447</v>
      </c>
      <c r="B448" t="s">
        <v>533</v>
      </c>
      <c r="C448" t="s">
        <v>33</v>
      </c>
      <c r="D448" s="2">
        <v>0</v>
      </c>
      <c r="E448" s="2">
        <v>0</v>
      </c>
      <c r="F448" s="2">
        <v>0</v>
      </c>
      <c r="G448" s="2">
        <v>0</v>
      </c>
      <c r="H448" s="2">
        <v>2.3541840000000001</v>
      </c>
      <c r="I448" s="2">
        <v>0</v>
      </c>
      <c r="J448" s="5">
        <f t="shared" si="12"/>
        <v>2.3541840000000001</v>
      </c>
      <c r="K448" s="5">
        <f t="shared" si="13"/>
        <v>2.3541840000000001</v>
      </c>
      <c r="L448" s="6">
        <f>K448/'Quellen &amp; Annahmen'!$B$2</f>
        <v>2.1323958529682143E-5</v>
      </c>
      <c r="M448" s="7" t="s">
        <v>187</v>
      </c>
      <c r="N448" s="7" t="s">
        <v>188</v>
      </c>
    </row>
    <row r="449" spans="1:14" ht="18" customHeight="1">
      <c r="A449">
        <v>448</v>
      </c>
      <c r="B449" t="s">
        <v>534</v>
      </c>
      <c r="C449" t="s">
        <v>25</v>
      </c>
      <c r="D449" s="2">
        <v>0</v>
      </c>
      <c r="E449" s="2">
        <v>0</v>
      </c>
      <c r="F449" s="2">
        <v>0</v>
      </c>
      <c r="G449" s="2">
        <v>0</v>
      </c>
      <c r="H449" s="2">
        <v>2.3541840000000001</v>
      </c>
      <c r="I449" s="2">
        <v>0</v>
      </c>
      <c r="J449" s="5">
        <f t="shared" si="12"/>
        <v>2.3541840000000001</v>
      </c>
      <c r="K449" s="5">
        <f t="shared" si="13"/>
        <v>2.3541840000000001</v>
      </c>
      <c r="L449" s="6">
        <f>K449/'Quellen &amp; Annahmen'!$B$2</f>
        <v>2.1323958529682143E-5</v>
      </c>
      <c r="M449" s="7" t="s">
        <v>187</v>
      </c>
      <c r="N449" s="7" t="s">
        <v>188</v>
      </c>
    </row>
    <row r="450" spans="1:14" ht="18" customHeight="1">
      <c r="A450">
        <v>449</v>
      </c>
      <c r="B450" t="s">
        <v>535</v>
      </c>
      <c r="C450" t="s">
        <v>38</v>
      </c>
      <c r="D450" s="2">
        <v>0</v>
      </c>
      <c r="E450" s="2">
        <v>0</v>
      </c>
      <c r="F450" s="2">
        <v>0</v>
      </c>
      <c r="G450" s="2">
        <v>0</v>
      </c>
      <c r="H450" s="2">
        <v>2.3541840000000001</v>
      </c>
      <c r="I450" s="2">
        <v>0</v>
      </c>
      <c r="J450" s="5">
        <f t="shared" ref="J450:J513" si="14">SUM(E450:I450)</f>
        <v>2.3541840000000001</v>
      </c>
      <c r="K450" s="5">
        <f t="shared" ref="K450:K513" si="15">D450+J450</f>
        <v>2.3541840000000001</v>
      </c>
      <c r="L450" s="6">
        <f>K450/'Quellen &amp; Annahmen'!$B$2</f>
        <v>2.1323958529682143E-5</v>
      </c>
      <c r="M450" s="7" t="s">
        <v>187</v>
      </c>
      <c r="N450" s="7" t="s">
        <v>188</v>
      </c>
    </row>
    <row r="451" spans="1:14" ht="18" customHeight="1">
      <c r="A451">
        <v>450</v>
      </c>
      <c r="B451" t="s">
        <v>536</v>
      </c>
      <c r="C45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2.3541840000000001</v>
      </c>
      <c r="I451" s="2">
        <v>0</v>
      </c>
      <c r="J451" s="5">
        <f t="shared" si="14"/>
        <v>2.3541840000000001</v>
      </c>
      <c r="K451" s="5">
        <f t="shared" si="15"/>
        <v>2.3541840000000001</v>
      </c>
      <c r="L451" s="6">
        <f>K451/'Quellen &amp; Annahmen'!$B$2</f>
        <v>2.1323958529682143E-5</v>
      </c>
      <c r="M451" s="7" t="s">
        <v>187</v>
      </c>
      <c r="N451" s="7" t="s">
        <v>188</v>
      </c>
    </row>
    <row r="452" spans="1:14" ht="18" customHeight="1">
      <c r="A452">
        <v>451</v>
      </c>
      <c r="B452" t="s">
        <v>537</v>
      </c>
      <c r="C452" t="s">
        <v>41</v>
      </c>
      <c r="D452" s="2">
        <v>0</v>
      </c>
      <c r="E452" s="2">
        <v>0</v>
      </c>
      <c r="F452" s="2">
        <v>0</v>
      </c>
      <c r="G452" s="2">
        <v>0</v>
      </c>
      <c r="H452" s="2">
        <v>2.3541840000000001</v>
      </c>
      <c r="I452" s="2">
        <v>0</v>
      </c>
      <c r="J452" s="5">
        <f t="shared" si="14"/>
        <v>2.3541840000000001</v>
      </c>
      <c r="K452" s="5">
        <f t="shared" si="15"/>
        <v>2.3541840000000001</v>
      </c>
      <c r="L452" s="6">
        <f>K452/'Quellen &amp; Annahmen'!$B$2</f>
        <v>2.1323958529682143E-5</v>
      </c>
      <c r="M452" s="7" t="s">
        <v>187</v>
      </c>
      <c r="N452" s="7" t="s">
        <v>188</v>
      </c>
    </row>
    <row r="453" spans="1:14" ht="18" customHeight="1">
      <c r="A453">
        <v>452</v>
      </c>
      <c r="B453" t="s">
        <v>538</v>
      </c>
      <c r="C453" t="s">
        <v>263</v>
      </c>
      <c r="D453" s="2">
        <v>0</v>
      </c>
      <c r="E453" s="2">
        <v>0</v>
      </c>
      <c r="F453" s="2">
        <v>0</v>
      </c>
      <c r="G453" s="2">
        <v>0</v>
      </c>
      <c r="H453" s="2">
        <v>2.3541840000000001</v>
      </c>
      <c r="I453" s="2">
        <v>0</v>
      </c>
      <c r="J453" s="5">
        <f t="shared" si="14"/>
        <v>2.3541840000000001</v>
      </c>
      <c r="K453" s="5">
        <f t="shared" si="15"/>
        <v>2.3541840000000001</v>
      </c>
      <c r="L453" s="6">
        <f>K453/'Quellen &amp; Annahmen'!$B$2</f>
        <v>2.1323958529682143E-5</v>
      </c>
      <c r="M453" s="7" t="s">
        <v>187</v>
      </c>
      <c r="N453" s="7" t="s">
        <v>188</v>
      </c>
    </row>
    <row r="454" spans="1:14" ht="18" customHeight="1">
      <c r="A454">
        <v>453</v>
      </c>
      <c r="B454" t="s">
        <v>539</v>
      </c>
      <c r="C454" t="s">
        <v>108</v>
      </c>
      <c r="D454" s="2">
        <v>0</v>
      </c>
      <c r="E454" s="2">
        <v>0</v>
      </c>
      <c r="F454" s="2">
        <v>0</v>
      </c>
      <c r="G454" s="2">
        <v>0</v>
      </c>
      <c r="H454" s="2">
        <v>0.336312</v>
      </c>
      <c r="I454" s="2">
        <v>1.9397679999999999</v>
      </c>
      <c r="J454" s="5">
        <f t="shared" si="14"/>
        <v>2.2760799999999999</v>
      </c>
      <c r="K454" s="5">
        <f t="shared" si="15"/>
        <v>2.2760799999999999</v>
      </c>
      <c r="L454" s="6">
        <f>K454/'Quellen &amp; Annahmen'!$B$2</f>
        <v>2.0616500464806035E-5</v>
      </c>
      <c r="M454" s="7" t="s">
        <v>179</v>
      </c>
      <c r="N454" s="7" t="s">
        <v>180</v>
      </c>
    </row>
    <row r="455" spans="1:14" ht="18" customHeight="1">
      <c r="A455">
        <v>454</v>
      </c>
      <c r="B455" t="s">
        <v>540</v>
      </c>
      <c r="C455" t="s">
        <v>108</v>
      </c>
      <c r="D455" s="2">
        <v>0</v>
      </c>
      <c r="E455" s="2">
        <v>0</v>
      </c>
      <c r="F455" s="2">
        <v>0</v>
      </c>
      <c r="G455" s="2">
        <v>0</v>
      </c>
      <c r="H455" s="2">
        <v>0.336312</v>
      </c>
      <c r="I455" s="2">
        <v>1.9397679999999999</v>
      </c>
      <c r="J455" s="5">
        <f t="shared" si="14"/>
        <v>2.2760799999999999</v>
      </c>
      <c r="K455" s="5">
        <f t="shared" si="15"/>
        <v>2.2760799999999999</v>
      </c>
      <c r="L455" s="6">
        <f>K455/'Quellen &amp; Annahmen'!$B$2</f>
        <v>2.0616500464806035E-5</v>
      </c>
      <c r="M455" s="7" t="s">
        <v>179</v>
      </c>
      <c r="N455" s="7" t="s">
        <v>180</v>
      </c>
    </row>
    <row r="456" spans="1:14" ht="18" customHeight="1">
      <c r="A456">
        <v>455</v>
      </c>
      <c r="B456" t="s">
        <v>541</v>
      </c>
      <c r="C456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0.336312</v>
      </c>
      <c r="I456" s="2">
        <v>1.9397679999999999</v>
      </c>
      <c r="J456" s="5">
        <f t="shared" si="14"/>
        <v>2.2760799999999999</v>
      </c>
      <c r="K456" s="5">
        <f t="shared" si="15"/>
        <v>2.2760799999999999</v>
      </c>
      <c r="L456" s="6">
        <f>K456/'Quellen &amp; Annahmen'!$B$2</f>
        <v>2.0616500464806035E-5</v>
      </c>
      <c r="M456" s="7" t="s">
        <v>179</v>
      </c>
      <c r="N456" s="7" t="s">
        <v>180</v>
      </c>
    </row>
    <row r="457" spans="1:14" ht="18" customHeight="1">
      <c r="A457">
        <v>456</v>
      </c>
      <c r="B457" t="s">
        <v>542</v>
      </c>
      <c r="C457" t="s">
        <v>23</v>
      </c>
      <c r="D457" s="2">
        <v>0</v>
      </c>
      <c r="E457" s="2">
        <v>0</v>
      </c>
      <c r="F457" s="2">
        <v>0</v>
      </c>
      <c r="G457" s="2">
        <v>0</v>
      </c>
      <c r="H457" s="2">
        <v>0.672624</v>
      </c>
      <c r="I457" s="2">
        <v>1.597456</v>
      </c>
      <c r="J457" s="5">
        <f t="shared" si="14"/>
        <v>2.2700800000000001</v>
      </c>
      <c r="K457" s="5">
        <f t="shared" si="15"/>
        <v>2.2700800000000001</v>
      </c>
      <c r="L457" s="6">
        <f>K457/'Quellen &amp; Annahmen'!$B$2</f>
        <v>2.0562153076845667E-5</v>
      </c>
      <c r="M457" s="7" t="s">
        <v>179</v>
      </c>
      <c r="N457" s="7" t="s">
        <v>180</v>
      </c>
    </row>
    <row r="458" spans="1:14" ht="18" customHeight="1">
      <c r="A458">
        <v>457</v>
      </c>
      <c r="B458" t="s">
        <v>543</v>
      </c>
      <c r="C458" t="s">
        <v>33</v>
      </c>
      <c r="D458" s="2">
        <v>0</v>
      </c>
      <c r="E458" s="2">
        <v>0</v>
      </c>
      <c r="F458" s="2">
        <v>0</v>
      </c>
      <c r="G458" s="2">
        <v>0</v>
      </c>
      <c r="H458" s="2">
        <v>0.672624</v>
      </c>
      <c r="I458" s="2">
        <v>1.597456</v>
      </c>
      <c r="J458" s="5">
        <f t="shared" si="14"/>
        <v>2.2700800000000001</v>
      </c>
      <c r="K458" s="5">
        <f t="shared" si="15"/>
        <v>2.2700800000000001</v>
      </c>
      <c r="L458" s="6">
        <f>K458/'Quellen &amp; Annahmen'!$B$2</f>
        <v>2.0562153076845667E-5</v>
      </c>
      <c r="M458" s="7" t="s">
        <v>179</v>
      </c>
      <c r="N458" s="7" t="s">
        <v>180</v>
      </c>
    </row>
    <row r="459" spans="1:14" ht="18" customHeight="1">
      <c r="A459">
        <v>458</v>
      </c>
      <c r="B459" t="s">
        <v>544</v>
      </c>
      <c r="C459" t="s">
        <v>108</v>
      </c>
      <c r="D459" s="2">
        <v>0</v>
      </c>
      <c r="E459" s="2">
        <v>0</v>
      </c>
      <c r="F459" s="2">
        <v>0</v>
      </c>
      <c r="G459" s="2">
        <v>0</v>
      </c>
      <c r="H459" s="2">
        <v>0.672624</v>
      </c>
      <c r="I459" s="2">
        <v>1.597456</v>
      </c>
      <c r="J459" s="5">
        <f t="shared" si="14"/>
        <v>2.2700800000000001</v>
      </c>
      <c r="K459" s="5">
        <f t="shared" si="15"/>
        <v>2.2700800000000001</v>
      </c>
      <c r="L459" s="6">
        <f>K459/'Quellen &amp; Annahmen'!$B$2</f>
        <v>2.0562153076845667E-5</v>
      </c>
      <c r="M459" s="7" t="s">
        <v>179</v>
      </c>
      <c r="N459" s="7" t="s">
        <v>180</v>
      </c>
    </row>
    <row r="460" spans="1:14" ht="18" customHeight="1">
      <c r="A460">
        <v>459</v>
      </c>
      <c r="B460" t="s">
        <v>545</v>
      </c>
      <c r="C460" t="s">
        <v>108</v>
      </c>
      <c r="D460" s="2">
        <v>0</v>
      </c>
      <c r="E460" s="2">
        <v>0</v>
      </c>
      <c r="F460" s="2">
        <v>0</v>
      </c>
      <c r="G460" s="2">
        <v>0</v>
      </c>
      <c r="H460" s="2">
        <v>0.672624</v>
      </c>
      <c r="I460" s="2">
        <v>1.597456</v>
      </c>
      <c r="J460" s="5">
        <f t="shared" si="14"/>
        <v>2.2700800000000001</v>
      </c>
      <c r="K460" s="5">
        <f t="shared" si="15"/>
        <v>2.2700800000000001</v>
      </c>
      <c r="L460" s="6">
        <f>K460/'Quellen &amp; Annahmen'!$B$2</f>
        <v>2.0562153076845667E-5</v>
      </c>
      <c r="M460" s="7" t="s">
        <v>179</v>
      </c>
      <c r="N460" s="7" t="s">
        <v>180</v>
      </c>
    </row>
    <row r="461" spans="1:14" ht="18" customHeight="1">
      <c r="A461">
        <v>460</v>
      </c>
      <c r="B461" t="s">
        <v>546</v>
      </c>
      <c r="C461" t="s">
        <v>253</v>
      </c>
      <c r="D461" s="2">
        <v>0</v>
      </c>
      <c r="E461" s="2">
        <v>0</v>
      </c>
      <c r="F461" s="2">
        <v>0</v>
      </c>
      <c r="G461" s="2">
        <v>0</v>
      </c>
      <c r="H461" s="2">
        <v>0.672624</v>
      </c>
      <c r="I461" s="2">
        <v>1.597456</v>
      </c>
      <c r="J461" s="5">
        <f t="shared" si="14"/>
        <v>2.2700800000000001</v>
      </c>
      <c r="K461" s="5">
        <f t="shared" si="15"/>
        <v>2.2700800000000001</v>
      </c>
      <c r="L461" s="6">
        <f>K461/'Quellen &amp; Annahmen'!$B$2</f>
        <v>2.0562153076845667E-5</v>
      </c>
      <c r="M461" s="7" t="s">
        <v>179</v>
      </c>
      <c r="N461" s="7" t="s">
        <v>180</v>
      </c>
    </row>
    <row r="462" spans="1:14" ht="18" customHeight="1">
      <c r="A462">
        <v>461</v>
      </c>
      <c r="B462" t="s">
        <v>547</v>
      </c>
      <c r="C462" t="s">
        <v>108</v>
      </c>
      <c r="D462" s="2">
        <v>0</v>
      </c>
      <c r="E462" s="2">
        <v>0</v>
      </c>
      <c r="F462" s="2">
        <v>0</v>
      </c>
      <c r="G462" s="2">
        <v>0</v>
      </c>
      <c r="H462" s="2">
        <v>0.672624</v>
      </c>
      <c r="I462" s="2">
        <v>1.597456</v>
      </c>
      <c r="J462" s="5">
        <f t="shared" si="14"/>
        <v>2.2700800000000001</v>
      </c>
      <c r="K462" s="5">
        <f t="shared" si="15"/>
        <v>2.2700800000000001</v>
      </c>
      <c r="L462" s="6">
        <f>K462/'Quellen &amp; Annahmen'!$B$2</f>
        <v>2.0562153076845667E-5</v>
      </c>
      <c r="M462" s="7" t="s">
        <v>179</v>
      </c>
      <c r="N462" s="7" t="s">
        <v>180</v>
      </c>
    </row>
    <row r="463" spans="1:14" ht="18" customHeight="1">
      <c r="A463">
        <v>462</v>
      </c>
      <c r="B463" t="s">
        <v>548</v>
      </c>
      <c r="C463" t="s">
        <v>23</v>
      </c>
      <c r="D463" s="2">
        <v>0</v>
      </c>
      <c r="E463" s="2">
        <v>0</v>
      </c>
      <c r="F463" s="2">
        <v>0</v>
      </c>
      <c r="G463" s="2">
        <v>0</v>
      </c>
      <c r="H463" s="2">
        <v>1.0089359999999998</v>
      </c>
      <c r="I463" s="2">
        <v>1.255144</v>
      </c>
      <c r="J463" s="5">
        <f t="shared" si="14"/>
        <v>2.2640799999999999</v>
      </c>
      <c r="K463" s="5">
        <f t="shared" si="15"/>
        <v>2.2640799999999999</v>
      </c>
      <c r="L463" s="6">
        <f>K463/'Quellen &amp; Annahmen'!$B$2</f>
        <v>2.0507805688885297E-5</v>
      </c>
      <c r="M463" s="7" t="s">
        <v>179</v>
      </c>
      <c r="N463" s="7" t="s">
        <v>180</v>
      </c>
    </row>
    <row r="464" spans="1:14" ht="18" customHeight="1">
      <c r="A464">
        <v>463</v>
      </c>
      <c r="B464" t="s">
        <v>549</v>
      </c>
      <c r="C464" t="s">
        <v>23</v>
      </c>
      <c r="D464" s="2">
        <v>0</v>
      </c>
      <c r="E464" s="2">
        <v>0</v>
      </c>
      <c r="F464" s="2">
        <v>0</v>
      </c>
      <c r="G464" s="2">
        <v>0</v>
      </c>
      <c r="H464" s="2">
        <v>1.0089359999999998</v>
      </c>
      <c r="I464" s="2">
        <v>1.255144</v>
      </c>
      <c r="J464" s="5">
        <f t="shared" si="14"/>
        <v>2.2640799999999999</v>
      </c>
      <c r="K464" s="5">
        <f t="shared" si="15"/>
        <v>2.2640799999999999</v>
      </c>
      <c r="L464" s="6">
        <f>K464/'Quellen &amp; Annahmen'!$B$2</f>
        <v>2.0507805688885297E-5</v>
      </c>
      <c r="M464" s="7" t="s">
        <v>179</v>
      </c>
      <c r="N464" s="7" t="s">
        <v>180</v>
      </c>
    </row>
    <row r="465" spans="1:14" ht="18" customHeight="1">
      <c r="A465">
        <v>464</v>
      </c>
      <c r="B465" t="s">
        <v>550</v>
      </c>
      <c r="C465" t="s">
        <v>33</v>
      </c>
      <c r="D465" s="2">
        <v>0</v>
      </c>
      <c r="E465" s="2">
        <v>0</v>
      </c>
      <c r="F465" s="2">
        <v>0</v>
      </c>
      <c r="G465" s="2">
        <v>0</v>
      </c>
      <c r="H465" s="2">
        <v>1.0089359999999998</v>
      </c>
      <c r="I465" s="2">
        <v>1.255144</v>
      </c>
      <c r="J465" s="5">
        <f t="shared" si="14"/>
        <v>2.2640799999999999</v>
      </c>
      <c r="K465" s="5">
        <f t="shared" si="15"/>
        <v>2.2640799999999999</v>
      </c>
      <c r="L465" s="6">
        <f>K465/'Quellen &amp; Annahmen'!$B$2</f>
        <v>2.0507805688885297E-5</v>
      </c>
      <c r="M465" s="7" t="s">
        <v>179</v>
      </c>
      <c r="N465" s="7" t="s">
        <v>180</v>
      </c>
    </row>
    <row r="466" spans="1:14" ht="18" customHeight="1">
      <c r="A466">
        <v>465</v>
      </c>
      <c r="B466" t="s">
        <v>551</v>
      </c>
      <c r="C466" t="s">
        <v>253</v>
      </c>
      <c r="D466" s="2">
        <v>0</v>
      </c>
      <c r="E466" s="2">
        <v>0</v>
      </c>
      <c r="F466" s="2">
        <v>0</v>
      </c>
      <c r="G466" s="2">
        <v>0</v>
      </c>
      <c r="H466" s="2">
        <v>1.0089359999999998</v>
      </c>
      <c r="I466" s="2">
        <v>1.255144</v>
      </c>
      <c r="J466" s="5">
        <f t="shared" si="14"/>
        <v>2.2640799999999999</v>
      </c>
      <c r="K466" s="5">
        <f t="shared" si="15"/>
        <v>2.2640799999999999</v>
      </c>
      <c r="L466" s="6">
        <f>K466/'Quellen &amp; Annahmen'!$B$2</f>
        <v>2.0507805688885297E-5</v>
      </c>
      <c r="M466" s="7" t="s">
        <v>179</v>
      </c>
      <c r="N466" s="7" t="s">
        <v>180</v>
      </c>
    </row>
    <row r="467" spans="1:14" ht="18" customHeight="1">
      <c r="A467">
        <v>466</v>
      </c>
      <c r="B467" t="s">
        <v>552</v>
      </c>
      <c r="C467" t="s">
        <v>124</v>
      </c>
      <c r="D467" s="2">
        <v>0</v>
      </c>
      <c r="E467" s="2">
        <v>0</v>
      </c>
      <c r="F467" s="2">
        <v>0</v>
      </c>
      <c r="G467" s="2">
        <v>0</v>
      </c>
      <c r="H467" s="2">
        <v>1.0089359999999998</v>
      </c>
      <c r="I467" s="2">
        <v>1.255144</v>
      </c>
      <c r="J467" s="5">
        <f t="shared" si="14"/>
        <v>2.2640799999999999</v>
      </c>
      <c r="K467" s="5">
        <f t="shared" si="15"/>
        <v>2.2640799999999999</v>
      </c>
      <c r="L467" s="6">
        <f>K467/'Quellen &amp; Annahmen'!$B$2</f>
        <v>2.0507805688885297E-5</v>
      </c>
      <c r="M467" s="7" t="s">
        <v>179</v>
      </c>
      <c r="N467" s="7" t="s">
        <v>180</v>
      </c>
    </row>
    <row r="468" spans="1:14" ht="18" customHeight="1">
      <c r="A468">
        <v>467</v>
      </c>
      <c r="B468" t="s">
        <v>553</v>
      </c>
      <c r="C468" t="s">
        <v>23</v>
      </c>
      <c r="D468" s="2">
        <v>0</v>
      </c>
      <c r="E468" s="2">
        <v>0</v>
      </c>
      <c r="F468" s="2">
        <v>0</v>
      </c>
      <c r="G468" s="2">
        <v>0</v>
      </c>
      <c r="H468" s="2">
        <v>1.345248</v>
      </c>
      <c r="I468" s="2">
        <v>0.91283199999999998</v>
      </c>
      <c r="J468" s="5">
        <f t="shared" si="14"/>
        <v>2.2580800000000001</v>
      </c>
      <c r="K468" s="5">
        <f t="shared" si="15"/>
        <v>2.2580800000000001</v>
      </c>
      <c r="L468" s="6">
        <f>K468/'Quellen &amp; Annahmen'!$B$2</f>
        <v>2.0453458300924929E-5</v>
      </c>
      <c r="M468" s="7" t="s">
        <v>179</v>
      </c>
      <c r="N468" s="7" t="s">
        <v>180</v>
      </c>
    </row>
    <row r="469" spans="1:14" ht="18" customHeight="1">
      <c r="A469">
        <v>468</v>
      </c>
      <c r="B469" t="s">
        <v>554</v>
      </c>
      <c r="C469" t="s">
        <v>23</v>
      </c>
      <c r="D469" s="2">
        <v>0</v>
      </c>
      <c r="E469" s="2">
        <v>0</v>
      </c>
      <c r="F469" s="2">
        <v>0</v>
      </c>
      <c r="G469" s="2">
        <v>0</v>
      </c>
      <c r="H469" s="2">
        <v>1.345248</v>
      </c>
      <c r="I469" s="2">
        <v>0.91283199999999998</v>
      </c>
      <c r="J469" s="5">
        <f t="shared" si="14"/>
        <v>2.2580800000000001</v>
      </c>
      <c r="K469" s="5">
        <f t="shared" si="15"/>
        <v>2.2580800000000001</v>
      </c>
      <c r="L469" s="6">
        <f>K469/'Quellen &amp; Annahmen'!$B$2</f>
        <v>2.0453458300924929E-5</v>
      </c>
      <c r="M469" s="7" t="s">
        <v>179</v>
      </c>
      <c r="N469" s="7" t="s">
        <v>180</v>
      </c>
    </row>
    <row r="470" spans="1:14" ht="18" customHeight="1">
      <c r="A470">
        <v>469</v>
      </c>
      <c r="B470" t="s">
        <v>555</v>
      </c>
      <c r="C470" t="s">
        <v>41</v>
      </c>
      <c r="D470" s="2">
        <v>0</v>
      </c>
      <c r="E470" s="2">
        <v>0</v>
      </c>
      <c r="F470" s="2">
        <v>0</v>
      </c>
      <c r="G470" s="2">
        <v>0</v>
      </c>
      <c r="H470" s="2">
        <v>0.672624</v>
      </c>
      <c r="I470" s="2">
        <v>1.4833519999999998</v>
      </c>
      <c r="J470" s="5">
        <f t="shared" si="14"/>
        <v>2.1559759999999999</v>
      </c>
      <c r="K470" s="5">
        <f t="shared" si="15"/>
        <v>2.1559759999999999</v>
      </c>
      <c r="L470" s="6">
        <f>K470/'Quellen &amp; Annahmen'!$B$2</f>
        <v>1.9528610684207345E-5</v>
      </c>
      <c r="M470" s="7" t="s">
        <v>179</v>
      </c>
      <c r="N470" s="7" t="s">
        <v>180</v>
      </c>
    </row>
    <row r="471" spans="1:14" ht="18" customHeight="1">
      <c r="A471">
        <v>470</v>
      </c>
      <c r="B471" t="s">
        <v>556</v>
      </c>
      <c r="C471" t="s">
        <v>41</v>
      </c>
      <c r="D471" s="2">
        <v>0</v>
      </c>
      <c r="E471" s="2">
        <v>0</v>
      </c>
      <c r="F471" s="2">
        <v>0</v>
      </c>
      <c r="G471" s="2">
        <v>0</v>
      </c>
      <c r="H471" s="2">
        <v>0.672624</v>
      </c>
      <c r="I471" s="2">
        <v>1.4833519999999998</v>
      </c>
      <c r="J471" s="5">
        <f t="shared" si="14"/>
        <v>2.1559759999999999</v>
      </c>
      <c r="K471" s="5">
        <f t="shared" si="15"/>
        <v>2.1559759999999999</v>
      </c>
      <c r="L471" s="6">
        <f>K471/'Quellen &amp; Annahmen'!$B$2</f>
        <v>1.9528610684207345E-5</v>
      </c>
      <c r="M471" s="7" t="s">
        <v>179</v>
      </c>
      <c r="N471" s="7" t="s">
        <v>180</v>
      </c>
    </row>
    <row r="472" spans="1:14" ht="18" customHeight="1">
      <c r="A472">
        <v>471</v>
      </c>
      <c r="B472" t="s">
        <v>557</v>
      </c>
      <c r="C472" t="s">
        <v>33</v>
      </c>
      <c r="D472" s="2">
        <v>0</v>
      </c>
      <c r="E472" s="2">
        <v>0</v>
      </c>
      <c r="F472" s="2">
        <v>0</v>
      </c>
      <c r="G472" s="2">
        <v>0</v>
      </c>
      <c r="H472" s="2">
        <v>0.672624</v>
      </c>
      <c r="I472" s="2">
        <v>1.4833519999999998</v>
      </c>
      <c r="J472" s="5">
        <f t="shared" si="14"/>
        <v>2.1559759999999999</v>
      </c>
      <c r="K472" s="5">
        <f t="shared" si="15"/>
        <v>2.1559759999999999</v>
      </c>
      <c r="L472" s="6">
        <f>K472/'Quellen &amp; Annahmen'!$B$2</f>
        <v>1.9528610684207345E-5</v>
      </c>
      <c r="M472" s="7" t="s">
        <v>179</v>
      </c>
      <c r="N472" s="7" t="s">
        <v>180</v>
      </c>
    </row>
    <row r="473" spans="1:14" ht="18" customHeight="1">
      <c r="A473">
        <v>472</v>
      </c>
      <c r="B473" t="s">
        <v>558</v>
      </c>
      <c r="C473" t="s">
        <v>108</v>
      </c>
      <c r="D473" s="2">
        <v>0</v>
      </c>
      <c r="E473" s="2">
        <v>0</v>
      </c>
      <c r="F473" s="2">
        <v>0</v>
      </c>
      <c r="G473" s="2">
        <v>0</v>
      </c>
      <c r="H473" s="2">
        <v>0.672624</v>
      </c>
      <c r="I473" s="2">
        <v>1.4833519999999998</v>
      </c>
      <c r="J473" s="5">
        <f t="shared" si="14"/>
        <v>2.1559759999999999</v>
      </c>
      <c r="K473" s="5">
        <f t="shared" si="15"/>
        <v>2.1559759999999999</v>
      </c>
      <c r="L473" s="6">
        <f>K473/'Quellen &amp; Annahmen'!$B$2</f>
        <v>1.9528610684207345E-5</v>
      </c>
      <c r="M473" s="7" t="s">
        <v>179</v>
      </c>
      <c r="N473" s="7" t="s">
        <v>180</v>
      </c>
    </row>
    <row r="474" spans="1:14" ht="18" customHeight="1">
      <c r="A474">
        <v>473</v>
      </c>
      <c r="B474" t="s">
        <v>559</v>
      </c>
      <c r="C474" t="s">
        <v>108</v>
      </c>
      <c r="D474" s="2">
        <v>0</v>
      </c>
      <c r="E474" s="2">
        <v>0</v>
      </c>
      <c r="F474" s="2">
        <v>0</v>
      </c>
      <c r="G474" s="2">
        <v>0</v>
      </c>
      <c r="H474" s="2">
        <v>0.672624</v>
      </c>
      <c r="I474" s="2">
        <v>1.4833519999999998</v>
      </c>
      <c r="J474" s="5">
        <f t="shared" si="14"/>
        <v>2.1559759999999999</v>
      </c>
      <c r="K474" s="5">
        <f t="shared" si="15"/>
        <v>2.1559759999999999</v>
      </c>
      <c r="L474" s="6">
        <f>K474/'Quellen &amp; Annahmen'!$B$2</f>
        <v>1.9528610684207345E-5</v>
      </c>
      <c r="M474" s="7" t="s">
        <v>179</v>
      </c>
      <c r="N474" s="7" t="s">
        <v>180</v>
      </c>
    </row>
    <row r="475" spans="1:14" ht="18" customHeight="1">
      <c r="A475">
        <v>474</v>
      </c>
      <c r="B475" t="s">
        <v>560</v>
      </c>
      <c r="C475" t="s">
        <v>23</v>
      </c>
      <c r="D475" s="2">
        <v>0</v>
      </c>
      <c r="E475" s="2">
        <v>0</v>
      </c>
      <c r="F475" s="2">
        <v>0</v>
      </c>
      <c r="G475" s="2">
        <v>0</v>
      </c>
      <c r="H475" s="2">
        <v>1.0089359999999998</v>
      </c>
      <c r="I475" s="2">
        <v>1.1410400000000001</v>
      </c>
      <c r="J475" s="5">
        <f t="shared" si="14"/>
        <v>2.1499759999999997</v>
      </c>
      <c r="K475" s="5">
        <f t="shared" si="15"/>
        <v>2.1499759999999997</v>
      </c>
      <c r="L475" s="6">
        <f>K475/'Quellen &amp; Annahmen'!$B$2</f>
        <v>1.9474263296246974E-5</v>
      </c>
      <c r="M475" s="7" t="s">
        <v>179</v>
      </c>
      <c r="N475" s="7" t="s">
        <v>180</v>
      </c>
    </row>
    <row r="476" spans="1:14" ht="18" customHeight="1">
      <c r="A476">
        <v>475</v>
      </c>
      <c r="B476" t="s">
        <v>561</v>
      </c>
      <c r="C476" t="s">
        <v>33</v>
      </c>
      <c r="D476" s="2">
        <v>0</v>
      </c>
      <c r="E476" s="2">
        <v>0</v>
      </c>
      <c r="F476" s="2">
        <v>0</v>
      </c>
      <c r="G476" s="2">
        <v>0</v>
      </c>
      <c r="H476" s="2">
        <v>1.0089359999999998</v>
      </c>
      <c r="I476" s="2">
        <v>1.1410400000000001</v>
      </c>
      <c r="J476" s="5">
        <f t="shared" si="14"/>
        <v>2.1499759999999997</v>
      </c>
      <c r="K476" s="5">
        <f t="shared" si="15"/>
        <v>2.1499759999999997</v>
      </c>
      <c r="L476" s="6">
        <f>K476/'Quellen &amp; Annahmen'!$B$2</f>
        <v>1.9474263296246974E-5</v>
      </c>
      <c r="M476" s="7" t="s">
        <v>179</v>
      </c>
      <c r="N476" s="7" t="s">
        <v>180</v>
      </c>
    </row>
    <row r="477" spans="1:14" ht="18" customHeight="1">
      <c r="A477">
        <v>476</v>
      </c>
      <c r="B477" t="s">
        <v>562</v>
      </c>
      <c r="C477" t="s">
        <v>23</v>
      </c>
      <c r="D477" s="2">
        <v>0</v>
      </c>
      <c r="E477" s="2">
        <v>0</v>
      </c>
      <c r="F477" s="2">
        <v>0</v>
      </c>
      <c r="G477" s="2">
        <v>0</v>
      </c>
      <c r="H477" s="2">
        <v>1.0089359999999998</v>
      </c>
      <c r="I477" s="2">
        <v>1.1410400000000001</v>
      </c>
      <c r="J477" s="5">
        <f t="shared" si="14"/>
        <v>2.1499759999999997</v>
      </c>
      <c r="K477" s="5">
        <f t="shared" si="15"/>
        <v>2.1499759999999997</v>
      </c>
      <c r="L477" s="6">
        <f>K477/'Quellen &amp; Annahmen'!$B$2</f>
        <v>1.9474263296246974E-5</v>
      </c>
      <c r="M477" s="7" t="s">
        <v>179</v>
      </c>
      <c r="N477" s="7" t="s">
        <v>180</v>
      </c>
    </row>
    <row r="478" spans="1:14" ht="18" customHeight="1">
      <c r="A478">
        <v>477</v>
      </c>
      <c r="B478" t="s">
        <v>563</v>
      </c>
      <c r="C478" t="s">
        <v>25</v>
      </c>
      <c r="D478" s="2">
        <v>0</v>
      </c>
      <c r="E478" s="2">
        <v>0</v>
      </c>
      <c r="F478" s="2">
        <v>0</v>
      </c>
      <c r="G478" s="2">
        <v>0</v>
      </c>
      <c r="H478" s="2">
        <v>0.336312</v>
      </c>
      <c r="I478" s="2">
        <v>1.7115599999999997</v>
      </c>
      <c r="J478" s="5">
        <f t="shared" si="14"/>
        <v>2.0478719999999999</v>
      </c>
      <c r="K478" s="5">
        <f t="shared" si="15"/>
        <v>2.0478719999999999</v>
      </c>
      <c r="L478" s="6">
        <f>K478/'Quellen &amp; Annahmen'!$B$2</f>
        <v>1.8549415679529394E-5</v>
      </c>
      <c r="M478" s="7" t="s">
        <v>179</v>
      </c>
      <c r="N478" s="7" t="s">
        <v>180</v>
      </c>
    </row>
    <row r="479" spans="1:14" ht="18" customHeight="1">
      <c r="A479">
        <v>478</v>
      </c>
      <c r="B479" t="s">
        <v>564</v>
      </c>
      <c r="C479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0.336312</v>
      </c>
      <c r="I479" s="2">
        <v>1.7115599999999997</v>
      </c>
      <c r="J479" s="5">
        <f t="shared" si="14"/>
        <v>2.0478719999999999</v>
      </c>
      <c r="K479" s="5">
        <f t="shared" si="15"/>
        <v>2.0478719999999999</v>
      </c>
      <c r="L479" s="6">
        <f>K479/'Quellen &amp; Annahmen'!$B$2</f>
        <v>1.8549415679529394E-5</v>
      </c>
      <c r="M479" s="7" t="s">
        <v>179</v>
      </c>
      <c r="N479" s="7" t="s">
        <v>180</v>
      </c>
    </row>
    <row r="480" spans="1:14" ht="18" customHeight="1">
      <c r="A480">
        <v>479</v>
      </c>
      <c r="B480" t="s">
        <v>565</v>
      </c>
      <c r="C480" t="s">
        <v>124</v>
      </c>
      <c r="D480" s="2">
        <v>0</v>
      </c>
      <c r="E480" s="2">
        <v>0</v>
      </c>
      <c r="F480" s="2">
        <v>0</v>
      </c>
      <c r="G480" s="2">
        <v>0</v>
      </c>
      <c r="H480" s="2">
        <v>0.672624</v>
      </c>
      <c r="I480" s="2">
        <v>1.369248</v>
      </c>
      <c r="J480" s="5">
        <f t="shared" si="14"/>
        <v>2.0418720000000001</v>
      </c>
      <c r="K480" s="5">
        <f t="shared" si="15"/>
        <v>2.0418720000000001</v>
      </c>
      <c r="L480" s="6">
        <f>K480/'Quellen &amp; Annahmen'!$B$2</f>
        <v>1.8495068291569026E-5</v>
      </c>
      <c r="M480" s="7" t="s">
        <v>179</v>
      </c>
      <c r="N480" s="7" t="s">
        <v>180</v>
      </c>
    </row>
    <row r="481" spans="1:14" ht="18" customHeight="1">
      <c r="A481">
        <v>480</v>
      </c>
      <c r="B481" t="s">
        <v>566</v>
      </c>
      <c r="C481" t="s">
        <v>27</v>
      </c>
      <c r="D481" s="2">
        <v>0</v>
      </c>
      <c r="E481" s="2">
        <v>0</v>
      </c>
      <c r="F481" s="2">
        <v>0</v>
      </c>
      <c r="G481" s="2">
        <v>0</v>
      </c>
      <c r="H481" s="2">
        <v>0.672624</v>
      </c>
      <c r="I481" s="2">
        <v>1.369248</v>
      </c>
      <c r="J481" s="5">
        <f t="shared" si="14"/>
        <v>2.0418720000000001</v>
      </c>
      <c r="K481" s="5">
        <f t="shared" si="15"/>
        <v>2.0418720000000001</v>
      </c>
      <c r="L481" s="6">
        <f>K481/'Quellen &amp; Annahmen'!$B$2</f>
        <v>1.8495068291569026E-5</v>
      </c>
      <c r="M481" s="7" t="s">
        <v>179</v>
      </c>
      <c r="N481" s="7" t="s">
        <v>180</v>
      </c>
    </row>
    <row r="482" spans="1:14" ht="18" customHeight="1">
      <c r="A482">
        <v>481</v>
      </c>
      <c r="B482" t="s">
        <v>567</v>
      </c>
      <c r="C482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0.672624</v>
      </c>
      <c r="I482" s="2">
        <v>1.369248</v>
      </c>
      <c r="J482" s="5">
        <f t="shared" si="14"/>
        <v>2.0418720000000001</v>
      </c>
      <c r="K482" s="5">
        <f t="shared" si="15"/>
        <v>2.0418720000000001</v>
      </c>
      <c r="L482" s="6">
        <f>K482/'Quellen &amp; Annahmen'!$B$2</f>
        <v>1.8495068291569026E-5</v>
      </c>
      <c r="M482" s="7" t="s">
        <v>179</v>
      </c>
      <c r="N482" s="7" t="s">
        <v>180</v>
      </c>
    </row>
    <row r="483" spans="1:14" ht="18" customHeight="1">
      <c r="A483">
        <v>482</v>
      </c>
      <c r="B483" t="s">
        <v>568</v>
      </c>
      <c r="C483" t="s">
        <v>263</v>
      </c>
      <c r="D483" s="2">
        <v>0</v>
      </c>
      <c r="E483" s="2">
        <v>0</v>
      </c>
      <c r="F483" s="2">
        <v>0</v>
      </c>
      <c r="G483" s="2">
        <v>0</v>
      </c>
      <c r="H483" s="2">
        <v>0.672624</v>
      </c>
      <c r="I483" s="2">
        <v>1.369248</v>
      </c>
      <c r="J483" s="5">
        <f t="shared" si="14"/>
        <v>2.0418720000000001</v>
      </c>
      <c r="K483" s="5">
        <f t="shared" si="15"/>
        <v>2.0418720000000001</v>
      </c>
      <c r="L483" s="6">
        <f>K483/'Quellen &amp; Annahmen'!$B$2</f>
        <v>1.8495068291569026E-5</v>
      </c>
      <c r="M483" s="7" t="s">
        <v>179</v>
      </c>
      <c r="N483" s="7" t="s">
        <v>180</v>
      </c>
    </row>
    <row r="484" spans="1:14" ht="18" customHeight="1">
      <c r="A484">
        <v>483</v>
      </c>
      <c r="B484" t="s">
        <v>569</v>
      </c>
      <c r="C484" t="s">
        <v>25</v>
      </c>
      <c r="D484" s="2">
        <v>0</v>
      </c>
      <c r="E484" s="2">
        <v>0</v>
      </c>
      <c r="F484" s="2">
        <v>0</v>
      </c>
      <c r="G484" s="2">
        <v>0</v>
      </c>
      <c r="H484" s="2">
        <v>0.672624</v>
      </c>
      <c r="I484" s="2">
        <v>1.369248</v>
      </c>
      <c r="J484" s="5">
        <f t="shared" si="14"/>
        <v>2.0418720000000001</v>
      </c>
      <c r="K484" s="5">
        <f t="shared" si="15"/>
        <v>2.0418720000000001</v>
      </c>
      <c r="L484" s="6">
        <f>K484/'Quellen &amp; Annahmen'!$B$2</f>
        <v>1.8495068291569026E-5</v>
      </c>
      <c r="M484" s="7" t="s">
        <v>179</v>
      </c>
      <c r="N484" s="7" t="s">
        <v>180</v>
      </c>
    </row>
    <row r="485" spans="1:14" ht="18" customHeight="1">
      <c r="A485">
        <v>484</v>
      </c>
      <c r="B485" t="s">
        <v>570</v>
      </c>
      <c r="C485" t="s">
        <v>23</v>
      </c>
      <c r="D485" s="2">
        <v>0</v>
      </c>
      <c r="E485" s="2">
        <v>0</v>
      </c>
      <c r="F485" s="2">
        <v>0</v>
      </c>
      <c r="G485" s="2">
        <v>0</v>
      </c>
      <c r="H485" s="2">
        <v>1.0089359999999998</v>
      </c>
      <c r="I485" s="2">
        <v>1.0269359999999998</v>
      </c>
      <c r="J485" s="5">
        <f t="shared" si="14"/>
        <v>2.0358719999999995</v>
      </c>
      <c r="K485" s="5">
        <f t="shared" si="15"/>
        <v>2.0358719999999995</v>
      </c>
      <c r="L485" s="6">
        <f>K485/'Quellen &amp; Annahmen'!$B$2</f>
        <v>1.8440720903608652E-5</v>
      </c>
      <c r="M485" s="7" t="s">
        <v>179</v>
      </c>
      <c r="N485" s="7" t="s">
        <v>180</v>
      </c>
    </row>
    <row r="486" spans="1:14" ht="18" customHeight="1">
      <c r="A486">
        <v>485</v>
      </c>
      <c r="B486" t="s">
        <v>571</v>
      </c>
      <c r="C486" t="s">
        <v>23</v>
      </c>
      <c r="D486" s="2">
        <v>0</v>
      </c>
      <c r="E486" s="2">
        <v>0</v>
      </c>
      <c r="F486" s="2">
        <v>0</v>
      </c>
      <c r="G486" s="2">
        <v>0</v>
      </c>
      <c r="H486" s="2">
        <v>1.0089359999999998</v>
      </c>
      <c r="I486" s="2">
        <v>1.0269359999999998</v>
      </c>
      <c r="J486" s="5">
        <f t="shared" si="14"/>
        <v>2.0358719999999995</v>
      </c>
      <c r="K486" s="5">
        <f t="shared" si="15"/>
        <v>2.0358719999999995</v>
      </c>
      <c r="L486" s="6">
        <f>K486/'Quellen &amp; Annahmen'!$B$2</f>
        <v>1.8440720903608652E-5</v>
      </c>
      <c r="M486" s="7" t="s">
        <v>179</v>
      </c>
      <c r="N486" s="7" t="s">
        <v>180</v>
      </c>
    </row>
    <row r="487" spans="1:14" ht="18" customHeight="1">
      <c r="A487">
        <v>486</v>
      </c>
      <c r="B487" t="s">
        <v>572</v>
      </c>
      <c r="C487" t="s">
        <v>33</v>
      </c>
      <c r="D487" s="2">
        <v>0</v>
      </c>
      <c r="E487" s="2">
        <v>0</v>
      </c>
      <c r="F487" s="2">
        <v>0</v>
      </c>
      <c r="G487" s="2">
        <v>0</v>
      </c>
      <c r="H487" s="2">
        <v>1.0089359999999998</v>
      </c>
      <c r="I487" s="2">
        <v>1.0269359999999998</v>
      </c>
      <c r="J487" s="5">
        <f t="shared" si="14"/>
        <v>2.0358719999999995</v>
      </c>
      <c r="K487" s="5">
        <f t="shared" si="15"/>
        <v>2.0358719999999995</v>
      </c>
      <c r="L487" s="6">
        <f>K487/'Quellen &amp; Annahmen'!$B$2</f>
        <v>1.8440720903608652E-5</v>
      </c>
      <c r="M487" s="7" t="s">
        <v>179</v>
      </c>
      <c r="N487" s="7" t="s">
        <v>180</v>
      </c>
    </row>
    <row r="488" spans="1:14" ht="18" customHeight="1">
      <c r="A488">
        <v>487</v>
      </c>
      <c r="B488" t="s">
        <v>573</v>
      </c>
      <c r="C488" t="s">
        <v>25</v>
      </c>
      <c r="D488" s="2">
        <v>0</v>
      </c>
      <c r="E488" s="2">
        <v>0</v>
      </c>
      <c r="F488" s="2">
        <v>0</v>
      </c>
      <c r="G488" s="2">
        <v>0</v>
      </c>
      <c r="H488" s="2">
        <v>1.0089359999999998</v>
      </c>
      <c r="I488" s="2">
        <v>1.0269359999999998</v>
      </c>
      <c r="J488" s="5">
        <f t="shared" si="14"/>
        <v>2.0358719999999995</v>
      </c>
      <c r="K488" s="5">
        <f t="shared" si="15"/>
        <v>2.0358719999999995</v>
      </c>
      <c r="L488" s="6">
        <f>K488/'Quellen &amp; Annahmen'!$B$2</f>
        <v>1.8440720903608652E-5</v>
      </c>
      <c r="M488" s="7" t="s">
        <v>179</v>
      </c>
      <c r="N488" s="7" t="s">
        <v>180</v>
      </c>
    </row>
    <row r="489" spans="1:14" ht="18" customHeight="1">
      <c r="A489">
        <v>488</v>
      </c>
      <c r="B489" t="s">
        <v>574</v>
      </c>
      <c r="C489" t="s">
        <v>33</v>
      </c>
      <c r="D489" s="2">
        <v>0</v>
      </c>
      <c r="E489" s="2">
        <v>0</v>
      </c>
      <c r="F489" s="2">
        <v>0</v>
      </c>
      <c r="G489" s="2">
        <v>0</v>
      </c>
      <c r="H489" s="2">
        <v>2.0178719999999997</v>
      </c>
      <c r="I489" s="2">
        <v>0</v>
      </c>
      <c r="J489" s="5">
        <f t="shared" si="14"/>
        <v>2.0178719999999997</v>
      </c>
      <c r="K489" s="5">
        <f t="shared" si="15"/>
        <v>2.0178719999999997</v>
      </c>
      <c r="L489" s="6">
        <f>K489/'Quellen &amp; Annahmen'!$B$2</f>
        <v>1.8277678739727547E-5</v>
      </c>
      <c r="M489" s="7" t="s">
        <v>187</v>
      </c>
      <c r="N489" s="7" t="s">
        <v>188</v>
      </c>
    </row>
    <row r="490" spans="1:14" ht="18" customHeight="1">
      <c r="A490">
        <v>489</v>
      </c>
      <c r="B490" t="s">
        <v>575</v>
      </c>
      <c r="C490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2.0178719999999997</v>
      </c>
      <c r="I490" s="2">
        <v>0</v>
      </c>
      <c r="J490" s="5">
        <f t="shared" si="14"/>
        <v>2.0178719999999997</v>
      </c>
      <c r="K490" s="5">
        <f t="shared" si="15"/>
        <v>2.0178719999999997</v>
      </c>
      <c r="L490" s="6">
        <f>K490/'Quellen &amp; Annahmen'!$B$2</f>
        <v>1.8277678739727547E-5</v>
      </c>
      <c r="M490" s="7" t="s">
        <v>187</v>
      </c>
      <c r="N490" s="7" t="s">
        <v>188</v>
      </c>
    </row>
    <row r="491" spans="1:14" ht="18" customHeight="1">
      <c r="A491">
        <v>490</v>
      </c>
      <c r="B491" t="s">
        <v>576</v>
      </c>
      <c r="C491" t="s">
        <v>263</v>
      </c>
      <c r="D491" s="2">
        <v>0</v>
      </c>
      <c r="E491" s="2">
        <v>0</v>
      </c>
      <c r="F491" s="2">
        <v>0</v>
      </c>
      <c r="G491" s="2">
        <v>0</v>
      </c>
      <c r="H491" s="2">
        <v>2.0178719999999997</v>
      </c>
      <c r="I491" s="2">
        <v>0</v>
      </c>
      <c r="J491" s="5">
        <f t="shared" si="14"/>
        <v>2.0178719999999997</v>
      </c>
      <c r="K491" s="5">
        <f t="shared" si="15"/>
        <v>2.0178719999999997</v>
      </c>
      <c r="L491" s="6">
        <f>K491/'Quellen &amp; Annahmen'!$B$2</f>
        <v>1.8277678739727547E-5</v>
      </c>
      <c r="M491" s="7" t="s">
        <v>187</v>
      </c>
      <c r="N491" s="7" t="s">
        <v>188</v>
      </c>
    </row>
    <row r="492" spans="1:14" ht="18" customHeight="1">
      <c r="A492">
        <v>491</v>
      </c>
      <c r="B492" t="s">
        <v>577</v>
      </c>
      <c r="C492" t="s">
        <v>253</v>
      </c>
      <c r="D492" s="2">
        <v>0</v>
      </c>
      <c r="E492" s="2">
        <v>0</v>
      </c>
      <c r="F492" s="2">
        <v>0</v>
      </c>
      <c r="G492" s="2">
        <v>0</v>
      </c>
      <c r="H492" s="2">
        <v>2.0178719999999997</v>
      </c>
      <c r="I492" s="2">
        <v>0</v>
      </c>
      <c r="J492" s="5">
        <f t="shared" si="14"/>
        <v>2.0178719999999997</v>
      </c>
      <c r="K492" s="5">
        <f t="shared" si="15"/>
        <v>2.0178719999999997</v>
      </c>
      <c r="L492" s="6">
        <f>K492/'Quellen &amp; Annahmen'!$B$2</f>
        <v>1.8277678739727547E-5</v>
      </c>
      <c r="M492" s="7" t="s">
        <v>187</v>
      </c>
      <c r="N492" s="7" t="s">
        <v>188</v>
      </c>
    </row>
    <row r="493" spans="1:14" ht="18" customHeight="1">
      <c r="A493">
        <v>492</v>
      </c>
      <c r="B493" t="s">
        <v>578</v>
      </c>
      <c r="C493" t="s">
        <v>23</v>
      </c>
      <c r="D493" s="2">
        <v>0</v>
      </c>
      <c r="E493" s="2">
        <v>0</v>
      </c>
      <c r="F493" s="2">
        <v>0</v>
      </c>
      <c r="G493" s="2">
        <v>0</v>
      </c>
      <c r="H493" s="2">
        <v>2.0178719999999997</v>
      </c>
      <c r="I493" s="2">
        <v>0</v>
      </c>
      <c r="J493" s="5">
        <f t="shared" si="14"/>
        <v>2.0178719999999997</v>
      </c>
      <c r="K493" s="5">
        <f t="shared" si="15"/>
        <v>2.0178719999999997</v>
      </c>
      <c r="L493" s="6">
        <f>K493/'Quellen &amp; Annahmen'!$B$2</f>
        <v>1.8277678739727547E-5</v>
      </c>
      <c r="M493" s="7" t="s">
        <v>187</v>
      </c>
      <c r="N493" s="7" t="s">
        <v>188</v>
      </c>
    </row>
    <row r="494" spans="1:14" ht="18" customHeight="1">
      <c r="A494">
        <v>493</v>
      </c>
      <c r="B494" t="s">
        <v>579</v>
      </c>
      <c r="C494" t="s">
        <v>41</v>
      </c>
      <c r="D494" s="2">
        <v>0</v>
      </c>
      <c r="E494" s="2">
        <v>0</v>
      </c>
      <c r="F494" s="2">
        <v>0</v>
      </c>
      <c r="G494" s="2">
        <v>0</v>
      </c>
      <c r="H494" s="2">
        <v>2.0178719999999997</v>
      </c>
      <c r="I494" s="2">
        <v>0</v>
      </c>
      <c r="J494" s="5">
        <f t="shared" si="14"/>
        <v>2.0178719999999997</v>
      </c>
      <c r="K494" s="5">
        <f t="shared" si="15"/>
        <v>2.0178719999999997</v>
      </c>
      <c r="L494" s="6">
        <f>K494/'Quellen &amp; Annahmen'!$B$2</f>
        <v>1.8277678739727547E-5</v>
      </c>
      <c r="M494" s="7" t="s">
        <v>187</v>
      </c>
      <c r="N494" s="7" t="s">
        <v>188</v>
      </c>
    </row>
    <row r="495" spans="1:14" ht="18" customHeight="1">
      <c r="A495">
        <v>494</v>
      </c>
      <c r="B495" t="s">
        <v>580</v>
      </c>
      <c r="C495" t="s">
        <v>23</v>
      </c>
      <c r="D495" s="2">
        <v>0</v>
      </c>
      <c r="E495" s="2">
        <v>0</v>
      </c>
      <c r="F495" s="2">
        <v>0</v>
      </c>
      <c r="G495" s="2">
        <v>0</v>
      </c>
      <c r="H495" s="2">
        <v>2.0178719999999997</v>
      </c>
      <c r="I495" s="2">
        <v>0</v>
      </c>
      <c r="J495" s="5">
        <f t="shared" si="14"/>
        <v>2.0178719999999997</v>
      </c>
      <c r="K495" s="5">
        <f t="shared" si="15"/>
        <v>2.0178719999999997</v>
      </c>
      <c r="L495" s="6">
        <f>K495/'Quellen &amp; Annahmen'!$B$2</f>
        <v>1.8277678739727547E-5</v>
      </c>
      <c r="M495" s="7" t="s">
        <v>187</v>
      </c>
      <c r="N495" s="7" t="s">
        <v>188</v>
      </c>
    </row>
    <row r="496" spans="1:14" ht="18" customHeight="1">
      <c r="A496">
        <v>495</v>
      </c>
      <c r="B496" t="s">
        <v>581</v>
      </c>
      <c r="C496" t="s">
        <v>124</v>
      </c>
      <c r="D496" s="2">
        <v>0</v>
      </c>
      <c r="E496" s="2">
        <v>0</v>
      </c>
      <c r="F496" s="2">
        <v>0</v>
      </c>
      <c r="G496" s="2">
        <v>0</v>
      </c>
      <c r="H496" s="2">
        <v>2.0178719999999997</v>
      </c>
      <c r="I496" s="2">
        <v>0</v>
      </c>
      <c r="J496" s="5">
        <f t="shared" si="14"/>
        <v>2.0178719999999997</v>
      </c>
      <c r="K496" s="5">
        <f t="shared" si="15"/>
        <v>2.0178719999999997</v>
      </c>
      <c r="L496" s="6">
        <f>K496/'Quellen &amp; Annahmen'!$B$2</f>
        <v>1.8277678739727547E-5</v>
      </c>
      <c r="M496" s="7" t="s">
        <v>187</v>
      </c>
      <c r="N496" s="7" t="s">
        <v>188</v>
      </c>
    </row>
    <row r="497" spans="1:14" ht="18" customHeight="1">
      <c r="A497">
        <v>496</v>
      </c>
      <c r="B497" t="s">
        <v>582</v>
      </c>
      <c r="C497" t="s">
        <v>124</v>
      </c>
      <c r="D497" s="2">
        <v>0</v>
      </c>
      <c r="E497" s="2">
        <v>0</v>
      </c>
      <c r="F497" s="2">
        <v>0</v>
      </c>
      <c r="G497" s="2">
        <v>0</v>
      </c>
      <c r="H497" s="2">
        <v>2.0178719999999997</v>
      </c>
      <c r="I497" s="2">
        <v>0</v>
      </c>
      <c r="J497" s="5">
        <f t="shared" si="14"/>
        <v>2.0178719999999997</v>
      </c>
      <c r="K497" s="5">
        <f t="shared" si="15"/>
        <v>2.0178719999999997</v>
      </c>
      <c r="L497" s="6">
        <f>K497/'Quellen &amp; Annahmen'!$B$2</f>
        <v>1.8277678739727547E-5</v>
      </c>
      <c r="M497" s="7" t="s">
        <v>187</v>
      </c>
      <c r="N497" s="7" t="s">
        <v>188</v>
      </c>
    </row>
    <row r="498" spans="1:14" ht="18" customHeight="1">
      <c r="A498">
        <v>497</v>
      </c>
      <c r="B498" t="s">
        <v>583</v>
      </c>
      <c r="C498" t="s">
        <v>124</v>
      </c>
      <c r="D498" s="2">
        <v>0</v>
      </c>
      <c r="E498" s="2">
        <v>0</v>
      </c>
      <c r="F498" s="2">
        <v>0</v>
      </c>
      <c r="G498" s="2">
        <v>0</v>
      </c>
      <c r="H498" s="2">
        <v>2.0178719999999997</v>
      </c>
      <c r="I498" s="2">
        <v>0</v>
      </c>
      <c r="J498" s="5">
        <f t="shared" si="14"/>
        <v>2.0178719999999997</v>
      </c>
      <c r="K498" s="5">
        <f t="shared" si="15"/>
        <v>2.0178719999999997</v>
      </c>
      <c r="L498" s="6">
        <f>K498/'Quellen &amp; Annahmen'!$B$2</f>
        <v>1.8277678739727547E-5</v>
      </c>
      <c r="M498" s="7" t="s">
        <v>187</v>
      </c>
      <c r="N498" s="7" t="s">
        <v>188</v>
      </c>
    </row>
    <row r="499" spans="1:14" ht="18" customHeight="1">
      <c r="A499">
        <v>498</v>
      </c>
      <c r="B499" t="s">
        <v>584</v>
      </c>
      <c r="C499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2.0178719999999997</v>
      </c>
      <c r="I499" s="2">
        <v>0</v>
      </c>
      <c r="J499" s="5">
        <f t="shared" si="14"/>
        <v>2.0178719999999997</v>
      </c>
      <c r="K499" s="5">
        <f t="shared" si="15"/>
        <v>2.0178719999999997</v>
      </c>
      <c r="L499" s="6">
        <f>K499/'Quellen &amp; Annahmen'!$B$2</f>
        <v>1.8277678739727547E-5</v>
      </c>
      <c r="M499" s="7" t="s">
        <v>187</v>
      </c>
      <c r="N499" s="7" t="s">
        <v>188</v>
      </c>
    </row>
    <row r="500" spans="1:14" ht="18" customHeight="1">
      <c r="A500">
        <v>499</v>
      </c>
      <c r="B500" t="s">
        <v>585</v>
      </c>
      <c r="C500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2.0178719999999997</v>
      </c>
      <c r="I500" s="2">
        <v>0</v>
      </c>
      <c r="J500" s="5">
        <f t="shared" si="14"/>
        <v>2.0178719999999997</v>
      </c>
      <c r="K500" s="5">
        <f t="shared" si="15"/>
        <v>2.0178719999999997</v>
      </c>
      <c r="L500" s="6">
        <f>K500/'Quellen &amp; Annahmen'!$B$2</f>
        <v>1.8277678739727547E-5</v>
      </c>
      <c r="M500" s="7" t="s">
        <v>187</v>
      </c>
      <c r="N500" s="7" t="s">
        <v>188</v>
      </c>
    </row>
    <row r="501" spans="1:14" ht="18" customHeight="1">
      <c r="A501">
        <v>500</v>
      </c>
      <c r="B501" t="s">
        <v>586</v>
      </c>
      <c r="C501" t="s">
        <v>33</v>
      </c>
      <c r="D501" s="2">
        <v>0</v>
      </c>
      <c r="E501" s="2">
        <v>0</v>
      </c>
      <c r="F501" s="2">
        <v>0</v>
      </c>
      <c r="G501" s="2">
        <v>0</v>
      </c>
      <c r="H501" s="2">
        <v>2.0178719999999997</v>
      </c>
      <c r="I501" s="2">
        <v>0</v>
      </c>
      <c r="J501" s="5">
        <f t="shared" si="14"/>
        <v>2.0178719999999997</v>
      </c>
      <c r="K501" s="5">
        <f t="shared" si="15"/>
        <v>2.0178719999999997</v>
      </c>
      <c r="L501" s="6">
        <f>K501/'Quellen &amp; Annahmen'!$B$2</f>
        <v>1.8277678739727547E-5</v>
      </c>
      <c r="M501" s="7" t="s">
        <v>187</v>
      </c>
      <c r="N501" s="7" t="s">
        <v>188</v>
      </c>
    </row>
    <row r="502" spans="1:14" ht="18" customHeight="1">
      <c r="A502">
        <v>501</v>
      </c>
      <c r="B502" t="s">
        <v>587</v>
      </c>
      <c r="C502" t="s">
        <v>124</v>
      </c>
      <c r="D502" s="2">
        <v>0</v>
      </c>
      <c r="E502" s="2">
        <v>0</v>
      </c>
      <c r="F502" s="2">
        <v>0</v>
      </c>
      <c r="G502" s="2">
        <v>0</v>
      </c>
      <c r="H502" s="2">
        <v>2.0178719999999997</v>
      </c>
      <c r="I502" s="2">
        <v>0</v>
      </c>
      <c r="J502" s="5">
        <f t="shared" si="14"/>
        <v>2.0178719999999997</v>
      </c>
      <c r="K502" s="5">
        <f t="shared" si="15"/>
        <v>2.0178719999999997</v>
      </c>
      <c r="L502" s="6">
        <f>K502/'Quellen &amp; Annahmen'!$B$2</f>
        <v>1.8277678739727547E-5</v>
      </c>
      <c r="M502" s="7" t="s">
        <v>187</v>
      </c>
      <c r="N502" s="7" t="s">
        <v>188</v>
      </c>
    </row>
    <row r="503" spans="1:14" ht="18" customHeight="1">
      <c r="A503">
        <v>502</v>
      </c>
      <c r="B503" t="s">
        <v>588</v>
      </c>
      <c r="C503" t="s">
        <v>50</v>
      </c>
      <c r="D503" s="2">
        <v>0</v>
      </c>
      <c r="E503" s="2">
        <v>0</v>
      </c>
      <c r="F503" s="2">
        <v>0</v>
      </c>
      <c r="G503" s="2">
        <v>0</v>
      </c>
      <c r="H503" s="2">
        <v>2.0178719999999997</v>
      </c>
      <c r="I503" s="2">
        <v>0</v>
      </c>
      <c r="J503" s="5">
        <f t="shared" si="14"/>
        <v>2.0178719999999997</v>
      </c>
      <c r="K503" s="5">
        <f t="shared" si="15"/>
        <v>2.0178719999999997</v>
      </c>
      <c r="L503" s="6">
        <f>K503/'Quellen &amp; Annahmen'!$B$2</f>
        <v>1.8277678739727547E-5</v>
      </c>
      <c r="M503" s="7" t="s">
        <v>187</v>
      </c>
      <c r="N503" s="7" t="s">
        <v>188</v>
      </c>
    </row>
    <row r="504" spans="1:14" ht="18" customHeight="1">
      <c r="A504">
        <v>503</v>
      </c>
      <c r="B504" t="s">
        <v>589</v>
      </c>
      <c r="C504" t="s">
        <v>25</v>
      </c>
      <c r="D504" s="2">
        <v>0</v>
      </c>
      <c r="E504" s="2">
        <v>0</v>
      </c>
      <c r="F504" s="2">
        <v>0</v>
      </c>
      <c r="G504" s="2">
        <v>0</v>
      </c>
      <c r="H504" s="2">
        <v>2.0178719999999997</v>
      </c>
      <c r="I504" s="2">
        <v>0</v>
      </c>
      <c r="J504" s="5">
        <f t="shared" si="14"/>
        <v>2.0178719999999997</v>
      </c>
      <c r="K504" s="5">
        <f t="shared" si="15"/>
        <v>2.0178719999999997</v>
      </c>
      <c r="L504" s="6">
        <f>K504/'Quellen &amp; Annahmen'!$B$2</f>
        <v>1.8277678739727547E-5</v>
      </c>
      <c r="M504" s="7" t="s">
        <v>187</v>
      </c>
      <c r="N504" s="7" t="s">
        <v>188</v>
      </c>
    </row>
    <row r="505" spans="1:14" ht="18" customHeight="1">
      <c r="A505">
        <v>504</v>
      </c>
      <c r="B505" t="s">
        <v>590</v>
      </c>
      <c r="C505" t="s">
        <v>25</v>
      </c>
      <c r="D505" s="2">
        <v>0</v>
      </c>
      <c r="E505" s="2">
        <v>0</v>
      </c>
      <c r="F505" s="2">
        <v>0</v>
      </c>
      <c r="G505" s="2">
        <v>0</v>
      </c>
      <c r="H505" s="2">
        <v>2.0178719999999997</v>
      </c>
      <c r="I505" s="2">
        <v>0</v>
      </c>
      <c r="J505" s="5">
        <f t="shared" si="14"/>
        <v>2.0178719999999997</v>
      </c>
      <c r="K505" s="5">
        <f t="shared" si="15"/>
        <v>2.0178719999999997</v>
      </c>
      <c r="L505" s="6">
        <f>K505/'Quellen &amp; Annahmen'!$B$2</f>
        <v>1.8277678739727547E-5</v>
      </c>
      <c r="M505" s="7" t="s">
        <v>187</v>
      </c>
      <c r="N505" s="7" t="s">
        <v>188</v>
      </c>
    </row>
    <row r="506" spans="1:14" ht="18" customHeight="1">
      <c r="A506">
        <v>505</v>
      </c>
      <c r="B506" t="s">
        <v>591</v>
      </c>
      <c r="C506" t="s">
        <v>33</v>
      </c>
      <c r="D506" s="2">
        <v>0</v>
      </c>
      <c r="E506" s="2">
        <v>0</v>
      </c>
      <c r="F506" s="2">
        <v>0</v>
      </c>
      <c r="G506" s="2">
        <v>0</v>
      </c>
      <c r="H506" s="2">
        <v>2.0178719999999997</v>
      </c>
      <c r="I506" s="2">
        <v>0</v>
      </c>
      <c r="J506" s="5">
        <f t="shared" si="14"/>
        <v>2.0178719999999997</v>
      </c>
      <c r="K506" s="5">
        <f t="shared" si="15"/>
        <v>2.0178719999999997</v>
      </c>
      <c r="L506" s="6">
        <f>K506/'Quellen &amp; Annahmen'!$B$2</f>
        <v>1.8277678739727547E-5</v>
      </c>
      <c r="M506" s="7" t="s">
        <v>187</v>
      </c>
      <c r="N506" s="7" t="s">
        <v>188</v>
      </c>
    </row>
    <row r="507" spans="1:14" ht="18" customHeight="1">
      <c r="A507">
        <v>506</v>
      </c>
      <c r="B507" t="s">
        <v>592</v>
      </c>
      <c r="C507" t="s">
        <v>50</v>
      </c>
      <c r="D507" s="2">
        <v>0</v>
      </c>
      <c r="E507" s="2">
        <v>0</v>
      </c>
      <c r="F507" s="2">
        <v>0</v>
      </c>
      <c r="G507" s="2">
        <v>0</v>
      </c>
      <c r="H507" s="2">
        <v>2.0178719999999997</v>
      </c>
      <c r="I507" s="2">
        <v>0</v>
      </c>
      <c r="J507" s="5">
        <f t="shared" si="14"/>
        <v>2.0178719999999997</v>
      </c>
      <c r="K507" s="5">
        <f t="shared" si="15"/>
        <v>2.0178719999999997</v>
      </c>
      <c r="L507" s="6">
        <f>K507/'Quellen &amp; Annahmen'!$B$2</f>
        <v>1.8277678739727547E-5</v>
      </c>
      <c r="M507" s="7" t="s">
        <v>187</v>
      </c>
      <c r="N507" s="7" t="s">
        <v>188</v>
      </c>
    </row>
    <row r="508" spans="1:14" ht="18" customHeight="1">
      <c r="A508">
        <v>507</v>
      </c>
      <c r="B508" t="s">
        <v>593</v>
      </c>
      <c r="C508" t="s">
        <v>23</v>
      </c>
      <c r="D508" s="2">
        <v>0</v>
      </c>
      <c r="E508" s="2">
        <v>0</v>
      </c>
      <c r="F508" s="2">
        <v>0</v>
      </c>
      <c r="G508" s="2">
        <v>0</v>
      </c>
      <c r="H508" s="2">
        <v>2.0178719999999997</v>
      </c>
      <c r="I508" s="2">
        <v>0</v>
      </c>
      <c r="J508" s="5">
        <f t="shared" si="14"/>
        <v>2.0178719999999997</v>
      </c>
      <c r="K508" s="5">
        <f t="shared" si="15"/>
        <v>2.0178719999999997</v>
      </c>
      <c r="L508" s="6">
        <f>K508/'Quellen &amp; Annahmen'!$B$2</f>
        <v>1.8277678739727547E-5</v>
      </c>
      <c r="M508" s="7" t="s">
        <v>187</v>
      </c>
      <c r="N508" s="7" t="s">
        <v>188</v>
      </c>
    </row>
    <row r="509" spans="1:14" ht="18" customHeight="1">
      <c r="A509">
        <v>508</v>
      </c>
      <c r="B509" t="s">
        <v>594</v>
      </c>
      <c r="C509" t="s">
        <v>33</v>
      </c>
      <c r="D509" s="2">
        <v>0</v>
      </c>
      <c r="E509" s="2">
        <v>0</v>
      </c>
      <c r="F509" s="2">
        <v>0</v>
      </c>
      <c r="G509" s="2">
        <v>0</v>
      </c>
      <c r="H509" s="2">
        <v>2.0178719999999997</v>
      </c>
      <c r="I509" s="2">
        <v>0</v>
      </c>
      <c r="J509" s="5">
        <f t="shared" si="14"/>
        <v>2.0178719999999997</v>
      </c>
      <c r="K509" s="5">
        <f t="shared" si="15"/>
        <v>2.0178719999999997</v>
      </c>
      <c r="L509" s="6">
        <f>K509/'Quellen &amp; Annahmen'!$B$2</f>
        <v>1.8277678739727547E-5</v>
      </c>
      <c r="M509" s="7" t="s">
        <v>187</v>
      </c>
      <c r="N509" s="7" t="s">
        <v>188</v>
      </c>
    </row>
    <row r="510" spans="1:14" ht="18" customHeight="1">
      <c r="A510">
        <v>509</v>
      </c>
      <c r="B510" t="s">
        <v>595</v>
      </c>
      <c r="C510" t="s">
        <v>108</v>
      </c>
      <c r="D510" s="2">
        <v>0</v>
      </c>
      <c r="E510" s="2">
        <v>0</v>
      </c>
      <c r="F510" s="2">
        <v>0</v>
      </c>
      <c r="G510" s="2">
        <v>0</v>
      </c>
      <c r="H510" s="2">
        <v>2.0178719999999997</v>
      </c>
      <c r="I510" s="2">
        <v>0</v>
      </c>
      <c r="J510" s="5">
        <f t="shared" si="14"/>
        <v>2.0178719999999997</v>
      </c>
      <c r="K510" s="5">
        <f t="shared" si="15"/>
        <v>2.0178719999999997</v>
      </c>
      <c r="L510" s="6">
        <f>K510/'Quellen &amp; Annahmen'!$B$2</f>
        <v>1.8277678739727547E-5</v>
      </c>
      <c r="M510" s="7" t="s">
        <v>187</v>
      </c>
      <c r="N510" s="7" t="s">
        <v>188</v>
      </c>
    </row>
    <row r="511" spans="1:14" ht="18" customHeight="1">
      <c r="A511">
        <v>510</v>
      </c>
      <c r="B511" t="s">
        <v>596</v>
      </c>
      <c r="C511" t="s">
        <v>253</v>
      </c>
      <c r="D511" s="2">
        <v>0</v>
      </c>
      <c r="E511" s="2">
        <v>0</v>
      </c>
      <c r="F511" s="2">
        <v>0</v>
      </c>
      <c r="G511" s="2">
        <v>0</v>
      </c>
      <c r="H511" s="2">
        <v>2.0178719999999997</v>
      </c>
      <c r="I511" s="2">
        <v>0</v>
      </c>
      <c r="J511" s="5">
        <f t="shared" si="14"/>
        <v>2.0178719999999997</v>
      </c>
      <c r="K511" s="5">
        <f t="shared" si="15"/>
        <v>2.0178719999999997</v>
      </c>
      <c r="L511" s="6">
        <f>K511/'Quellen &amp; Annahmen'!$B$2</f>
        <v>1.8277678739727547E-5</v>
      </c>
      <c r="M511" s="7" t="s">
        <v>187</v>
      </c>
      <c r="N511" s="7" t="s">
        <v>188</v>
      </c>
    </row>
    <row r="512" spans="1:14" ht="18" customHeight="1">
      <c r="A512">
        <v>511</v>
      </c>
      <c r="B512" t="s">
        <v>597</v>
      </c>
      <c r="C512" t="s">
        <v>33</v>
      </c>
      <c r="D512" s="2">
        <v>0</v>
      </c>
      <c r="E512" s="2">
        <v>0</v>
      </c>
      <c r="F512" s="2">
        <v>0</v>
      </c>
      <c r="G512" s="2">
        <v>0</v>
      </c>
      <c r="H512" s="2">
        <v>2.0178719999999997</v>
      </c>
      <c r="I512" s="2">
        <v>0</v>
      </c>
      <c r="J512" s="5">
        <f t="shared" si="14"/>
        <v>2.0178719999999997</v>
      </c>
      <c r="K512" s="5">
        <f t="shared" si="15"/>
        <v>2.0178719999999997</v>
      </c>
      <c r="L512" s="6">
        <f>K512/'Quellen &amp; Annahmen'!$B$2</f>
        <v>1.8277678739727547E-5</v>
      </c>
      <c r="M512" s="7" t="s">
        <v>187</v>
      </c>
      <c r="N512" s="7" t="s">
        <v>188</v>
      </c>
    </row>
    <row r="513" spans="1:14" ht="18" customHeight="1">
      <c r="A513">
        <v>512</v>
      </c>
      <c r="B513" t="s">
        <v>598</v>
      </c>
      <c r="C513" t="s">
        <v>23</v>
      </c>
      <c r="D513" s="2">
        <v>0</v>
      </c>
      <c r="E513" s="2">
        <v>0</v>
      </c>
      <c r="F513" s="2">
        <v>0</v>
      </c>
      <c r="G513" s="2">
        <v>0</v>
      </c>
      <c r="H513" s="2">
        <v>2.0178719999999997</v>
      </c>
      <c r="I513" s="2">
        <v>0</v>
      </c>
      <c r="J513" s="5">
        <f t="shared" si="14"/>
        <v>2.0178719999999997</v>
      </c>
      <c r="K513" s="5">
        <f t="shared" si="15"/>
        <v>2.0178719999999997</v>
      </c>
      <c r="L513" s="6">
        <f>K513/'Quellen &amp; Annahmen'!$B$2</f>
        <v>1.8277678739727547E-5</v>
      </c>
      <c r="M513" s="7" t="s">
        <v>187</v>
      </c>
      <c r="N513" s="7" t="s">
        <v>188</v>
      </c>
    </row>
    <row r="514" spans="1:14" ht="18" customHeight="1">
      <c r="A514">
        <v>513</v>
      </c>
      <c r="B514" t="s">
        <v>599</v>
      </c>
      <c r="C514" t="s">
        <v>23</v>
      </c>
      <c r="D514" s="2">
        <v>0</v>
      </c>
      <c r="E514" s="2">
        <v>0</v>
      </c>
      <c r="F514" s="2">
        <v>0</v>
      </c>
      <c r="G514" s="2">
        <v>0</v>
      </c>
      <c r="H514" s="2">
        <v>2.0178719999999997</v>
      </c>
      <c r="I514" s="2">
        <v>0</v>
      </c>
      <c r="J514" s="5">
        <f t="shared" ref="J514:J577" si="16">SUM(E514:I514)</f>
        <v>2.0178719999999997</v>
      </c>
      <c r="K514" s="5">
        <f t="shared" ref="K514:K577" si="17">D514+J514</f>
        <v>2.0178719999999997</v>
      </c>
      <c r="L514" s="6">
        <f>K514/'Quellen &amp; Annahmen'!$B$2</f>
        <v>1.8277678739727547E-5</v>
      </c>
      <c r="M514" s="7" t="s">
        <v>187</v>
      </c>
      <c r="N514" s="7" t="s">
        <v>188</v>
      </c>
    </row>
    <row r="515" spans="1:14" ht="18" customHeight="1">
      <c r="A515">
        <v>514</v>
      </c>
      <c r="B515" t="s">
        <v>600</v>
      </c>
      <c r="C515" t="s">
        <v>41</v>
      </c>
      <c r="D515" s="2">
        <v>0</v>
      </c>
      <c r="E515" s="2">
        <v>0</v>
      </c>
      <c r="F515" s="2">
        <v>0</v>
      </c>
      <c r="G515" s="2">
        <v>0</v>
      </c>
      <c r="H515" s="2">
        <v>2.0178719999999997</v>
      </c>
      <c r="I515" s="2">
        <v>0</v>
      </c>
      <c r="J515" s="5">
        <f t="shared" si="16"/>
        <v>2.0178719999999997</v>
      </c>
      <c r="K515" s="5">
        <f t="shared" si="17"/>
        <v>2.0178719999999997</v>
      </c>
      <c r="L515" s="6">
        <f>K515/'Quellen &amp; Annahmen'!$B$2</f>
        <v>1.8277678739727547E-5</v>
      </c>
      <c r="M515" s="7" t="s">
        <v>187</v>
      </c>
      <c r="N515" s="7" t="s">
        <v>188</v>
      </c>
    </row>
    <row r="516" spans="1:14" ht="18" customHeight="1">
      <c r="A516">
        <v>515</v>
      </c>
      <c r="B516" t="s">
        <v>601</v>
      </c>
      <c r="C516" t="s">
        <v>33</v>
      </c>
      <c r="D516" s="2">
        <v>0</v>
      </c>
      <c r="E516" s="2">
        <v>0</v>
      </c>
      <c r="F516" s="2">
        <v>0</v>
      </c>
      <c r="G516" s="2">
        <v>0</v>
      </c>
      <c r="H516" s="2">
        <v>2.0178719999999997</v>
      </c>
      <c r="I516" s="2">
        <v>0</v>
      </c>
      <c r="J516" s="5">
        <f t="shared" si="16"/>
        <v>2.0178719999999997</v>
      </c>
      <c r="K516" s="5">
        <f t="shared" si="17"/>
        <v>2.0178719999999997</v>
      </c>
      <c r="L516" s="6">
        <f>K516/'Quellen &amp; Annahmen'!$B$2</f>
        <v>1.8277678739727547E-5</v>
      </c>
      <c r="M516" s="7" t="s">
        <v>187</v>
      </c>
      <c r="N516" s="7" t="s">
        <v>188</v>
      </c>
    </row>
    <row r="517" spans="1:14" ht="18" customHeight="1">
      <c r="A517">
        <v>516</v>
      </c>
      <c r="B517" t="s">
        <v>602</v>
      </c>
      <c r="C517" t="s">
        <v>38</v>
      </c>
      <c r="D517" s="2">
        <v>0</v>
      </c>
      <c r="E517" s="2">
        <v>0</v>
      </c>
      <c r="F517" s="2">
        <v>0</v>
      </c>
      <c r="G517" s="2">
        <v>0</v>
      </c>
      <c r="H517" s="2">
        <v>2.0178719999999997</v>
      </c>
      <c r="I517" s="2">
        <v>0</v>
      </c>
      <c r="J517" s="5">
        <f t="shared" si="16"/>
        <v>2.0178719999999997</v>
      </c>
      <c r="K517" s="5">
        <f t="shared" si="17"/>
        <v>2.0178719999999997</v>
      </c>
      <c r="L517" s="6">
        <f>K517/'Quellen &amp; Annahmen'!$B$2</f>
        <v>1.8277678739727547E-5</v>
      </c>
      <c r="M517" s="7" t="s">
        <v>187</v>
      </c>
      <c r="N517" s="7" t="s">
        <v>188</v>
      </c>
    </row>
    <row r="518" spans="1:14" ht="18" customHeight="1">
      <c r="A518">
        <v>517</v>
      </c>
      <c r="B518" t="s">
        <v>603</v>
      </c>
      <c r="C518" t="s">
        <v>38</v>
      </c>
      <c r="D518" s="2">
        <v>0</v>
      </c>
      <c r="E518" s="2">
        <v>0</v>
      </c>
      <c r="F518" s="2">
        <v>0</v>
      </c>
      <c r="G518" s="2">
        <v>0</v>
      </c>
      <c r="H518" s="2">
        <v>2.0178719999999997</v>
      </c>
      <c r="I518" s="2">
        <v>0</v>
      </c>
      <c r="J518" s="5">
        <f t="shared" si="16"/>
        <v>2.0178719999999997</v>
      </c>
      <c r="K518" s="5">
        <f t="shared" si="17"/>
        <v>2.0178719999999997</v>
      </c>
      <c r="L518" s="6">
        <f>K518/'Quellen &amp; Annahmen'!$B$2</f>
        <v>1.8277678739727547E-5</v>
      </c>
      <c r="M518" s="7" t="s">
        <v>187</v>
      </c>
      <c r="N518" s="7" t="s">
        <v>188</v>
      </c>
    </row>
    <row r="519" spans="1:14" ht="18" customHeight="1">
      <c r="A519">
        <v>518</v>
      </c>
      <c r="B519" t="s">
        <v>604</v>
      </c>
      <c r="C519" t="s">
        <v>50</v>
      </c>
      <c r="D519" s="2">
        <v>0</v>
      </c>
      <c r="E519" s="2">
        <v>0</v>
      </c>
      <c r="F519" s="2">
        <v>0</v>
      </c>
      <c r="G519" s="2">
        <v>0</v>
      </c>
      <c r="H519" s="2">
        <v>2.0178719999999997</v>
      </c>
      <c r="I519" s="2">
        <v>0</v>
      </c>
      <c r="J519" s="5">
        <f t="shared" si="16"/>
        <v>2.0178719999999997</v>
      </c>
      <c r="K519" s="5">
        <f t="shared" si="17"/>
        <v>2.0178719999999997</v>
      </c>
      <c r="L519" s="6">
        <f>K519/'Quellen &amp; Annahmen'!$B$2</f>
        <v>1.8277678739727547E-5</v>
      </c>
      <c r="M519" s="7" t="s">
        <v>187</v>
      </c>
      <c r="N519" s="7" t="s">
        <v>188</v>
      </c>
    </row>
    <row r="520" spans="1:14" ht="18" customHeight="1">
      <c r="A520">
        <v>519</v>
      </c>
      <c r="B520" t="s">
        <v>605</v>
      </c>
      <c r="C520" t="s">
        <v>25</v>
      </c>
      <c r="D520" s="2">
        <v>0</v>
      </c>
      <c r="E520" s="2">
        <v>0</v>
      </c>
      <c r="F520" s="2">
        <v>0</v>
      </c>
      <c r="G520" s="2">
        <v>0</v>
      </c>
      <c r="H520" s="2">
        <v>2.0178719999999997</v>
      </c>
      <c r="I520" s="2">
        <v>0</v>
      </c>
      <c r="J520" s="5">
        <f t="shared" si="16"/>
        <v>2.0178719999999997</v>
      </c>
      <c r="K520" s="5">
        <f t="shared" si="17"/>
        <v>2.0178719999999997</v>
      </c>
      <c r="L520" s="6">
        <f>K520/'Quellen &amp; Annahmen'!$B$2</f>
        <v>1.8277678739727547E-5</v>
      </c>
      <c r="M520" s="7" t="s">
        <v>187</v>
      </c>
      <c r="N520" s="7" t="s">
        <v>188</v>
      </c>
    </row>
    <row r="521" spans="1:14" ht="18" customHeight="1">
      <c r="A521">
        <v>520</v>
      </c>
      <c r="B521" t="s">
        <v>606</v>
      </c>
      <c r="C521" t="s">
        <v>50</v>
      </c>
      <c r="D521" s="2">
        <v>0</v>
      </c>
      <c r="E521" s="2">
        <v>0</v>
      </c>
      <c r="F521" s="2">
        <v>0</v>
      </c>
      <c r="G521" s="2">
        <v>0</v>
      </c>
      <c r="H521" s="2">
        <v>2.0178719999999997</v>
      </c>
      <c r="I521" s="2">
        <v>0</v>
      </c>
      <c r="J521" s="5">
        <f t="shared" si="16"/>
        <v>2.0178719999999997</v>
      </c>
      <c r="K521" s="5">
        <f t="shared" si="17"/>
        <v>2.0178719999999997</v>
      </c>
      <c r="L521" s="6">
        <f>K521/'Quellen &amp; Annahmen'!$B$2</f>
        <v>1.8277678739727547E-5</v>
      </c>
      <c r="M521" s="7" t="s">
        <v>187</v>
      </c>
      <c r="N521" s="7" t="s">
        <v>188</v>
      </c>
    </row>
    <row r="522" spans="1:14" ht="18" customHeight="1">
      <c r="A522">
        <v>521</v>
      </c>
      <c r="B522" t="s">
        <v>607</v>
      </c>
      <c r="C522" t="s">
        <v>25</v>
      </c>
      <c r="D522" s="2">
        <v>0</v>
      </c>
      <c r="E522" s="2">
        <v>0</v>
      </c>
      <c r="F522" s="2">
        <v>0</v>
      </c>
      <c r="G522" s="2">
        <v>0</v>
      </c>
      <c r="H522" s="2">
        <v>2.0178719999999997</v>
      </c>
      <c r="I522" s="2">
        <v>0</v>
      </c>
      <c r="J522" s="5">
        <f t="shared" si="16"/>
        <v>2.0178719999999997</v>
      </c>
      <c r="K522" s="5">
        <f t="shared" si="17"/>
        <v>2.0178719999999997</v>
      </c>
      <c r="L522" s="6">
        <f>K522/'Quellen &amp; Annahmen'!$B$2</f>
        <v>1.8277678739727547E-5</v>
      </c>
      <c r="M522" s="7" t="s">
        <v>187</v>
      </c>
      <c r="N522" s="7" t="s">
        <v>188</v>
      </c>
    </row>
    <row r="523" spans="1:14" ht="18" customHeight="1">
      <c r="A523">
        <v>522</v>
      </c>
      <c r="B523" t="s">
        <v>608</v>
      </c>
      <c r="C523" t="s">
        <v>253</v>
      </c>
      <c r="D523" s="2">
        <v>0</v>
      </c>
      <c r="E523" s="2">
        <v>0</v>
      </c>
      <c r="F523" s="2">
        <v>0</v>
      </c>
      <c r="G523" s="2">
        <v>0</v>
      </c>
      <c r="H523" s="2">
        <v>2.0178719999999997</v>
      </c>
      <c r="I523" s="2">
        <v>0</v>
      </c>
      <c r="J523" s="5">
        <f t="shared" si="16"/>
        <v>2.0178719999999997</v>
      </c>
      <c r="K523" s="5">
        <f t="shared" si="17"/>
        <v>2.0178719999999997</v>
      </c>
      <c r="L523" s="6">
        <f>K523/'Quellen &amp; Annahmen'!$B$2</f>
        <v>1.8277678739727547E-5</v>
      </c>
      <c r="M523" s="7" t="s">
        <v>187</v>
      </c>
      <c r="N523" s="7" t="s">
        <v>188</v>
      </c>
    </row>
    <row r="524" spans="1:14" ht="18" customHeight="1">
      <c r="A524">
        <v>523</v>
      </c>
      <c r="B524" t="s">
        <v>609</v>
      </c>
      <c r="C524" t="s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2.0178719999999997</v>
      </c>
      <c r="I524" s="2">
        <v>0</v>
      </c>
      <c r="J524" s="5">
        <f t="shared" si="16"/>
        <v>2.0178719999999997</v>
      </c>
      <c r="K524" s="5">
        <f t="shared" si="17"/>
        <v>2.0178719999999997</v>
      </c>
      <c r="L524" s="6">
        <f>K524/'Quellen &amp; Annahmen'!$B$2</f>
        <v>1.8277678739727547E-5</v>
      </c>
      <c r="M524" s="7" t="s">
        <v>187</v>
      </c>
      <c r="N524" s="7" t="s">
        <v>188</v>
      </c>
    </row>
    <row r="525" spans="1:14" ht="18" customHeight="1">
      <c r="A525">
        <v>524</v>
      </c>
      <c r="B525" t="s">
        <v>610</v>
      </c>
      <c r="C525" t="s">
        <v>253</v>
      </c>
      <c r="D525" s="2">
        <v>0</v>
      </c>
      <c r="E525" s="2">
        <v>0</v>
      </c>
      <c r="F525" s="2">
        <v>0</v>
      </c>
      <c r="G525" s="2">
        <v>0</v>
      </c>
      <c r="H525" s="2">
        <v>2.0178719999999997</v>
      </c>
      <c r="I525" s="2">
        <v>0</v>
      </c>
      <c r="J525" s="5">
        <f t="shared" si="16"/>
        <v>2.0178719999999997</v>
      </c>
      <c r="K525" s="5">
        <f t="shared" si="17"/>
        <v>2.0178719999999997</v>
      </c>
      <c r="L525" s="6">
        <f>K525/'Quellen &amp; Annahmen'!$B$2</f>
        <v>1.8277678739727547E-5</v>
      </c>
      <c r="M525" s="7" t="s">
        <v>187</v>
      </c>
      <c r="N525" s="7" t="s">
        <v>188</v>
      </c>
    </row>
    <row r="526" spans="1:14" ht="18" customHeight="1">
      <c r="A526">
        <v>525</v>
      </c>
      <c r="B526" t="s">
        <v>611</v>
      </c>
      <c r="C526" t="s">
        <v>38</v>
      </c>
      <c r="D526" s="2">
        <v>0</v>
      </c>
      <c r="E526" s="2">
        <v>0</v>
      </c>
      <c r="F526" s="2">
        <v>0</v>
      </c>
      <c r="G526" s="2">
        <v>0</v>
      </c>
      <c r="H526" s="2">
        <v>2.0178719999999997</v>
      </c>
      <c r="I526" s="2">
        <v>0</v>
      </c>
      <c r="J526" s="5">
        <f t="shared" si="16"/>
        <v>2.0178719999999997</v>
      </c>
      <c r="K526" s="5">
        <f t="shared" si="17"/>
        <v>2.0178719999999997</v>
      </c>
      <c r="L526" s="6">
        <f>K526/'Quellen &amp; Annahmen'!$B$2</f>
        <v>1.8277678739727547E-5</v>
      </c>
      <c r="M526" s="7" t="s">
        <v>187</v>
      </c>
      <c r="N526" s="7" t="s">
        <v>188</v>
      </c>
    </row>
    <row r="527" spans="1:14" ht="18" customHeight="1">
      <c r="A527">
        <v>526</v>
      </c>
      <c r="B527" t="s">
        <v>612</v>
      </c>
      <c r="C527" t="s">
        <v>23</v>
      </c>
      <c r="D527" s="2">
        <v>0</v>
      </c>
      <c r="E527" s="2">
        <v>0</v>
      </c>
      <c r="F527" s="2">
        <v>0</v>
      </c>
      <c r="G527" s="2">
        <v>0</v>
      </c>
      <c r="H527" s="2">
        <v>2.0178719999999997</v>
      </c>
      <c r="I527" s="2">
        <v>0</v>
      </c>
      <c r="J527" s="5">
        <f t="shared" si="16"/>
        <v>2.0178719999999997</v>
      </c>
      <c r="K527" s="5">
        <f t="shared" si="17"/>
        <v>2.0178719999999997</v>
      </c>
      <c r="L527" s="6">
        <f>K527/'Quellen &amp; Annahmen'!$B$2</f>
        <v>1.8277678739727547E-5</v>
      </c>
      <c r="M527" s="7" t="s">
        <v>187</v>
      </c>
      <c r="N527" s="7" t="s">
        <v>188</v>
      </c>
    </row>
    <row r="528" spans="1:14" ht="18" customHeight="1">
      <c r="A528">
        <v>527</v>
      </c>
      <c r="B528" t="s">
        <v>613</v>
      </c>
      <c r="C528" t="s">
        <v>38</v>
      </c>
      <c r="D528" s="2">
        <v>0</v>
      </c>
      <c r="E528" s="2">
        <v>0</v>
      </c>
      <c r="F528" s="2">
        <v>0</v>
      </c>
      <c r="G528" s="2">
        <v>0</v>
      </c>
      <c r="H528" s="2">
        <v>2.0178719999999997</v>
      </c>
      <c r="I528" s="2">
        <v>0</v>
      </c>
      <c r="J528" s="5">
        <f t="shared" si="16"/>
        <v>2.0178719999999997</v>
      </c>
      <c r="K528" s="5">
        <f t="shared" si="17"/>
        <v>2.0178719999999997</v>
      </c>
      <c r="L528" s="6">
        <f>K528/'Quellen &amp; Annahmen'!$B$2</f>
        <v>1.8277678739727547E-5</v>
      </c>
      <c r="M528" s="7" t="s">
        <v>187</v>
      </c>
      <c r="N528" s="7" t="s">
        <v>188</v>
      </c>
    </row>
    <row r="529" spans="1:14" ht="18" customHeight="1">
      <c r="A529">
        <v>528</v>
      </c>
      <c r="B529" t="s">
        <v>614</v>
      </c>
      <c r="C529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2.0178719999999997</v>
      </c>
      <c r="I529" s="2">
        <v>0</v>
      </c>
      <c r="J529" s="5">
        <f t="shared" si="16"/>
        <v>2.0178719999999997</v>
      </c>
      <c r="K529" s="5">
        <f t="shared" si="17"/>
        <v>2.0178719999999997</v>
      </c>
      <c r="L529" s="6">
        <f>K529/'Quellen &amp; Annahmen'!$B$2</f>
        <v>1.8277678739727547E-5</v>
      </c>
      <c r="M529" s="7" t="s">
        <v>187</v>
      </c>
      <c r="N529" s="7" t="s">
        <v>188</v>
      </c>
    </row>
    <row r="530" spans="1:14" ht="18" customHeight="1">
      <c r="A530">
        <v>529</v>
      </c>
      <c r="B530" t="s">
        <v>615</v>
      </c>
      <c r="C530" t="s">
        <v>38</v>
      </c>
      <c r="D530" s="2">
        <v>0</v>
      </c>
      <c r="E530" s="2">
        <v>0</v>
      </c>
      <c r="F530" s="2">
        <v>0</v>
      </c>
      <c r="G530" s="2">
        <v>0</v>
      </c>
      <c r="H530" s="2">
        <v>2.0178719999999997</v>
      </c>
      <c r="I530" s="2">
        <v>0</v>
      </c>
      <c r="J530" s="5">
        <f t="shared" si="16"/>
        <v>2.0178719999999997</v>
      </c>
      <c r="K530" s="5">
        <f t="shared" si="17"/>
        <v>2.0178719999999997</v>
      </c>
      <c r="L530" s="6">
        <f>K530/'Quellen &amp; Annahmen'!$B$2</f>
        <v>1.8277678739727547E-5</v>
      </c>
      <c r="M530" s="7" t="s">
        <v>187</v>
      </c>
      <c r="N530" s="7" t="s">
        <v>188</v>
      </c>
    </row>
    <row r="531" spans="1:14" ht="18" customHeight="1">
      <c r="A531">
        <v>530</v>
      </c>
      <c r="B531" t="s">
        <v>616</v>
      </c>
      <c r="C531" t="s">
        <v>25</v>
      </c>
      <c r="D531" s="2">
        <v>0</v>
      </c>
      <c r="E531" s="2">
        <v>0</v>
      </c>
      <c r="F531" s="2">
        <v>0</v>
      </c>
      <c r="G531" s="2">
        <v>0</v>
      </c>
      <c r="H531" s="2">
        <v>2.0178719999999997</v>
      </c>
      <c r="I531" s="2">
        <v>0</v>
      </c>
      <c r="J531" s="5">
        <f t="shared" si="16"/>
        <v>2.0178719999999997</v>
      </c>
      <c r="K531" s="5">
        <f t="shared" si="17"/>
        <v>2.0178719999999997</v>
      </c>
      <c r="L531" s="6">
        <f>K531/'Quellen &amp; Annahmen'!$B$2</f>
        <v>1.8277678739727547E-5</v>
      </c>
      <c r="M531" s="7" t="s">
        <v>187</v>
      </c>
      <c r="N531" s="7" t="s">
        <v>188</v>
      </c>
    </row>
    <row r="532" spans="1:14" ht="18" customHeight="1">
      <c r="A532">
        <v>531</v>
      </c>
      <c r="B532" t="s">
        <v>617</v>
      </c>
      <c r="C532" t="s">
        <v>253</v>
      </c>
      <c r="D532" s="2">
        <v>0</v>
      </c>
      <c r="E532" s="2">
        <v>0</v>
      </c>
      <c r="F532" s="2">
        <v>0</v>
      </c>
      <c r="G532" s="2">
        <v>0</v>
      </c>
      <c r="H532" s="2">
        <v>0.336312</v>
      </c>
      <c r="I532" s="2">
        <v>1.597456</v>
      </c>
      <c r="J532" s="5">
        <f t="shared" si="16"/>
        <v>1.9337679999999999</v>
      </c>
      <c r="K532" s="5">
        <f t="shared" si="17"/>
        <v>1.9337679999999999</v>
      </c>
      <c r="L532" s="6">
        <f>K532/'Quellen &amp; Annahmen'!$B$2</f>
        <v>1.7515873286891075E-5</v>
      </c>
      <c r="M532" s="7" t="s">
        <v>179</v>
      </c>
      <c r="N532" s="7" t="s">
        <v>180</v>
      </c>
    </row>
    <row r="533" spans="1:14" ht="18" customHeight="1">
      <c r="A533">
        <v>532</v>
      </c>
      <c r="B533" t="s">
        <v>618</v>
      </c>
      <c r="C533" t="s">
        <v>124</v>
      </c>
      <c r="D533" s="2">
        <v>0</v>
      </c>
      <c r="E533" s="2">
        <v>0</v>
      </c>
      <c r="F533" s="2">
        <v>0</v>
      </c>
      <c r="G533" s="2">
        <v>0</v>
      </c>
      <c r="H533" s="2">
        <v>0.672624</v>
      </c>
      <c r="I533" s="2">
        <v>1.255144</v>
      </c>
      <c r="J533" s="5">
        <f t="shared" si="16"/>
        <v>1.9277679999999999</v>
      </c>
      <c r="K533" s="5">
        <f t="shared" si="17"/>
        <v>1.9277679999999999</v>
      </c>
      <c r="L533" s="6">
        <f>K533/'Quellen &amp; Annahmen'!$B$2</f>
        <v>1.7461525898930704E-5</v>
      </c>
      <c r="M533" s="7" t="s">
        <v>179</v>
      </c>
      <c r="N533" s="7" t="s">
        <v>180</v>
      </c>
    </row>
    <row r="534" spans="1:14" ht="18" customHeight="1">
      <c r="A534">
        <v>533</v>
      </c>
      <c r="B534" t="s">
        <v>619</v>
      </c>
      <c r="C534" t="s">
        <v>27</v>
      </c>
      <c r="D534" s="2">
        <v>0</v>
      </c>
      <c r="E534" s="2">
        <v>0</v>
      </c>
      <c r="F534" s="2">
        <v>0</v>
      </c>
      <c r="G534" s="2">
        <v>0</v>
      </c>
      <c r="H534" s="2">
        <v>0.672624</v>
      </c>
      <c r="I534" s="2">
        <v>1.255144</v>
      </c>
      <c r="J534" s="5">
        <f t="shared" si="16"/>
        <v>1.9277679999999999</v>
      </c>
      <c r="K534" s="5">
        <f t="shared" si="17"/>
        <v>1.9277679999999999</v>
      </c>
      <c r="L534" s="6">
        <f>K534/'Quellen &amp; Annahmen'!$B$2</f>
        <v>1.7461525898930704E-5</v>
      </c>
      <c r="M534" s="7" t="s">
        <v>179</v>
      </c>
      <c r="N534" s="7" t="s">
        <v>180</v>
      </c>
    </row>
    <row r="535" spans="1:14" ht="18" customHeight="1">
      <c r="A535">
        <v>534</v>
      </c>
      <c r="B535" t="s">
        <v>620</v>
      </c>
      <c r="C535" t="s">
        <v>41</v>
      </c>
      <c r="D535" s="2">
        <v>0</v>
      </c>
      <c r="E535" s="2">
        <v>0</v>
      </c>
      <c r="F535" s="2">
        <v>0</v>
      </c>
      <c r="G535" s="2">
        <v>0</v>
      </c>
      <c r="H535" s="2">
        <v>0.672624</v>
      </c>
      <c r="I535" s="2">
        <v>1.255144</v>
      </c>
      <c r="J535" s="5">
        <f t="shared" si="16"/>
        <v>1.9277679999999999</v>
      </c>
      <c r="K535" s="5">
        <f t="shared" si="17"/>
        <v>1.9277679999999999</v>
      </c>
      <c r="L535" s="6">
        <f>K535/'Quellen &amp; Annahmen'!$B$2</f>
        <v>1.7461525898930704E-5</v>
      </c>
      <c r="M535" s="7" t="s">
        <v>179</v>
      </c>
      <c r="N535" s="7" t="s">
        <v>180</v>
      </c>
    </row>
    <row r="536" spans="1:14" ht="18" customHeight="1">
      <c r="A536">
        <v>535</v>
      </c>
      <c r="B536" t="s">
        <v>621</v>
      </c>
      <c r="C536" t="s">
        <v>27</v>
      </c>
      <c r="D536" s="2">
        <v>0</v>
      </c>
      <c r="E536" s="2">
        <v>0</v>
      </c>
      <c r="F536" s="2">
        <v>0</v>
      </c>
      <c r="G536" s="2">
        <v>0</v>
      </c>
      <c r="H536" s="2">
        <v>0.672624</v>
      </c>
      <c r="I536" s="2">
        <v>1.255144</v>
      </c>
      <c r="J536" s="5">
        <f t="shared" si="16"/>
        <v>1.9277679999999999</v>
      </c>
      <c r="K536" s="5">
        <f t="shared" si="17"/>
        <v>1.9277679999999999</v>
      </c>
      <c r="L536" s="6">
        <f>K536/'Quellen &amp; Annahmen'!$B$2</f>
        <v>1.7461525898930704E-5</v>
      </c>
      <c r="M536" s="7" t="s">
        <v>179</v>
      </c>
      <c r="N536" s="7" t="s">
        <v>180</v>
      </c>
    </row>
    <row r="537" spans="1:14" ht="18" customHeight="1">
      <c r="A537">
        <v>536</v>
      </c>
      <c r="B537" t="s">
        <v>622</v>
      </c>
      <c r="C537" t="s">
        <v>23</v>
      </c>
      <c r="D537" s="2">
        <v>0</v>
      </c>
      <c r="E537" s="2">
        <v>0</v>
      </c>
      <c r="F537" s="2">
        <v>0</v>
      </c>
      <c r="G537" s="2">
        <v>0</v>
      </c>
      <c r="H537" s="2">
        <v>1.0089359999999998</v>
      </c>
      <c r="I537" s="2">
        <v>0.91283199999999998</v>
      </c>
      <c r="J537" s="5">
        <f t="shared" si="16"/>
        <v>1.9217679999999997</v>
      </c>
      <c r="K537" s="5">
        <f t="shared" si="17"/>
        <v>1.9217679999999997</v>
      </c>
      <c r="L537" s="6">
        <f>K537/'Quellen &amp; Annahmen'!$B$2</f>
        <v>1.7407178510970333E-5</v>
      </c>
      <c r="M537" s="7" t="s">
        <v>179</v>
      </c>
      <c r="N537" s="7" t="s">
        <v>180</v>
      </c>
    </row>
    <row r="538" spans="1:14" ht="18" customHeight="1">
      <c r="A538">
        <v>537</v>
      </c>
      <c r="B538" t="s">
        <v>623</v>
      </c>
      <c r="C538" t="s">
        <v>23</v>
      </c>
      <c r="D538" s="2">
        <v>0</v>
      </c>
      <c r="E538" s="2">
        <v>0</v>
      </c>
      <c r="F538" s="2">
        <v>0</v>
      </c>
      <c r="G538" s="2">
        <v>0</v>
      </c>
      <c r="H538" s="2">
        <v>1.0089359999999998</v>
      </c>
      <c r="I538" s="2">
        <v>0.91283199999999998</v>
      </c>
      <c r="J538" s="5">
        <f t="shared" si="16"/>
        <v>1.9217679999999997</v>
      </c>
      <c r="K538" s="5">
        <f t="shared" si="17"/>
        <v>1.9217679999999997</v>
      </c>
      <c r="L538" s="6">
        <f>K538/'Quellen &amp; Annahmen'!$B$2</f>
        <v>1.7407178510970333E-5</v>
      </c>
      <c r="M538" s="7" t="s">
        <v>179</v>
      </c>
      <c r="N538" s="7" t="s">
        <v>180</v>
      </c>
    </row>
    <row r="539" spans="1:14" ht="18" customHeight="1">
      <c r="A539">
        <v>538</v>
      </c>
      <c r="B539" t="s">
        <v>624</v>
      </c>
      <c r="C539" t="s">
        <v>23</v>
      </c>
      <c r="D539" s="2">
        <v>0</v>
      </c>
      <c r="E539" s="2">
        <v>0</v>
      </c>
      <c r="F539" s="2">
        <v>0</v>
      </c>
      <c r="G539" s="2">
        <v>0</v>
      </c>
      <c r="H539" s="2">
        <v>1.0089359999999998</v>
      </c>
      <c r="I539" s="2">
        <v>0.91283199999999998</v>
      </c>
      <c r="J539" s="5">
        <f t="shared" si="16"/>
        <v>1.9217679999999997</v>
      </c>
      <c r="K539" s="5">
        <f t="shared" si="17"/>
        <v>1.9217679999999997</v>
      </c>
      <c r="L539" s="6">
        <f>K539/'Quellen &amp; Annahmen'!$B$2</f>
        <v>1.7407178510970333E-5</v>
      </c>
      <c r="M539" s="7" t="s">
        <v>179</v>
      </c>
      <c r="N539" s="7" t="s">
        <v>180</v>
      </c>
    </row>
    <row r="540" spans="1:14" ht="18" customHeight="1">
      <c r="A540">
        <v>539</v>
      </c>
      <c r="B540" t="s">
        <v>625</v>
      </c>
      <c r="C540" t="s">
        <v>25</v>
      </c>
      <c r="D540" s="2">
        <v>0</v>
      </c>
      <c r="E540" s="2">
        <v>0</v>
      </c>
      <c r="F540" s="2">
        <v>0</v>
      </c>
      <c r="G540" s="2">
        <v>0</v>
      </c>
      <c r="H540" s="2">
        <v>0.336312</v>
      </c>
      <c r="I540" s="2">
        <v>1.4833519999999998</v>
      </c>
      <c r="J540" s="5">
        <f t="shared" si="16"/>
        <v>1.8196639999999997</v>
      </c>
      <c r="K540" s="5">
        <f t="shared" si="17"/>
        <v>1.8196639999999997</v>
      </c>
      <c r="L540" s="6">
        <f>K540/'Quellen &amp; Annahmen'!$B$2</f>
        <v>1.6482330894252752E-5</v>
      </c>
      <c r="M540" s="7" t="s">
        <v>179</v>
      </c>
      <c r="N540" s="7" t="s">
        <v>180</v>
      </c>
    </row>
    <row r="541" spans="1:14" ht="18" customHeight="1">
      <c r="A541">
        <v>540</v>
      </c>
      <c r="B541" t="s">
        <v>626</v>
      </c>
      <c r="C541" t="s">
        <v>38</v>
      </c>
      <c r="D541" s="2">
        <v>0</v>
      </c>
      <c r="E541" s="2">
        <v>0</v>
      </c>
      <c r="F541" s="2">
        <v>0</v>
      </c>
      <c r="G541" s="2">
        <v>0</v>
      </c>
      <c r="H541" s="2">
        <v>0.336312</v>
      </c>
      <c r="I541" s="2">
        <v>1.4833519999999998</v>
      </c>
      <c r="J541" s="5">
        <f t="shared" si="16"/>
        <v>1.8196639999999997</v>
      </c>
      <c r="K541" s="5">
        <f t="shared" si="17"/>
        <v>1.8196639999999997</v>
      </c>
      <c r="L541" s="6">
        <f>K541/'Quellen &amp; Annahmen'!$B$2</f>
        <v>1.6482330894252752E-5</v>
      </c>
      <c r="M541" s="7" t="s">
        <v>179</v>
      </c>
      <c r="N541" s="7" t="s">
        <v>180</v>
      </c>
    </row>
    <row r="542" spans="1:14" ht="18" customHeight="1">
      <c r="A542">
        <v>541</v>
      </c>
      <c r="B542" t="s">
        <v>627</v>
      </c>
      <c r="C542" t="s">
        <v>33</v>
      </c>
      <c r="D542" s="2">
        <v>0</v>
      </c>
      <c r="E542" s="2">
        <v>0</v>
      </c>
      <c r="F542" s="2">
        <v>0</v>
      </c>
      <c r="G542" s="2">
        <v>0</v>
      </c>
      <c r="H542" s="2">
        <v>0.672624</v>
      </c>
      <c r="I542" s="2">
        <v>1.1410400000000001</v>
      </c>
      <c r="J542" s="5">
        <f t="shared" si="16"/>
        <v>1.8136640000000002</v>
      </c>
      <c r="K542" s="5">
        <f t="shared" si="17"/>
        <v>1.8136640000000002</v>
      </c>
      <c r="L542" s="6">
        <f>K542/'Quellen &amp; Annahmen'!$B$2</f>
        <v>1.6427983506292388E-5</v>
      </c>
      <c r="M542" s="7" t="s">
        <v>179</v>
      </c>
      <c r="N542" s="7" t="s">
        <v>180</v>
      </c>
    </row>
    <row r="543" spans="1:14" ht="18" customHeight="1">
      <c r="A543">
        <v>542</v>
      </c>
      <c r="B543" t="s">
        <v>628</v>
      </c>
      <c r="C543" t="s">
        <v>50</v>
      </c>
      <c r="D543" s="2">
        <v>0</v>
      </c>
      <c r="E543" s="2">
        <v>0</v>
      </c>
      <c r="F543" s="2">
        <v>0</v>
      </c>
      <c r="G543" s="2">
        <v>0</v>
      </c>
      <c r="H543" s="2">
        <v>0.672624</v>
      </c>
      <c r="I543" s="2">
        <v>1.1410400000000001</v>
      </c>
      <c r="J543" s="5">
        <f t="shared" si="16"/>
        <v>1.8136640000000002</v>
      </c>
      <c r="K543" s="5">
        <f t="shared" si="17"/>
        <v>1.8136640000000002</v>
      </c>
      <c r="L543" s="6">
        <f>K543/'Quellen &amp; Annahmen'!$B$2</f>
        <v>1.6427983506292388E-5</v>
      </c>
      <c r="M543" s="7" t="s">
        <v>179</v>
      </c>
      <c r="N543" s="7" t="s">
        <v>180</v>
      </c>
    </row>
    <row r="544" spans="1:14" ht="18" customHeight="1">
      <c r="A544">
        <v>543</v>
      </c>
      <c r="B544" t="s">
        <v>629</v>
      </c>
      <c r="C544" t="s">
        <v>23</v>
      </c>
      <c r="D544" s="2">
        <v>0</v>
      </c>
      <c r="E544" s="2">
        <v>0</v>
      </c>
      <c r="F544" s="2">
        <v>0</v>
      </c>
      <c r="G544" s="2">
        <v>0</v>
      </c>
      <c r="H544" s="2">
        <v>0.672624</v>
      </c>
      <c r="I544" s="2">
        <v>1.1410400000000001</v>
      </c>
      <c r="J544" s="5">
        <f t="shared" si="16"/>
        <v>1.8136640000000002</v>
      </c>
      <c r="K544" s="5">
        <f t="shared" si="17"/>
        <v>1.8136640000000002</v>
      </c>
      <c r="L544" s="6">
        <f>K544/'Quellen &amp; Annahmen'!$B$2</f>
        <v>1.6427983506292388E-5</v>
      </c>
      <c r="M544" s="7" t="s">
        <v>179</v>
      </c>
      <c r="N544" s="7" t="s">
        <v>180</v>
      </c>
    </row>
    <row r="545" spans="1:14" ht="18" customHeight="1">
      <c r="A545">
        <v>544</v>
      </c>
      <c r="B545" t="s">
        <v>630</v>
      </c>
      <c r="C545" t="s">
        <v>50</v>
      </c>
      <c r="D545" s="2">
        <v>0</v>
      </c>
      <c r="E545" s="2">
        <v>0</v>
      </c>
      <c r="F545" s="2">
        <v>0</v>
      </c>
      <c r="G545" s="2">
        <v>0</v>
      </c>
      <c r="H545" s="2">
        <v>0.672624</v>
      </c>
      <c r="I545" s="2">
        <v>1.1410400000000001</v>
      </c>
      <c r="J545" s="5">
        <f t="shared" si="16"/>
        <v>1.8136640000000002</v>
      </c>
      <c r="K545" s="5">
        <f t="shared" si="17"/>
        <v>1.8136640000000002</v>
      </c>
      <c r="L545" s="6">
        <f>K545/'Quellen &amp; Annahmen'!$B$2</f>
        <v>1.6427983506292388E-5</v>
      </c>
      <c r="M545" s="7" t="s">
        <v>179</v>
      </c>
      <c r="N545" s="7" t="s">
        <v>180</v>
      </c>
    </row>
    <row r="546" spans="1:14" ht="18" customHeight="1">
      <c r="A546">
        <v>545</v>
      </c>
      <c r="B546" t="s">
        <v>631</v>
      </c>
      <c r="C546" t="s">
        <v>50</v>
      </c>
      <c r="D546" s="2">
        <v>0</v>
      </c>
      <c r="E546" s="2">
        <v>0</v>
      </c>
      <c r="F546" s="2">
        <v>0</v>
      </c>
      <c r="G546" s="2">
        <v>0</v>
      </c>
      <c r="H546" s="2">
        <v>0.672624</v>
      </c>
      <c r="I546" s="2">
        <v>1.1410400000000001</v>
      </c>
      <c r="J546" s="5">
        <f t="shared" si="16"/>
        <v>1.8136640000000002</v>
      </c>
      <c r="K546" s="5">
        <f t="shared" si="17"/>
        <v>1.8136640000000002</v>
      </c>
      <c r="L546" s="6">
        <f>K546/'Quellen &amp; Annahmen'!$B$2</f>
        <v>1.6427983506292388E-5</v>
      </c>
      <c r="M546" s="7" t="s">
        <v>179</v>
      </c>
      <c r="N546" s="7" t="s">
        <v>180</v>
      </c>
    </row>
    <row r="547" spans="1:14" ht="18" customHeight="1">
      <c r="A547">
        <v>546</v>
      </c>
      <c r="B547" t="s">
        <v>632</v>
      </c>
      <c r="C547" t="s">
        <v>23</v>
      </c>
      <c r="D547" s="2">
        <v>0</v>
      </c>
      <c r="E547" s="2">
        <v>0</v>
      </c>
      <c r="F547" s="2">
        <v>0</v>
      </c>
      <c r="G547" s="2">
        <v>0</v>
      </c>
      <c r="H547" s="2">
        <v>1.0089359999999998</v>
      </c>
      <c r="I547" s="2">
        <v>0.79872799999999999</v>
      </c>
      <c r="J547" s="5">
        <f t="shared" si="16"/>
        <v>1.8076639999999999</v>
      </c>
      <c r="K547" s="5">
        <f t="shared" si="17"/>
        <v>1.8076639999999999</v>
      </c>
      <c r="L547" s="6">
        <f>K547/'Quellen &amp; Annahmen'!$B$2</f>
        <v>1.6373636118332018E-5</v>
      </c>
      <c r="M547" s="7" t="s">
        <v>179</v>
      </c>
      <c r="N547" s="7" t="s">
        <v>180</v>
      </c>
    </row>
    <row r="548" spans="1:14" ht="18" customHeight="1">
      <c r="A548">
        <v>547</v>
      </c>
      <c r="B548" t="s">
        <v>633</v>
      </c>
      <c r="C548" t="s">
        <v>33</v>
      </c>
      <c r="D548" s="2">
        <v>0</v>
      </c>
      <c r="E548" s="2">
        <v>0</v>
      </c>
      <c r="F548" s="2">
        <v>0</v>
      </c>
      <c r="G548" s="2">
        <v>0</v>
      </c>
      <c r="H548" s="2">
        <v>1.0089359999999998</v>
      </c>
      <c r="I548" s="2">
        <v>0.79872799999999999</v>
      </c>
      <c r="J548" s="5">
        <f t="shared" si="16"/>
        <v>1.8076639999999999</v>
      </c>
      <c r="K548" s="5">
        <f t="shared" si="17"/>
        <v>1.8076639999999999</v>
      </c>
      <c r="L548" s="6">
        <f>K548/'Quellen &amp; Annahmen'!$B$2</f>
        <v>1.6373636118332018E-5</v>
      </c>
      <c r="M548" s="7" t="s">
        <v>179</v>
      </c>
      <c r="N548" s="7" t="s">
        <v>180</v>
      </c>
    </row>
    <row r="549" spans="1:14" ht="18" customHeight="1">
      <c r="A549">
        <v>548</v>
      </c>
      <c r="B549" t="s">
        <v>634</v>
      </c>
      <c r="C549" t="s">
        <v>23</v>
      </c>
      <c r="D549" s="2">
        <v>0</v>
      </c>
      <c r="E549" s="2">
        <v>0</v>
      </c>
      <c r="F549" s="2">
        <v>0</v>
      </c>
      <c r="G549" s="2">
        <v>0</v>
      </c>
      <c r="H549" s="2">
        <v>1.0089359999999998</v>
      </c>
      <c r="I549" s="2">
        <v>0.79872799999999999</v>
      </c>
      <c r="J549" s="5">
        <f t="shared" si="16"/>
        <v>1.8076639999999999</v>
      </c>
      <c r="K549" s="5">
        <f t="shared" si="17"/>
        <v>1.8076639999999999</v>
      </c>
      <c r="L549" s="6">
        <f>K549/'Quellen &amp; Annahmen'!$B$2</f>
        <v>1.6373636118332018E-5</v>
      </c>
      <c r="M549" s="7" t="s">
        <v>179</v>
      </c>
      <c r="N549" s="7" t="s">
        <v>180</v>
      </c>
    </row>
    <row r="550" spans="1:14" ht="18" customHeight="1">
      <c r="A550">
        <v>549</v>
      </c>
      <c r="B550" t="s">
        <v>635</v>
      </c>
      <c r="C550" t="s">
        <v>263</v>
      </c>
      <c r="D550" s="2">
        <v>0</v>
      </c>
      <c r="E550" s="2">
        <v>0</v>
      </c>
      <c r="F550" s="2">
        <v>0</v>
      </c>
      <c r="G550" s="2">
        <v>0</v>
      </c>
      <c r="H550" s="2">
        <v>0.336312</v>
      </c>
      <c r="I550" s="2">
        <v>1.369248</v>
      </c>
      <c r="J550" s="5">
        <f t="shared" si="16"/>
        <v>1.70556</v>
      </c>
      <c r="K550" s="5">
        <f t="shared" si="17"/>
        <v>1.70556</v>
      </c>
      <c r="L550" s="6">
        <f>K550/'Quellen &amp; Annahmen'!$B$2</f>
        <v>1.5448788501614433E-5</v>
      </c>
      <c r="M550" s="7" t="s">
        <v>179</v>
      </c>
      <c r="N550" s="7" t="s">
        <v>180</v>
      </c>
    </row>
    <row r="551" spans="1:14" ht="18" customHeight="1">
      <c r="A551">
        <v>550</v>
      </c>
      <c r="B551" t="s">
        <v>636</v>
      </c>
      <c r="C551" t="s">
        <v>38</v>
      </c>
      <c r="D551" s="2">
        <v>0</v>
      </c>
      <c r="E551" s="2">
        <v>0</v>
      </c>
      <c r="F551" s="2">
        <v>0</v>
      </c>
      <c r="G551" s="2">
        <v>0</v>
      </c>
      <c r="H551" s="2">
        <v>0.336312</v>
      </c>
      <c r="I551" s="2">
        <v>1.369248</v>
      </c>
      <c r="J551" s="5">
        <f t="shared" si="16"/>
        <v>1.70556</v>
      </c>
      <c r="K551" s="5">
        <f t="shared" si="17"/>
        <v>1.70556</v>
      </c>
      <c r="L551" s="6">
        <f>K551/'Quellen &amp; Annahmen'!$B$2</f>
        <v>1.5448788501614433E-5</v>
      </c>
      <c r="M551" s="7" t="s">
        <v>179</v>
      </c>
      <c r="N551" s="7" t="s">
        <v>180</v>
      </c>
    </row>
    <row r="552" spans="1:14" ht="18" customHeight="1">
      <c r="A552">
        <v>551</v>
      </c>
      <c r="B552" t="s">
        <v>637</v>
      </c>
      <c r="C552" t="s">
        <v>50</v>
      </c>
      <c r="D552" s="2">
        <v>0</v>
      </c>
      <c r="E552" s="2">
        <v>0</v>
      </c>
      <c r="F552" s="2">
        <v>0</v>
      </c>
      <c r="G552" s="2">
        <v>0</v>
      </c>
      <c r="H552" s="2">
        <v>0.336312</v>
      </c>
      <c r="I552" s="2">
        <v>1.369248</v>
      </c>
      <c r="J552" s="5">
        <f t="shared" si="16"/>
        <v>1.70556</v>
      </c>
      <c r="K552" s="5">
        <f t="shared" si="17"/>
        <v>1.70556</v>
      </c>
      <c r="L552" s="6">
        <f>K552/'Quellen &amp; Annahmen'!$B$2</f>
        <v>1.5448788501614433E-5</v>
      </c>
      <c r="M552" s="7" t="s">
        <v>179</v>
      </c>
      <c r="N552" s="7" t="s">
        <v>180</v>
      </c>
    </row>
    <row r="553" spans="1:14" ht="18" customHeight="1">
      <c r="A553">
        <v>552</v>
      </c>
      <c r="B553" t="s">
        <v>638</v>
      </c>
      <c r="C553" t="s">
        <v>50</v>
      </c>
      <c r="D553" s="2">
        <v>0</v>
      </c>
      <c r="E553" s="2">
        <v>0</v>
      </c>
      <c r="F553" s="2">
        <v>0</v>
      </c>
      <c r="G553" s="2">
        <v>0</v>
      </c>
      <c r="H553" s="2">
        <v>0.336312</v>
      </c>
      <c r="I553" s="2">
        <v>1.369248</v>
      </c>
      <c r="J553" s="5">
        <f t="shared" si="16"/>
        <v>1.70556</v>
      </c>
      <c r="K553" s="5">
        <f t="shared" si="17"/>
        <v>1.70556</v>
      </c>
      <c r="L553" s="6">
        <f>K553/'Quellen &amp; Annahmen'!$B$2</f>
        <v>1.5448788501614433E-5</v>
      </c>
      <c r="M553" s="7" t="s">
        <v>179</v>
      </c>
      <c r="N553" s="7" t="s">
        <v>180</v>
      </c>
    </row>
    <row r="554" spans="1:14" ht="18" customHeight="1">
      <c r="A554">
        <v>553</v>
      </c>
      <c r="B554" t="s">
        <v>639</v>
      </c>
      <c r="C554" t="s">
        <v>50</v>
      </c>
      <c r="D554" s="2">
        <v>0</v>
      </c>
      <c r="E554" s="2">
        <v>0</v>
      </c>
      <c r="F554" s="2">
        <v>0</v>
      </c>
      <c r="G554" s="2">
        <v>0</v>
      </c>
      <c r="H554" s="2">
        <v>0.336312</v>
      </c>
      <c r="I554" s="2">
        <v>1.369248</v>
      </c>
      <c r="J554" s="5">
        <f t="shared" si="16"/>
        <v>1.70556</v>
      </c>
      <c r="K554" s="5">
        <f t="shared" si="17"/>
        <v>1.70556</v>
      </c>
      <c r="L554" s="6">
        <f>K554/'Quellen &amp; Annahmen'!$B$2</f>
        <v>1.5448788501614433E-5</v>
      </c>
      <c r="M554" s="7" t="s">
        <v>179</v>
      </c>
      <c r="N554" s="7" t="s">
        <v>180</v>
      </c>
    </row>
    <row r="555" spans="1:14" ht="18" customHeight="1">
      <c r="A555">
        <v>554</v>
      </c>
      <c r="B555" t="s">
        <v>640</v>
      </c>
      <c r="C555" t="s">
        <v>108</v>
      </c>
      <c r="D555" s="2">
        <v>0</v>
      </c>
      <c r="E555" s="2">
        <v>0</v>
      </c>
      <c r="F555" s="2">
        <v>0</v>
      </c>
      <c r="G555" s="2">
        <v>0</v>
      </c>
      <c r="H555" s="2">
        <v>0.336312</v>
      </c>
      <c r="I555" s="2">
        <v>1.369248</v>
      </c>
      <c r="J555" s="5">
        <f t="shared" si="16"/>
        <v>1.70556</v>
      </c>
      <c r="K555" s="5">
        <f t="shared" si="17"/>
        <v>1.70556</v>
      </c>
      <c r="L555" s="6">
        <f>K555/'Quellen &amp; Annahmen'!$B$2</f>
        <v>1.5448788501614433E-5</v>
      </c>
      <c r="M555" s="7" t="s">
        <v>179</v>
      </c>
      <c r="N555" s="7" t="s">
        <v>180</v>
      </c>
    </row>
    <row r="556" spans="1:14" ht="18" customHeight="1">
      <c r="A556">
        <v>555</v>
      </c>
      <c r="B556" t="s">
        <v>641</v>
      </c>
      <c r="C556" t="s">
        <v>41</v>
      </c>
      <c r="D556" s="2">
        <v>0</v>
      </c>
      <c r="E556" s="2">
        <v>0</v>
      </c>
      <c r="F556" s="2">
        <v>0</v>
      </c>
      <c r="G556" s="2">
        <v>0</v>
      </c>
      <c r="H556" s="2">
        <v>0.672624</v>
      </c>
      <c r="I556" s="2">
        <v>1.0269359999999998</v>
      </c>
      <c r="J556" s="5">
        <f t="shared" si="16"/>
        <v>1.69956</v>
      </c>
      <c r="K556" s="5">
        <f t="shared" si="17"/>
        <v>1.69956</v>
      </c>
      <c r="L556" s="6">
        <f>K556/'Quellen &amp; Annahmen'!$B$2</f>
        <v>1.5394441113654066E-5</v>
      </c>
      <c r="M556" s="7" t="s">
        <v>179</v>
      </c>
      <c r="N556" s="7" t="s">
        <v>180</v>
      </c>
    </row>
    <row r="557" spans="1:14" ht="18" customHeight="1">
      <c r="A557">
        <v>556</v>
      </c>
      <c r="B557" t="s">
        <v>642</v>
      </c>
      <c r="C557" t="s">
        <v>108</v>
      </c>
      <c r="D557" s="2">
        <v>0</v>
      </c>
      <c r="E557" s="2">
        <v>0</v>
      </c>
      <c r="F557" s="2">
        <v>0</v>
      </c>
      <c r="G557" s="2">
        <v>0</v>
      </c>
      <c r="H557" s="2">
        <v>0.672624</v>
      </c>
      <c r="I557" s="2">
        <v>1.0269359999999998</v>
      </c>
      <c r="J557" s="5">
        <f t="shared" si="16"/>
        <v>1.69956</v>
      </c>
      <c r="K557" s="5">
        <f t="shared" si="17"/>
        <v>1.69956</v>
      </c>
      <c r="L557" s="6">
        <f>K557/'Quellen &amp; Annahmen'!$B$2</f>
        <v>1.5394441113654066E-5</v>
      </c>
      <c r="M557" s="7" t="s">
        <v>179</v>
      </c>
      <c r="N557" s="7" t="s">
        <v>180</v>
      </c>
    </row>
    <row r="558" spans="1:14" ht="18" customHeight="1">
      <c r="A558">
        <v>557</v>
      </c>
      <c r="B558" t="s">
        <v>643</v>
      </c>
      <c r="C558" t="s">
        <v>23</v>
      </c>
      <c r="D558" s="2">
        <v>0</v>
      </c>
      <c r="E558" s="2">
        <v>0</v>
      </c>
      <c r="F558" s="2">
        <v>0</v>
      </c>
      <c r="G558" s="2">
        <v>0</v>
      </c>
      <c r="H558" s="2">
        <v>0.672624</v>
      </c>
      <c r="I558" s="2">
        <v>1.0269359999999998</v>
      </c>
      <c r="J558" s="5">
        <f t="shared" si="16"/>
        <v>1.69956</v>
      </c>
      <c r="K558" s="5">
        <f t="shared" si="17"/>
        <v>1.69956</v>
      </c>
      <c r="L558" s="6">
        <f>K558/'Quellen &amp; Annahmen'!$B$2</f>
        <v>1.5394441113654066E-5</v>
      </c>
      <c r="M558" s="7" t="s">
        <v>179</v>
      </c>
      <c r="N558" s="7" t="s">
        <v>180</v>
      </c>
    </row>
    <row r="559" spans="1:14" ht="18" customHeight="1">
      <c r="A559">
        <v>558</v>
      </c>
      <c r="B559" t="s">
        <v>644</v>
      </c>
      <c r="C559" t="s">
        <v>33</v>
      </c>
      <c r="D559" s="2">
        <v>0</v>
      </c>
      <c r="E559" s="2">
        <v>0</v>
      </c>
      <c r="F559" s="2">
        <v>0</v>
      </c>
      <c r="G559" s="2">
        <v>0</v>
      </c>
      <c r="H559" s="2">
        <v>0.672624</v>
      </c>
      <c r="I559" s="2">
        <v>1.0269359999999998</v>
      </c>
      <c r="J559" s="5">
        <f t="shared" si="16"/>
        <v>1.69956</v>
      </c>
      <c r="K559" s="5">
        <f t="shared" si="17"/>
        <v>1.69956</v>
      </c>
      <c r="L559" s="6">
        <f>K559/'Quellen &amp; Annahmen'!$B$2</f>
        <v>1.5394441113654066E-5</v>
      </c>
      <c r="M559" s="7" t="s">
        <v>179</v>
      </c>
      <c r="N559" s="7" t="s">
        <v>180</v>
      </c>
    </row>
    <row r="560" spans="1:14" ht="18" customHeight="1">
      <c r="A560">
        <v>559</v>
      </c>
      <c r="B560" t="s">
        <v>645</v>
      </c>
      <c r="C560" t="s">
        <v>41</v>
      </c>
      <c r="D560" s="2">
        <v>0</v>
      </c>
      <c r="E560" s="2">
        <v>0</v>
      </c>
      <c r="F560" s="2">
        <v>0</v>
      </c>
      <c r="G560" s="2">
        <v>0</v>
      </c>
      <c r="H560" s="2">
        <v>0.672624</v>
      </c>
      <c r="I560" s="2">
        <v>1.0269359999999998</v>
      </c>
      <c r="J560" s="5">
        <f t="shared" si="16"/>
        <v>1.69956</v>
      </c>
      <c r="K560" s="5">
        <f t="shared" si="17"/>
        <v>1.69956</v>
      </c>
      <c r="L560" s="6">
        <f>K560/'Quellen &amp; Annahmen'!$B$2</f>
        <v>1.5394441113654066E-5</v>
      </c>
      <c r="M560" s="7" t="s">
        <v>179</v>
      </c>
      <c r="N560" s="7" t="s">
        <v>180</v>
      </c>
    </row>
    <row r="561" spans="1:14" ht="18" customHeight="1">
      <c r="A561">
        <v>560</v>
      </c>
      <c r="B561" t="s">
        <v>646</v>
      </c>
      <c r="C561" t="s">
        <v>41</v>
      </c>
      <c r="D561" s="2">
        <v>0</v>
      </c>
      <c r="E561" s="2">
        <v>0</v>
      </c>
      <c r="F561" s="2">
        <v>0</v>
      </c>
      <c r="G561" s="2">
        <v>0</v>
      </c>
      <c r="H561" s="2">
        <v>0.672624</v>
      </c>
      <c r="I561" s="2">
        <v>1.0269359999999998</v>
      </c>
      <c r="J561" s="5">
        <f t="shared" si="16"/>
        <v>1.69956</v>
      </c>
      <c r="K561" s="5">
        <f t="shared" si="17"/>
        <v>1.69956</v>
      </c>
      <c r="L561" s="6">
        <f>K561/'Quellen &amp; Annahmen'!$B$2</f>
        <v>1.5394441113654066E-5</v>
      </c>
      <c r="M561" s="7" t="s">
        <v>179</v>
      </c>
      <c r="N561" s="7" t="s">
        <v>180</v>
      </c>
    </row>
    <row r="562" spans="1:14" ht="18" customHeight="1">
      <c r="A562">
        <v>561</v>
      </c>
      <c r="B562" t="s">
        <v>647</v>
      </c>
      <c r="C562" t="s">
        <v>23</v>
      </c>
      <c r="D562" s="2">
        <v>0</v>
      </c>
      <c r="E562" s="2">
        <v>0</v>
      </c>
      <c r="F562" s="2">
        <v>0</v>
      </c>
      <c r="G562" s="2">
        <v>0</v>
      </c>
      <c r="H562" s="2">
        <v>0.672624</v>
      </c>
      <c r="I562" s="2">
        <v>1.0269359999999998</v>
      </c>
      <c r="J562" s="5">
        <f t="shared" si="16"/>
        <v>1.69956</v>
      </c>
      <c r="K562" s="5">
        <f t="shared" si="17"/>
        <v>1.69956</v>
      </c>
      <c r="L562" s="6">
        <f>K562/'Quellen &amp; Annahmen'!$B$2</f>
        <v>1.5394441113654066E-5</v>
      </c>
      <c r="M562" s="7" t="s">
        <v>179</v>
      </c>
      <c r="N562" s="7" t="s">
        <v>180</v>
      </c>
    </row>
    <row r="563" spans="1:14" ht="18" customHeight="1">
      <c r="A563">
        <v>562</v>
      </c>
      <c r="B563" t="s">
        <v>648</v>
      </c>
      <c r="C563" t="s">
        <v>25</v>
      </c>
      <c r="D563" s="2">
        <v>0</v>
      </c>
      <c r="E563" s="2">
        <v>0</v>
      </c>
      <c r="F563" s="2">
        <v>0</v>
      </c>
      <c r="G563" s="2">
        <v>0</v>
      </c>
      <c r="H563" s="2">
        <v>1.6815600000000002</v>
      </c>
      <c r="I563" s="2">
        <v>0</v>
      </c>
      <c r="J563" s="5">
        <f t="shared" si="16"/>
        <v>1.6815600000000002</v>
      </c>
      <c r="K563" s="5">
        <f t="shared" si="17"/>
        <v>1.6815600000000002</v>
      </c>
      <c r="L563" s="6">
        <f>K563/'Quellen &amp; Annahmen'!$B$2</f>
        <v>1.5231398949772961E-5</v>
      </c>
      <c r="M563" s="7" t="s">
        <v>187</v>
      </c>
      <c r="N563" s="7" t="s">
        <v>188</v>
      </c>
    </row>
    <row r="564" spans="1:14" ht="18" customHeight="1">
      <c r="A564">
        <v>563</v>
      </c>
      <c r="B564" t="s">
        <v>649</v>
      </c>
      <c r="C564" t="s">
        <v>33</v>
      </c>
      <c r="D564" s="2">
        <v>0</v>
      </c>
      <c r="E564" s="2">
        <v>0</v>
      </c>
      <c r="F564" s="2">
        <v>0</v>
      </c>
      <c r="G564" s="2">
        <v>0</v>
      </c>
      <c r="H564" s="2">
        <v>1.6815600000000002</v>
      </c>
      <c r="I564" s="2">
        <v>0</v>
      </c>
      <c r="J564" s="5">
        <f t="shared" si="16"/>
        <v>1.6815600000000002</v>
      </c>
      <c r="K564" s="5">
        <f t="shared" si="17"/>
        <v>1.6815600000000002</v>
      </c>
      <c r="L564" s="6">
        <f>K564/'Quellen &amp; Annahmen'!$B$2</f>
        <v>1.5231398949772961E-5</v>
      </c>
      <c r="M564" s="7" t="s">
        <v>187</v>
      </c>
      <c r="N564" s="7" t="s">
        <v>188</v>
      </c>
    </row>
    <row r="565" spans="1:14" ht="18" customHeight="1">
      <c r="A565">
        <v>564</v>
      </c>
      <c r="B565" t="s">
        <v>650</v>
      </c>
      <c r="C565" t="s">
        <v>23</v>
      </c>
      <c r="D565" s="2">
        <v>0</v>
      </c>
      <c r="E565" s="2">
        <v>0</v>
      </c>
      <c r="F565" s="2">
        <v>0</v>
      </c>
      <c r="G565" s="2">
        <v>0</v>
      </c>
      <c r="H565" s="2">
        <v>1.6815600000000002</v>
      </c>
      <c r="I565" s="2">
        <v>0</v>
      </c>
      <c r="J565" s="5">
        <f t="shared" si="16"/>
        <v>1.6815600000000002</v>
      </c>
      <c r="K565" s="5">
        <f t="shared" si="17"/>
        <v>1.6815600000000002</v>
      </c>
      <c r="L565" s="6">
        <f>K565/'Quellen &amp; Annahmen'!$B$2</f>
        <v>1.5231398949772961E-5</v>
      </c>
      <c r="M565" s="7" t="s">
        <v>187</v>
      </c>
      <c r="N565" s="7" t="s">
        <v>188</v>
      </c>
    </row>
    <row r="566" spans="1:14" ht="18" customHeight="1">
      <c r="A566">
        <v>565</v>
      </c>
      <c r="B566" t="s">
        <v>651</v>
      </c>
      <c r="C566" t="s">
        <v>253</v>
      </c>
      <c r="D566" s="2">
        <v>0</v>
      </c>
      <c r="E566" s="2">
        <v>0</v>
      </c>
      <c r="F566" s="2">
        <v>0</v>
      </c>
      <c r="G566" s="2">
        <v>0</v>
      </c>
      <c r="H566" s="2">
        <v>1.6815600000000002</v>
      </c>
      <c r="I566" s="2">
        <v>0</v>
      </c>
      <c r="J566" s="5">
        <f t="shared" si="16"/>
        <v>1.6815600000000002</v>
      </c>
      <c r="K566" s="5">
        <f t="shared" si="17"/>
        <v>1.6815600000000002</v>
      </c>
      <c r="L566" s="6">
        <f>K566/'Quellen &amp; Annahmen'!$B$2</f>
        <v>1.5231398949772961E-5</v>
      </c>
      <c r="M566" s="7" t="s">
        <v>187</v>
      </c>
      <c r="N566" s="7" t="s">
        <v>188</v>
      </c>
    </row>
    <row r="567" spans="1:14" ht="18" customHeight="1">
      <c r="A567">
        <v>566</v>
      </c>
      <c r="B567" t="s">
        <v>652</v>
      </c>
      <c r="C567" t="s">
        <v>27</v>
      </c>
      <c r="D567" s="2">
        <v>0</v>
      </c>
      <c r="E567" s="2">
        <v>0</v>
      </c>
      <c r="F567" s="2">
        <v>0</v>
      </c>
      <c r="G567" s="2">
        <v>0</v>
      </c>
      <c r="H567" s="2">
        <v>1.6815600000000002</v>
      </c>
      <c r="I567" s="2">
        <v>0</v>
      </c>
      <c r="J567" s="5">
        <f t="shared" si="16"/>
        <v>1.6815600000000002</v>
      </c>
      <c r="K567" s="5">
        <f t="shared" si="17"/>
        <v>1.6815600000000002</v>
      </c>
      <c r="L567" s="6">
        <f>K567/'Quellen &amp; Annahmen'!$B$2</f>
        <v>1.5231398949772961E-5</v>
      </c>
      <c r="M567" s="7" t="s">
        <v>187</v>
      </c>
      <c r="N567" s="7" t="s">
        <v>188</v>
      </c>
    </row>
    <row r="568" spans="1:14" ht="18" customHeight="1">
      <c r="A568">
        <v>567</v>
      </c>
      <c r="B568" t="s">
        <v>653</v>
      </c>
      <c r="C568" t="s">
        <v>263</v>
      </c>
      <c r="D568" s="2">
        <v>0</v>
      </c>
      <c r="E568" s="2">
        <v>0</v>
      </c>
      <c r="F568" s="2">
        <v>0</v>
      </c>
      <c r="G568" s="2">
        <v>0</v>
      </c>
      <c r="H568" s="2">
        <v>1.6815600000000002</v>
      </c>
      <c r="I568" s="2">
        <v>0</v>
      </c>
      <c r="J568" s="5">
        <f t="shared" si="16"/>
        <v>1.6815600000000002</v>
      </c>
      <c r="K568" s="5">
        <f t="shared" si="17"/>
        <v>1.6815600000000002</v>
      </c>
      <c r="L568" s="6">
        <f>K568/'Quellen &amp; Annahmen'!$B$2</f>
        <v>1.5231398949772961E-5</v>
      </c>
      <c r="M568" s="7" t="s">
        <v>187</v>
      </c>
      <c r="N568" s="7" t="s">
        <v>188</v>
      </c>
    </row>
    <row r="569" spans="1:14" ht="18" customHeight="1">
      <c r="A569">
        <v>568</v>
      </c>
      <c r="B569" t="s">
        <v>654</v>
      </c>
      <c r="C569" t="s">
        <v>41</v>
      </c>
      <c r="D569" s="2">
        <v>0</v>
      </c>
      <c r="E569" s="2">
        <v>0</v>
      </c>
      <c r="F569" s="2">
        <v>0</v>
      </c>
      <c r="G569" s="2">
        <v>0</v>
      </c>
      <c r="H569" s="2">
        <v>1.6815600000000002</v>
      </c>
      <c r="I569" s="2">
        <v>0</v>
      </c>
      <c r="J569" s="5">
        <f t="shared" si="16"/>
        <v>1.6815600000000002</v>
      </c>
      <c r="K569" s="5">
        <f t="shared" si="17"/>
        <v>1.6815600000000002</v>
      </c>
      <c r="L569" s="6">
        <f>K569/'Quellen &amp; Annahmen'!$B$2</f>
        <v>1.5231398949772961E-5</v>
      </c>
      <c r="M569" s="7" t="s">
        <v>187</v>
      </c>
      <c r="N569" s="7" t="s">
        <v>188</v>
      </c>
    </row>
    <row r="570" spans="1:14" ht="18" customHeight="1">
      <c r="A570">
        <v>569</v>
      </c>
      <c r="B570" t="s">
        <v>655</v>
      </c>
      <c r="C570" t="s">
        <v>38</v>
      </c>
      <c r="D570" s="2">
        <v>0</v>
      </c>
      <c r="E570" s="2">
        <v>0</v>
      </c>
      <c r="F570" s="2">
        <v>0</v>
      </c>
      <c r="G570" s="2">
        <v>0</v>
      </c>
      <c r="H570" s="2">
        <v>1.6815600000000002</v>
      </c>
      <c r="I570" s="2">
        <v>0</v>
      </c>
      <c r="J570" s="5">
        <f t="shared" si="16"/>
        <v>1.6815600000000002</v>
      </c>
      <c r="K570" s="5">
        <f t="shared" si="17"/>
        <v>1.6815600000000002</v>
      </c>
      <c r="L570" s="6">
        <f>K570/'Quellen &amp; Annahmen'!$B$2</f>
        <v>1.5231398949772961E-5</v>
      </c>
      <c r="M570" s="7" t="s">
        <v>187</v>
      </c>
      <c r="N570" s="7" t="s">
        <v>188</v>
      </c>
    </row>
    <row r="571" spans="1:14" ht="18" customHeight="1">
      <c r="A571">
        <v>570</v>
      </c>
      <c r="B571" t="s">
        <v>656</v>
      </c>
      <c r="C571" t="s">
        <v>38</v>
      </c>
      <c r="D571" s="2">
        <v>0</v>
      </c>
      <c r="E571" s="2">
        <v>0</v>
      </c>
      <c r="F571" s="2">
        <v>0</v>
      </c>
      <c r="G571" s="2">
        <v>0</v>
      </c>
      <c r="H571" s="2">
        <v>1.6815600000000002</v>
      </c>
      <c r="I571" s="2">
        <v>0</v>
      </c>
      <c r="J571" s="5">
        <f t="shared" si="16"/>
        <v>1.6815600000000002</v>
      </c>
      <c r="K571" s="5">
        <f t="shared" si="17"/>
        <v>1.6815600000000002</v>
      </c>
      <c r="L571" s="6">
        <f>K571/'Quellen &amp; Annahmen'!$B$2</f>
        <v>1.5231398949772961E-5</v>
      </c>
      <c r="M571" s="7" t="s">
        <v>187</v>
      </c>
      <c r="N571" s="7" t="s">
        <v>188</v>
      </c>
    </row>
    <row r="572" spans="1:14" ht="18" customHeight="1">
      <c r="A572">
        <v>571</v>
      </c>
      <c r="B572" t="s">
        <v>657</v>
      </c>
      <c r="C572" t="s">
        <v>23</v>
      </c>
      <c r="D572" s="2">
        <v>0</v>
      </c>
      <c r="E572" s="2">
        <v>0</v>
      </c>
      <c r="F572" s="2">
        <v>0</v>
      </c>
      <c r="G572" s="2">
        <v>0</v>
      </c>
      <c r="H572" s="2">
        <v>1.6815600000000002</v>
      </c>
      <c r="I572" s="2">
        <v>0</v>
      </c>
      <c r="J572" s="5">
        <f t="shared" si="16"/>
        <v>1.6815600000000002</v>
      </c>
      <c r="K572" s="5">
        <f t="shared" si="17"/>
        <v>1.6815600000000002</v>
      </c>
      <c r="L572" s="6">
        <f>K572/'Quellen &amp; Annahmen'!$B$2</f>
        <v>1.5231398949772961E-5</v>
      </c>
      <c r="M572" s="7" t="s">
        <v>187</v>
      </c>
      <c r="N572" s="7" t="s">
        <v>188</v>
      </c>
    </row>
    <row r="573" spans="1:14" ht="18" customHeight="1">
      <c r="A573">
        <v>572</v>
      </c>
      <c r="B573" t="s">
        <v>658</v>
      </c>
      <c r="C573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1.6815600000000002</v>
      </c>
      <c r="I573" s="2">
        <v>0</v>
      </c>
      <c r="J573" s="5">
        <f t="shared" si="16"/>
        <v>1.6815600000000002</v>
      </c>
      <c r="K573" s="5">
        <f t="shared" si="17"/>
        <v>1.6815600000000002</v>
      </c>
      <c r="L573" s="6">
        <f>K573/'Quellen &amp; Annahmen'!$B$2</f>
        <v>1.5231398949772961E-5</v>
      </c>
      <c r="M573" s="7" t="s">
        <v>187</v>
      </c>
      <c r="N573" s="7" t="s">
        <v>188</v>
      </c>
    </row>
    <row r="574" spans="1:14" ht="18" customHeight="1">
      <c r="A574">
        <v>573</v>
      </c>
      <c r="B574" t="s">
        <v>659</v>
      </c>
      <c r="C574" t="s">
        <v>108</v>
      </c>
      <c r="D574" s="2">
        <v>0</v>
      </c>
      <c r="E574" s="2">
        <v>0</v>
      </c>
      <c r="F574" s="2">
        <v>0</v>
      </c>
      <c r="G574" s="2">
        <v>0</v>
      </c>
      <c r="H574" s="2">
        <v>1.6815600000000002</v>
      </c>
      <c r="I574" s="2">
        <v>0</v>
      </c>
      <c r="J574" s="5">
        <f t="shared" si="16"/>
        <v>1.6815600000000002</v>
      </c>
      <c r="K574" s="5">
        <f t="shared" si="17"/>
        <v>1.6815600000000002</v>
      </c>
      <c r="L574" s="6">
        <f>K574/'Quellen &amp; Annahmen'!$B$2</f>
        <v>1.5231398949772961E-5</v>
      </c>
      <c r="M574" s="7" t="s">
        <v>187</v>
      </c>
      <c r="N574" s="7" t="s">
        <v>188</v>
      </c>
    </row>
    <row r="575" spans="1:14" ht="18" customHeight="1">
      <c r="A575">
        <v>574</v>
      </c>
      <c r="B575" t="s">
        <v>660</v>
      </c>
      <c r="C575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1.6815600000000002</v>
      </c>
      <c r="I575" s="2">
        <v>0</v>
      </c>
      <c r="J575" s="5">
        <f t="shared" si="16"/>
        <v>1.6815600000000002</v>
      </c>
      <c r="K575" s="5">
        <f t="shared" si="17"/>
        <v>1.6815600000000002</v>
      </c>
      <c r="L575" s="6">
        <f>K575/'Quellen &amp; Annahmen'!$B$2</f>
        <v>1.5231398949772961E-5</v>
      </c>
      <c r="M575" s="7" t="s">
        <v>187</v>
      </c>
      <c r="N575" s="7" t="s">
        <v>188</v>
      </c>
    </row>
    <row r="576" spans="1:14" ht="18" customHeight="1">
      <c r="A576">
        <v>575</v>
      </c>
      <c r="B576" t="s">
        <v>661</v>
      </c>
      <c r="C576" t="s">
        <v>41</v>
      </c>
      <c r="D576" s="2">
        <v>0</v>
      </c>
      <c r="E576" s="2">
        <v>0</v>
      </c>
      <c r="F576" s="2">
        <v>0</v>
      </c>
      <c r="G576" s="2">
        <v>0</v>
      </c>
      <c r="H576" s="2">
        <v>1.6815600000000002</v>
      </c>
      <c r="I576" s="2">
        <v>0</v>
      </c>
      <c r="J576" s="5">
        <f t="shared" si="16"/>
        <v>1.6815600000000002</v>
      </c>
      <c r="K576" s="5">
        <f t="shared" si="17"/>
        <v>1.6815600000000002</v>
      </c>
      <c r="L576" s="6">
        <f>K576/'Quellen &amp; Annahmen'!$B$2</f>
        <v>1.5231398949772961E-5</v>
      </c>
      <c r="M576" s="7" t="s">
        <v>187</v>
      </c>
      <c r="N576" s="7" t="s">
        <v>188</v>
      </c>
    </row>
    <row r="577" spans="1:14" ht="18" customHeight="1">
      <c r="A577">
        <v>576</v>
      </c>
      <c r="B577" t="s">
        <v>662</v>
      </c>
      <c r="C577" t="s">
        <v>33</v>
      </c>
      <c r="D577" s="2">
        <v>0</v>
      </c>
      <c r="E577" s="2">
        <v>0</v>
      </c>
      <c r="F577" s="2">
        <v>0</v>
      </c>
      <c r="G577" s="2">
        <v>0</v>
      </c>
      <c r="H577" s="2">
        <v>1.6815600000000002</v>
      </c>
      <c r="I577" s="2">
        <v>0</v>
      </c>
      <c r="J577" s="5">
        <f t="shared" si="16"/>
        <v>1.6815600000000002</v>
      </c>
      <c r="K577" s="5">
        <f t="shared" si="17"/>
        <v>1.6815600000000002</v>
      </c>
      <c r="L577" s="6">
        <f>K577/'Quellen &amp; Annahmen'!$B$2</f>
        <v>1.5231398949772961E-5</v>
      </c>
      <c r="M577" s="7" t="s">
        <v>187</v>
      </c>
      <c r="N577" s="7" t="s">
        <v>188</v>
      </c>
    </row>
    <row r="578" spans="1:14" ht="18" customHeight="1">
      <c r="A578">
        <v>577</v>
      </c>
      <c r="B578" t="s">
        <v>663</v>
      </c>
      <c r="C578" t="s">
        <v>27</v>
      </c>
      <c r="D578" s="2">
        <v>0</v>
      </c>
      <c r="E578" s="2">
        <v>0</v>
      </c>
      <c r="F578" s="2">
        <v>0</v>
      </c>
      <c r="G578" s="2">
        <v>0</v>
      </c>
      <c r="H578" s="2">
        <v>1.6815600000000002</v>
      </c>
      <c r="I578" s="2">
        <v>0</v>
      </c>
      <c r="J578" s="5">
        <f t="shared" ref="J578:J641" si="18">SUM(E578:I578)</f>
        <v>1.6815600000000002</v>
      </c>
      <c r="K578" s="5">
        <f t="shared" ref="K578:K641" si="19">D578+J578</f>
        <v>1.6815600000000002</v>
      </c>
      <c r="L578" s="6">
        <f>K578/'Quellen &amp; Annahmen'!$B$2</f>
        <v>1.5231398949772961E-5</v>
      </c>
      <c r="M578" s="7" t="s">
        <v>187</v>
      </c>
      <c r="N578" s="7" t="s">
        <v>188</v>
      </c>
    </row>
    <row r="579" spans="1:14" ht="18" customHeight="1">
      <c r="A579">
        <v>578</v>
      </c>
      <c r="B579" t="s">
        <v>664</v>
      </c>
      <c r="C579" t="s">
        <v>41</v>
      </c>
      <c r="D579" s="2">
        <v>0</v>
      </c>
      <c r="E579" s="2">
        <v>0</v>
      </c>
      <c r="F579" s="2">
        <v>0</v>
      </c>
      <c r="G579" s="2">
        <v>0</v>
      </c>
      <c r="H579" s="2">
        <v>1.6815600000000002</v>
      </c>
      <c r="I579" s="2">
        <v>0</v>
      </c>
      <c r="J579" s="5">
        <f t="shared" si="18"/>
        <v>1.6815600000000002</v>
      </c>
      <c r="K579" s="5">
        <f t="shared" si="19"/>
        <v>1.6815600000000002</v>
      </c>
      <c r="L579" s="6">
        <f>K579/'Quellen &amp; Annahmen'!$B$2</f>
        <v>1.5231398949772961E-5</v>
      </c>
      <c r="M579" s="7" t="s">
        <v>187</v>
      </c>
      <c r="N579" s="7" t="s">
        <v>188</v>
      </c>
    </row>
    <row r="580" spans="1:14" ht="18" customHeight="1">
      <c r="A580">
        <v>579</v>
      </c>
      <c r="B580" t="s">
        <v>665</v>
      </c>
      <c r="C580" t="s">
        <v>108</v>
      </c>
      <c r="D580" s="2">
        <v>0</v>
      </c>
      <c r="E580" s="2">
        <v>0</v>
      </c>
      <c r="F580" s="2">
        <v>0</v>
      </c>
      <c r="G580" s="2">
        <v>0</v>
      </c>
      <c r="H580" s="2">
        <v>1.6815600000000002</v>
      </c>
      <c r="I580" s="2">
        <v>0</v>
      </c>
      <c r="J580" s="5">
        <f t="shared" si="18"/>
        <v>1.6815600000000002</v>
      </c>
      <c r="K580" s="5">
        <f t="shared" si="19"/>
        <v>1.6815600000000002</v>
      </c>
      <c r="L580" s="6">
        <f>K580/'Quellen &amp; Annahmen'!$B$2</f>
        <v>1.5231398949772961E-5</v>
      </c>
      <c r="M580" s="7" t="s">
        <v>187</v>
      </c>
      <c r="N580" s="7" t="s">
        <v>188</v>
      </c>
    </row>
    <row r="581" spans="1:14" ht="18" customHeight="1">
      <c r="A581">
        <v>580</v>
      </c>
      <c r="B581" t="s">
        <v>666</v>
      </c>
      <c r="C581" t="s">
        <v>38</v>
      </c>
      <c r="D581" s="2">
        <v>0</v>
      </c>
      <c r="E581" s="2">
        <v>0</v>
      </c>
      <c r="F581" s="2">
        <v>0</v>
      </c>
      <c r="G581" s="2">
        <v>0</v>
      </c>
      <c r="H581" s="2">
        <v>1.6815600000000002</v>
      </c>
      <c r="I581" s="2">
        <v>0</v>
      </c>
      <c r="J581" s="5">
        <f t="shared" si="18"/>
        <v>1.6815600000000002</v>
      </c>
      <c r="K581" s="5">
        <f t="shared" si="19"/>
        <v>1.6815600000000002</v>
      </c>
      <c r="L581" s="6">
        <f>K581/'Quellen &amp; Annahmen'!$B$2</f>
        <v>1.5231398949772961E-5</v>
      </c>
      <c r="M581" s="7" t="s">
        <v>187</v>
      </c>
      <c r="N581" s="7" t="s">
        <v>188</v>
      </c>
    </row>
    <row r="582" spans="1:14" ht="18" customHeight="1">
      <c r="A582">
        <v>581</v>
      </c>
      <c r="B582" t="s">
        <v>667</v>
      </c>
      <c r="C582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1.6815600000000002</v>
      </c>
      <c r="I582" s="2">
        <v>0</v>
      </c>
      <c r="J582" s="5">
        <f t="shared" si="18"/>
        <v>1.6815600000000002</v>
      </c>
      <c r="K582" s="5">
        <f t="shared" si="19"/>
        <v>1.6815600000000002</v>
      </c>
      <c r="L582" s="6">
        <f>K582/'Quellen &amp; Annahmen'!$B$2</f>
        <v>1.5231398949772961E-5</v>
      </c>
      <c r="M582" s="7" t="s">
        <v>187</v>
      </c>
      <c r="N582" s="7" t="s">
        <v>188</v>
      </c>
    </row>
    <row r="583" spans="1:14" ht="18" customHeight="1">
      <c r="A583">
        <v>582</v>
      </c>
      <c r="B583" t="s">
        <v>668</v>
      </c>
      <c r="C583" t="s">
        <v>25</v>
      </c>
      <c r="D583" s="2">
        <v>0</v>
      </c>
      <c r="E583" s="2">
        <v>0</v>
      </c>
      <c r="F583" s="2">
        <v>0</v>
      </c>
      <c r="G583" s="2">
        <v>0</v>
      </c>
      <c r="H583" s="2">
        <v>1.6815600000000002</v>
      </c>
      <c r="I583" s="2">
        <v>0</v>
      </c>
      <c r="J583" s="5">
        <f t="shared" si="18"/>
        <v>1.6815600000000002</v>
      </c>
      <c r="K583" s="5">
        <f t="shared" si="19"/>
        <v>1.6815600000000002</v>
      </c>
      <c r="L583" s="6">
        <f>K583/'Quellen &amp; Annahmen'!$B$2</f>
        <v>1.5231398949772961E-5</v>
      </c>
      <c r="M583" s="7" t="s">
        <v>187</v>
      </c>
      <c r="N583" s="7" t="s">
        <v>188</v>
      </c>
    </row>
    <row r="584" spans="1:14" ht="18" customHeight="1">
      <c r="A584">
        <v>583</v>
      </c>
      <c r="B584" t="s">
        <v>669</v>
      </c>
      <c r="C584" t="s">
        <v>33</v>
      </c>
      <c r="D584" s="2">
        <v>0</v>
      </c>
      <c r="E584" s="2">
        <v>0</v>
      </c>
      <c r="F584" s="2">
        <v>0</v>
      </c>
      <c r="G584" s="2">
        <v>0</v>
      </c>
      <c r="H584" s="2">
        <v>1.6815600000000002</v>
      </c>
      <c r="I584" s="2">
        <v>0</v>
      </c>
      <c r="J584" s="5">
        <f t="shared" si="18"/>
        <v>1.6815600000000002</v>
      </c>
      <c r="K584" s="5">
        <f t="shared" si="19"/>
        <v>1.6815600000000002</v>
      </c>
      <c r="L584" s="6">
        <f>K584/'Quellen &amp; Annahmen'!$B$2</f>
        <v>1.5231398949772961E-5</v>
      </c>
      <c r="M584" s="7" t="s">
        <v>187</v>
      </c>
      <c r="N584" s="7" t="s">
        <v>188</v>
      </c>
    </row>
    <row r="585" spans="1:14" ht="18" customHeight="1">
      <c r="A585">
        <v>584</v>
      </c>
      <c r="B585" t="s">
        <v>670</v>
      </c>
      <c r="C585" t="s">
        <v>25</v>
      </c>
      <c r="D585" s="2">
        <v>0</v>
      </c>
      <c r="E585" s="2">
        <v>0</v>
      </c>
      <c r="F585" s="2">
        <v>0</v>
      </c>
      <c r="G585" s="2">
        <v>0</v>
      </c>
      <c r="H585" s="2">
        <v>1.6815600000000002</v>
      </c>
      <c r="I585" s="2">
        <v>0</v>
      </c>
      <c r="J585" s="5">
        <f t="shared" si="18"/>
        <v>1.6815600000000002</v>
      </c>
      <c r="K585" s="5">
        <f t="shared" si="19"/>
        <v>1.6815600000000002</v>
      </c>
      <c r="L585" s="6">
        <f>K585/'Quellen &amp; Annahmen'!$B$2</f>
        <v>1.5231398949772961E-5</v>
      </c>
      <c r="M585" s="7" t="s">
        <v>187</v>
      </c>
      <c r="N585" s="7" t="s">
        <v>188</v>
      </c>
    </row>
    <row r="586" spans="1:14" ht="18" customHeight="1">
      <c r="A586">
        <v>585</v>
      </c>
      <c r="B586" t="s">
        <v>671</v>
      </c>
      <c r="C586" t="s">
        <v>33</v>
      </c>
      <c r="D586" s="2">
        <v>0</v>
      </c>
      <c r="E586" s="2">
        <v>0</v>
      </c>
      <c r="F586" s="2">
        <v>0</v>
      </c>
      <c r="G586" s="2">
        <v>0</v>
      </c>
      <c r="H586" s="2">
        <v>1.6815600000000002</v>
      </c>
      <c r="I586" s="2">
        <v>0</v>
      </c>
      <c r="J586" s="5">
        <f t="shared" si="18"/>
        <v>1.6815600000000002</v>
      </c>
      <c r="K586" s="5">
        <f t="shared" si="19"/>
        <v>1.6815600000000002</v>
      </c>
      <c r="L586" s="6">
        <f>K586/'Quellen &amp; Annahmen'!$B$2</f>
        <v>1.5231398949772961E-5</v>
      </c>
      <c r="M586" s="7" t="s">
        <v>187</v>
      </c>
      <c r="N586" s="7" t="s">
        <v>188</v>
      </c>
    </row>
    <row r="587" spans="1:14" ht="18" customHeight="1">
      <c r="A587">
        <v>586</v>
      </c>
      <c r="B587" t="s">
        <v>672</v>
      </c>
      <c r="C587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1.6815600000000002</v>
      </c>
      <c r="I587" s="2">
        <v>0</v>
      </c>
      <c r="J587" s="5">
        <f t="shared" si="18"/>
        <v>1.6815600000000002</v>
      </c>
      <c r="K587" s="5">
        <f t="shared" si="19"/>
        <v>1.6815600000000002</v>
      </c>
      <c r="L587" s="6">
        <f>K587/'Quellen &amp; Annahmen'!$B$2</f>
        <v>1.5231398949772961E-5</v>
      </c>
      <c r="M587" s="7" t="s">
        <v>187</v>
      </c>
      <c r="N587" s="7" t="s">
        <v>188</v>
      </c>
    </row>
    <row r="588" spans="1:14" ht="18" customHeight="1">
      <c r="A588">
        <v>587</v>
      </c>
      <c r="B588" t="s">
        <v>673</v>
      </c>
      <c r="C588" t="s">
        <v>263</v>
      </c>
      <c r="D588" s="2">
        <v>0</v>
      </c>
      <c r="E588" s="2">
        <v>0</v>
      </c>
      <c r="F588" s="2">
        <v>0</v>
      </c>
      <c r="G588" s="2">
        <v>0</v>
      </c>
      <c r="H588" s="2">
        <v>1.6815600000000002</v>
      </c>
      <c r="I588" s="2">
        <v>0</v>
      </c>
      <c r="J588" s="5">
        <f t="shared" si="18"/>
        <v>1.6815600000000002</v>
      </c>
      <c r="K588" s="5">
        <f t="shared" si="19"/>
        <v>1.6815600000000002</v>
      </c>
      <c r="L588" s="6">
        <f>K588/'Quellen &amp; Annahmen'!$B$2</f>
        <v>1.5231398949772961E-5</v>
      </c>
      <c r="M588" s="7" t="s">
        <v>187</v>
      </c>
      <c r="N588" s="7" t="s">
        <v>188</v>
      </c>
    </row>
    <row r="589" spans="1:14" ht="18" customHeight="1">
      <c r="A589">
        <v>588</v>
      </c>
      <c r="B589" t="s">
        <v>674</v>
      </c>
      <c r="C589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1.6815600000000002</v>
      </c>
      <c r="I589" s="2">
        <v>0</v>
      </c>
      <c r="J589" s="5">
        <f t="shared" si="18"/>
        <v>1.6815600000000002</v>
      </c>
      <c r="K589" s="5">
        <f t="shared" si="19"/>
        <v>1.6815600000000002</v>
      </c>
      <c r="L589" s="6">
        <f>K589/'Quellen &amp; Annahmen'!$B$2</f>
        <v>1.5231398949772961E-5</v>
      </c>
      <c r="M589" s="7" t="s">
        <v>187</v>
      </c>
      <c r="N589" s="7" t="s">
        <v>188</v>
      </c>
    </row>
    <row r="590" spans="1:14" ht="18" customHeight="1">
      <c r="A590">
        <v>589</v>
      </c>
      <c r="B590" t="s">
        <v>675</v>
      </c>
      <c r="C590" t="s">
        <v>41</v>
      </c>
      <c r="D590" s="2">
        <v>0</v>
      </c>
      <c r="E590" s="2">
        <v>0</v>
      </c>
      <c r="F590" s="2">
        <v>0</v>
      </c>
      <c r="G590" s="2">
        <v>0</v>
      </c>
      <c r="H590" s="2">
        <v>1.6815600000000002</v>
      </c>
      <c r="I590" s="2">
        <v>0</v>
      </c>
      <c r="J590" s="5">
        <f t="shared" si="18"/>
        <v>1.6815600000000002</v>
      </c>
      <c r="K590" s="5">
        <f t="shared" si="19"/>
        <v>1.6815600000000002</v>
      </c>
      <c r="L590" s="6">
        <f>K590/'Quellen &amp; Annahmen'!$B$2</f>
        <v>1.5231398949772961E-5</v>
      </c>
      <c r="M590" s="7" t="s">
        <v>187</v>
      </c>
      <c r="N590" s="7" t="s">
        <v>188</v>
      </c>
    </row>
    <row r="591" spans="1:14" ht="18" customHeight="1">
      <c r="A591">
        <v>590</v>
      </c>
      <c r="B591" t="s">
        <v>676</v>
      </c>
      <c r="C591" t="s">
        <v>23</v>
      </c>
      <c r="D591" s="2">
        <v>0</v>
      </c>
      <c r="E591" s="2">
        <v>0</v>
      </c>
      <c r="F591" s="2">
        <v>0</v>
      </c>
      <c r="G591" s="2">
        <v>0</v>
      </c>
      <c r="H591" s="2">
        <v>1.6815600000000002</v>
      </c>
      <c r="I591" s="2">
        <v>0</v>
      </c>
      <c r="J591" s="5">
        <f t="shared" si="18"/>
        <v>1.6815600000000002</v>
      </c>
      <c r="K591" s="5">
        <f t="shared" si="19"/>
        <v>1.6815600000000002</v>
      </c>
      <c r="L591" s="6">
        <f>K591/'Quellen &amp; Annahmen'!$B$2</f>
        <v>1.5231398949772961E-5</v>
      </c>
      <c r="M591" s="7" t="s">
        <v>187</v>
      </c>
      <c r="N591" s="7" t="s">
        <v>188</v>
      </c>
    </row>
    <row r="592" spans="1:14" ht="18" customHeight="1">
      <c r="A592">
        <v>591</v>
      </c>
      <c r="B592" t="s">
        <v>677</v>
      </c>
      <c r="C592" t="s">
        <v>27</v>
      </c>
      <c r="D592" s="2">
        <v>0</v>
      </c>
      <c r="E592" s="2">
        <v>0</v>
      </c>
      <c r="F592" s="2">
        <v>0</v>
      </c>
      <c r="G592" s="2">
        <v>0</v>
      </c>
      <c r="H592" s="2">
        <v>1.6815600000000002</v>
      </c>
      <c r="I592" s="2">
        <v>0</v>
      </c>
      <c r="J592" s="5">
        <f t="shared" si="18"/>
        <v>1.6815600000000002</v>
      </c>
      <c r="K592" s="5">
        <f t="shared" si="19"/>
        <v>1.6815600000000002</v>
      </c>
      <c r="L592" s="6">
        <f>K592/'Quellen &amp; Annahmen'!$B$2</f>
        <v>1.5231398949772961E-5</v>
      </c>
      <c r="M592" s="7" t="s">
        <v>187</v>
      </c>
      <c r="N592" s="7" t="s">
        <v>188</v>
      </c>
    </row>
    <row r="593" spans="1:14" ht="18" customHeight="1">
      <c r="A593">
        <v>592</v>
      </c>
      <c r="B593" t="s">
        <v>678</v>
      </c>
      <c r="C593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1.6815600000000002</v>
      </c>
      <c r="I593" s="2">
        <v>0</v>
      </c>
      <c r="J593" s="5">
        <f t="shared" si="18"/>
        <v>1.6815600000000002</v>
      </c>
      <c r="K593" s="5">
        <f t="shared" si="19"/>
        <v>1.6815600000000002</v>
      </c>
      <c r="L593" s="6">
        <f>K593/'Quellen &amp; Annahmen'!$B$2</f>
        <v>1.5231398949772961E-5</v>
      </c>
      <c r="M593" s="7" t="s">
        <v>187</v>
      </c>
      <c r="N593" s="7" t="s">
        <v>188</v>
      </c>
    </row>
    <row r="594" spans="1:14" ht="18" customHeight="1">
      <c r="A594">
        <v>593</v>
      </c>
      <c r="B594" t="s">
        <v>679</v>
      </c>
      <c r="C594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1.6815600000000002</v>
      </c>
      <c r="I594" s="2">
        <v>0</v>
      </c>
      <c r="J594" s="5">
        <f t="shared" si="18"/>
        <v>1.6815600000000002</v>
      </c>
      <c r="K594" s="5">
        <f t="shared" si="19"/>
        <v>1.6815600000000002</v>
      </c>
      <c r="L594" s="6">
        <f>K594/'Quellen &amp; Annahmen'!$B$2</f>
        <v>1.5231398949772961E-5</v>
      </c>
      <c r="M594" s="7" t="s">
        <v>187</v>
      </c>
      <c r="N594" s="7" t="s">
        <v>188</v>
      </c>
    </row>
    <row r="595" spans="1:14" ht="18" customHeight="1">
      <c r="A595">
        <v>594</v>
      </c>
      <c r="B595" t="s">
        <v>680</v>
      </c>
      <c r="C595" t="s">
        <v>23</v>
      </c>
      <c r="D595" s="2">
        <v>0</v>
      </c>
      <c r="E595" s="2">
        <v>0</v>
      </c>
      <c r="F595" s="2">
        <v>0</v>
      </c>
      <c r="G595" s="2">
        <v>0</v>
      </c>
      <c r="H595" s="2">
        <v>1.6815600000000002</v>
      </c>
      <c r="I595" s="2">
        <v>0</v>
      </c>
      <c r="J595" s="5">
        <f t="shared" si="18"/>
        <v>1.6815600000000002</v>
      </c>
      <c r="K595" s="5">
        <f t="shared" si="19"/>
        <v>1.6815600000000002</v>
      </c>
      <c r="L595" s="6">
        <f>K595/'Quellen &amp; Annahmen'!$B$2</f>
        <v>1.5231398949772961E-5</v>
      </c>
      <c r="M595" s="7" t="s">
        <v>187</v>
      </c>
      <c r="N595" s="7" t="s">
        <v>188</v>
      </c>
    </row>
    <row r="596" spans="1:14" ht="18" customHeight="1">
      <c r="A596">
        <v>595</v>
      </c>
      <c r="B596" t="s">
        <v>681</v>
      </c>
      <c r="C596" t="s">
        <v>38</v>
      </c>
      <c r="D596" s="2">
        <v>0</v>
      </c>
      <c r="E596" s="2">
        <v>0</v>
      </c>
      <c r="F596" s="2">
        <v>0</v>
      </c>
      <c r="G596" s="2">
        <v>0</v>
      </c>
      <c r="H596" s="2">
        <v>1.6815600000000002</v>
      </c>
      <c r="I596" s="2">
        <v>0</v>
      </c>
      <c r="J596" s="5">
        <f t="shared" si="18"/>
        <v>1.6815600000000002</v>
      </c>
      <c r="K596" s="5">
        <f t="shared" si="19"/>
        <v>1.6815600000000002</v>
      </c>
      <c r="L596" s="6">
        <f>K596/'Quellen &amp; Annahmen'!$B$2</f>
        <v>1.5231398949772961E-5</v>
      </c>
      <c r="M596" s="7" t="s">
        <v>187</v>
      </c>
      <c r="N596" s="7" t="s">
        <v>188</v>
      </c>
    </row>
    <row r="597" spans="1:14" ht="18" customHeight="1">
      <c r="A597">
        <v>596</v>
      </c>
      <c r="B597" t="s">
        <v>682</v>
      </c>
      <c r="C597" t="s">
        <v>263</v>
      </c>
      <c r="D597" s="2">
        <v>0</v>
      </c>
      <c r="E597" s="2">
        <v>0</v>
      </c>
      <c r="F597" s="2">
        <v>0</v>
      </c>
      <c r="G597" s="2">
        <v>0</v>
      </c>
      <c r="H597" s="2">
        <v>1.6815600000000002</v>
      </c>
      <c r="I597" s="2">
        <v>0</v>
      </c>
      <c r="J597" s="5">
        <f t="shared" si="18"/>
        <v>1.6815600000000002</v>
      </c>
      <c r="K597" s="5">
        <f t="shared" si="19"/>
        <v>1.6815600000000002</v>
      </c>
      <c r="L597" s="6">
        <f>K597/'Quellen &amp; Annahmen'!$B$2</f>
        <v>1.5231398949772961E-5</v>
      </c>
      <c r="M597" s="7" t="s">
        <v>187</v>
      </c>
      <c r="N597" s="7" t="s">
        <v>188</v>
      </c>
    </row>
    <row r="598" spans="1:14" ht="18" customHeight="1">
      <c r="A598">
        <v>597</v>
      </c>
      <c r="B598" t="s">
        <v>683</v>
      </c>
      <c r="C598" t="s">
        <v>108</v>
      </c>
      <c r="D598" s="2">
        <v>0</v>
      </c>
      <c r="E598" s="2">
        <v>0</v>
      </c>
      <c r="F598" s="2">
        <v>0</v>
      </c>
      <c r="G598" s="2">
        <v>0</v>
      </c>
      <c r="H598" s="2">
        <v>1.6815600000000002</v>
      </c>
      <c r="I598" s="2">
        <v>0</v>
      </c>
      <c r="J598" s="5">
        <f t="shared" si="18"/>
        <v>1.6815600000000002</v>
      </c>
      <c r="K598" s="5">
        <f t="shared" si="19"/>
        <v>1.6815600000000002</v>
      </c>
      <c r="L598" s="6">
        <f>K598/'Quellen &amp; Annahmen'!$B$2</f>
        <v>1.5231398949772961E-5</v>
      </c>
      <c r="M598" s="7" t="s">
        <v>187</v>
      </c>
      <c r="N598" s="7" t="s">
        <v>188</v>
      </c>
    </row>
    <row r="599" spans="1:14" ht="18" customHeight="1">
      <c r="A599">
        <v>598</v>
      </c>
      <c r="B599" t="s">
        <v>684</v>
      </c>
      <c r="C599" t="s">
        <v>25</v>
      </c>
      <c r="D599" s="2">
        <v>0</v>
      </c>
      <c r="E599" s="2">
        <v>0</v>
      </c>
      <c r="F599" s="2">
        <v>0</v>
      </c>
      <c r="G599" s="2">
        <v>0</v>
      </c>
      <c r="H599" s="2">
        <v>1.6815600000000002</v>
      </c>
      <c r="I599" s="2">
        <v>0</v>
      </c>
      <c r="J599" s="5">
        <f t="shared" si="18"/>
        <v>1.6815600000000002</v>
      </c>
      <c r="K599" s="5">
        <f t="shared" si="19"/>
        <v>1.6815600000000002</v>
      </c>
      <c r="L599" s="6">
        <f>K599/'Quellen &amp; Annahmen'!$B$2</f>
        <v>1.5231398949772961E-5</v>
      </c>
      <c r="M599" s="7" t="s">
        <v>187</v>
      </c>
      <c r="N599" s="7" t="s">
        <v>188</v>
      </c>
    </row>
    <row r="600" spans="1:14" ht="18" customHeight="1">
      <c r="A600">
        <v>599</v>
      </c>
      <c r="B600" t="s">
        <v>685</v>
      </c>
      <c r="C600" t="s">
        <v>25</v>
      </c>
      <c r="D600" s="2">
        <v>0</v>
      </c>
      <c r="E600" s="2">
        <v>0</v>
      </c>
      <c r="F600" s="2">
        <v>0</v>
      </c>
      <c r="G600" s="2">
        <v>0</v>
      </c>
      <c r="H600" s="2">
        <v>1.6815600000000002</v>
      </c>
      <c r="I600" s="2">
        <v>0</v>
      </c>
      <c r="J600" s="5">
        <f t="shared" si="18"/>
        <v>1.6815600000000002</v>
      </c>
      <c r="K600" s="5">
        <f t="shared" si="19"/>
        <v>1.6815600000000002</v>
      </c>
      <c r="L600" s="6">
        <f>K600/'Quellen &amp; Annahmen'!$B$2</f>
        <v>1.5231398949772961E-5</v>
      </c>
      <c r="M600" s="7" t="s">
        <v>187</v>
      </c>
      <c r="N600" s="7" t="s">
        <v>188</v>
      </c>
    </row>
    <row r="601" spans="1:14" ht="18" customHeight="1">
      <c r="A601">
        <v>600</v>
      </c>
      <c r="B601" t="s">
        <v>686</v>
      </c>
      <c r="C601" t="s">
        <v>38</v>
      </c>
      <c r="D601" s="2">
        <v>0</v>
      </c>
      <c r="E601" s="2">
        <v>0</v>
      </c>
      <c r="F601" s="2">
        <v>0</v>
      </c>
      <c r="G601" s="2">
        <v>0</v>
      </c>
      <c r="H601" s="2">
        <v>1.6815600000000002</v>
      </c>
      <c r="I601" s="2">
        <v>0</v>
      </c>
      <c r="J601" s="5">
        <f t="shared" si="18"/>
        <v>1.6815600000000002</v>
      </c>
      <c r="K601" s="5">
        <f t="shared" si="19"/>
        <v>1.6815600000000002</v>
      </c>
      <c r="L601" s="6">
        <f>K601/'Quellen &amp; Annahmen'!$B$2</f>
        <v>1.5231398949772961E-5</v>
      </c>
      <c r="M601" s="7" t="s">
        <v>187</v>
      </c>
      <c r="N601" s="7" t="s">
        <v>188</v>
      </c>
    </row>
    <row r="602" spans="1:14" ht="18" customHeight="1">
      <c r="A602">
        <v>601</v>
      </c>
      <c r="B602" t="s">
        <v>687</v>
      </c>
      <c r="C602" t="s">
        <v>23</v>
      </c>
      <c r="D602" s="2">
        <v>0</v>
      </c>
      <c r="E602" s="2">
        <v>0</v>
      </c>
      <c r="F602" s="2">
        <v>0</v>
      </c>
      <c r="G602" s="2">
        <v>0</v>
      </c>
      <c r="H602" s="2">
        <v>1.6815600000000002</v>
      </c>
      <c r="I602" s="2">
        <v>0</v>
      </c>
      <c r="J602" s="5">
        <f t="shared" si="18"/>
        <v>1.6815600000000002</v>
      </c>
      <c r="K602" s="5">
        <f t="shared" si="19"/>
        <v>1.6815600000000002</v>
      </c>
      <c r="L602" s="6">
        <f>K602/'Quellen &amp; Annahmen'!$B$2</f>
        <v>1.5231398949772961E-5</v>
      </c>
      <c r="M602" s="7" t="s">
        <v>187</v>
      </c>
      <c r="N602" s="7" t="s">
        <v>188</v>
      </c>
    </row>
    <row r="603" spans="1:14" ht="18" customHeight="1">
      <c r="A603">
        <v>602</v>
      </c>
      <c r="B603" t="s">
        <v>688</v>
      </c>
      <c r="C603" t="s">
        <v>108</v>
      </c>
      <c r="D603" s="2">
        <v>0</v>
      </c>
      <c r="E603" s="2">
        <v>0</v>
      </c>
      <c r="F603" s="2">
        <v>0</v>
      </c>
      <c r="G603" s="2">
        <v>0</v>
      </c>
      <c r="H603" s="2">
        <v>1.6815600000000002</v>
      </c>
      <c r="I603" s="2">
        <v>0</v>
      </c>
      <c r="J603" s="5">
        <f t="shared" si="18"/>
        <v>1.6815600000000002</v>
      </c>
      <c r="K603" s="5">
        <f t="shared" si="19"/>
        <v>1.6815600000000002</v>
      </c>
      <c r="L603" s="6">
        <f>K603/'Quellen &amp; Annahmen'!$B$2</f>
        <v>1.5231398949772961E-5</v>
      </c>
      <c r="M603" s="7" t="s">
        <v>187</v>
      </c>
      <c r="N603" s="7" t="s">
        <v>188</v>
      </c>
    </row>
    <row r="604" spans="1:14" ht="18" customHeight="1">
      <c r="A604">
        <v>603</v>
      </c>
      <c r="B604" t="s">
        <v>689</v>
      </c>
      <c r="C604" t="s">
        <v>38</v>
      </c>
      <c r="D604" s="2">
        <v>0</v>
      </c>
      <c r="E604" s="2">
        <v>0</v>
      </c>
      <c r="F604" s="2">
        <v>0</v>
      </c>
      <c r="G604" s="2">
        <v>0</v>
      </c>
      <c r="H604" s="2">
        <v>1.6815600000000002</v>
      </c>
      <c r="I604" s="2">
        <v>0</v>
      </c>
      <c r="J604" s="5">
        <f t="shared" si="18"/>
        <v>1.6815600000000002</v>
      </c>
      <c r="K604" s="5">
        <f t="shared" si="19"/>
        <v>1.6815600000000002</v>
      </c>
      <c r="L604" s="6">
        <f>K604/'Quellen &amp; Annahmen'!$B$2</f>
        <v>1.5231398949772961E-5</v>
      </c>
      <c r="M604" s="7" t="s">
        <v>187</v>
      </c>
      <c r="N604" s="7" t="s">
        <v>188</v>
      </c>
    </row>
    <row r="605" spans="1:14" ht="18" customHeight="1">
      <c r="A605">
        <v>604</v>
      </c>
      <c r="B605" t="s">
        <v>690</v>
      </c>
      <c r="C605" t="s">
        <v>23</v>
      </c>
      <c r="D605" s="2">
        <v>0</v>
      </c>
      <c r="E605" s="2">
        <v>0</v>
      </c>
      <c r="F605" s="2">
        <v>0</v>
      </c>
      <c r="G605" s="2">
        <v>0</v>
      </c>
      <c r="H605" s="2">
        <v>1.6815600000000002</v>
      </c>
      <c r="I605" s="2">
        <v>0</v>
      </c>
      <c r="J605" s="5">
        <f t="shared" si="18"/>
        <v>1.6815600000000002</v>
      </c>
      <c r="K605" s="5">
        <f t="shared" si="19"/>
        <v>1.6815600000000002</v>
      </c>
      <c r="L605" s="6">
        <f>K605/'Quellen &amp; Annahmen'!$B$2</f>
        <v>1.5231398949772961E-5</v>
      </c>
      <c r="M605" s="7" t="s">
        <v>187</v>
      </c>
      <c r="N605" s="7" t="s">
        <v>188</v>
      </c>
    </row>
    <row r="606" spans="1:14" ht="18" customHeight="1">
      <c r="A606">
        <v>605</v>
      </c>
      <c r="B606" t="s">
        <v>691</v>
      </c>
      <c r="C606" t="s">
        <v>23</v>
      </c>
      <c r="D606" s="2">
        <v>0</v>
      </c>
      <c r="E606" s="2">
        <v>0</v>
      </c>
      <c r="F606" s="2">
        <v>0</v>
      </c>
      <c r="G606" s="2">
        <v>0</v>
      </c>
      <c r="H606" s="2">
        <v>1.6815600000000002</v>
      </c>
      <c r="I606" s="2">
        <v>0</v>
      </c>
      <c r="J606" s="5">
        <f t="shared" si="18"/>
        <v>1.6815600000000002</v>
      </c>
      <c r="K606" s="5">
        <f t="shared" si="19"/>
        <v>1.6815600000000002</v>
      </c>
      <c r="L606" s="6">
        <f>K606/'Quellen &amp; Annahmen'!$B$2</f>
        <v>1.5231398949772961E-5</v>
      </c>
      <c r="M606" s="7" t="s">
        <v>187</v>
      </c>
      <c r="N606" s="7" t="s">
        <v>188</v>
      </c>
    </row>
    <row r="607" spans="1:14" ht="18" customHeight="1">
      <c r="A607">
        <v>606</v>
      </c>
      <c r="B607" t="s">
        <v>692</v>
      </c>
      <c r="C607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0.336312</v>
      </c>
      <c r="I607" s="2">
        <v>1.255144</v>
      </c>
      <c r="J607" s="5">
        <f t="shared" si="18"/>
        <v>1.591456</v>
      </c>
      <c r="K607" s="5">
        <f t="shared" si="19"/>
        <v>1.591456</v>
      </c>
      <c r="L607" s="6">
        <f>K607/'Quellen &amp; Annahmen'!$B$2</f>
        <v>1.4415246108976114E-5</v>
      </c>
      <c r="M607" s="7" t="s">
        <v>179</v>
      </c>
      <c r="N607" s="7" t="s">
        <v>180</v>
      </c>
    </row>
    <row r="608" spans="1:14" ht="18" customHeight="1">
      <c r="A608">
        <v>607</v>
      </c>
      <c r="B608" t="s">
        <v>693</v>
      </c>
      <c r="C608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0.336312</v>
      </c>
      <c r="I608" s="2">
        <v>1.255144</v>
      </c>
      <c r="J608" s="5">
        <f t="shared" si="18"/>
        <v>1.591456</v>
      </c>
      <c r="K608" s="5">
        <f t="shared" si="19"/>
        <v>1.591456</v>
      </c>
      <c r="L608" s="6">
        <f>K608/'Quellen &amp; Annahmen'!$B$2</f>
        <v>1.4415246108976114E-5</v>
      </c>
      <c r="M608" s="7" t="s">
        <v>179</v>
      </c>
      <c r="N608" s="7" t="s">
        <v>180</v>
      </c>
    </row>
    <row r="609" spans="1:14" ht="18" customHeight="1">
      <c r="A609">
        <v>608</v>
      </c>
      <c r="B609" t="s">
        <v>694</v>
      </c>
      <c r="C609" t="s">
        <v>38</v>
      </c>
      <c r="D609" s="2">
        <v>0</v>
      </c>
      <c r="E609" s="2">
        <v>0</v>
      </c>
      <c r="F609" s="2">
        <v>0</v>
      </c>
      <c r="G609" s="2">
        <v>0</v>
      </c>
      <c r="H609" s="2">
        <v>0.336312</v>
      </c>
      <c r="I609" s="2">
        <v>1.255144</v>
      </c>
      <c r="J609" s="5">
        <f t="shared" si="18"/>
        <v>1.591456</v>
      </c>
      <c r="K609" s="5">
        <f t="shared" si="19"/>
        <v>1.591456</v>
      </c>
      <c r="L609" s="6">
        <f>K609/'Quellen &amp; Annahmen'!$B$2</f>
        <v>1.4415246108976114E-5</v>
      </c>
      <c r="M609" s="7" t="s">
        <v>179</v>
      </c>
      <c r="N609" s="7" t="s">
        <v>180</v>
      </c>
    </row>
    <row r="610" spans="1:14" ht="18" customHeight="1">
      <c r="A610">
        <v>609</v>
      </c>
      <c r="B610" t="s">
        <v>695</v>
      </c>
      <c r="C610" t="s">
        <v>41</v>
      </c>
      <c r="D610" s="2">
        <v>0</v>
      </c>
      <c r="E610" s="2">
        <v>0</v>
      </c>
      <c r="F610" s="2">
        <v>0</v>
      </c>
      <c r="G610" s="2">
        <v>0</v>
      </c>
      <c r="H610" s="2">
        <v>0.672624</v>
      </c>
      <c r="I610" s="2">
        <v>0.91283199999999998</v>
      </c>
      <c r="J610" s="5">
        <f t="shared" si="18"/>
        <v>1.585456</v>
      </c>
      <c r="K610" s="5">
        <f t="shared" si="19"/>
        <v>1.585456</v>
      </c>
      <c r="L610" s="6">
        <f>K610/'Quellen &amp; Annahmen'!$B$2</f>
        <v>1.4360898721015745E-5</v>
      </c>
      <c r="M610" s="7" t="s">
        <v>179</v>
      </c>
      <c r="N610" s="7" t="s">
        <v>180</v>
      </c>
    </row>
    <row r="611" spans="1:14" ht="18" customHeight="1">
      <c r="A611">
        <v>610</v>
      </c>
      <c r="B611" t="s">
        <v>696</v>
      </c>
      <c r="C611" t="s">
        <v>33</v>
      </c>
      <c r="D611" s="2">
        <v>0</v>
      </c>
      <c r="E611" s="2">
        <v>0</v>
      </c>
      <c r="F611" s="2">
        <v>0</v>
      </c>
      <c r="G611" s="2">
        <v>0</v>
      </c>
      <c r="H611" s="2">
        <v>0.672624</v>
      </c>
      <c r="I611" s="2">
        <v>0.91283199999999998</v>
      </c>
      <c r="J611" s="5">
        <f t="shared" si="18"/>
        <v>1.585456</v>
      </c>
      <c r="K611" s="5">
        <f t="shared" si="19"/>
        <v>1.585456</v>
      </c>
      <c r="L611" s="6">
        <f>K611/'Quellen &amp; Annahmen'!$B$2</f>
        <v>1.4360898721015745E-5</v>
      </c>
      <c r="M611" s="7" t="s">
        <v>179</v>
      </c>
      <c r="N611" s="7" t="s">
        <v>180</v>
      </c>
    </row>
    <row r="612" spans="1:14" ht="18" customHeight="1">
      <c r="A612">
        <v>611</v>
      </c>
      <c r="B612" t="s">
        <v>697</v>
      </c>
      <c r="C612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0.672624</v>
      </c>
      <c r="I612" s="2">
        <v>0.91283199999999998</v>
      </c>
      <c r="J612" s="5">
        <f t="shared" si="18"/>
        <v>1.585456</v>
      </c>
      <c r="K612" s="5">
        <f t="shared" si="19"/>
        <v>1.585456</v>
      </c>
      <c r="L612" s="6">
        <f>K612/'Quellen &amp; Annahmen'!$B$2</f>
        <v>1.4360898721015745E-5</v>
      </c>
      <c r="M612" s="7" t="s">
        <v>179</v>
      </c>
      <c r="N612" s="7" t="s">
        <v>180</v>
      </c>
    </row>
    <row r="613" spans="1:14" ht="18" customHeight="1">
      <c r="A613">
        <v>612</v>
      </c>
      <c r="B613" t="s">
        <v>698</v>
      </c>
      <c r="C613" t="s">
        <v>263</v>
      </c>
      <c r="D613" s="2">
        <v>0</v>
      </c>
      <c r="E613" s="2">
        <v>0</v>
      </c>
      <c r="F613" s="2">
        <v>0</v>
      </c>
      <c r="G613" s="2">
        <v>0</v>
      </c>
      <c r="H613" s="2">
        <v>0.672624</v>
      </c>
      <c r="I613" s="2">
        <v>0.91283199999999998</v>
      </c>
      <c r="J613" s="5">
        <f t="shared" si="18"/>
        <v>1.585456</v>
      </c>
      <c r="K613" s="5">
        <f t="shared" si="19"/>
        <v>1.585456</v>
      </c>
      <c r="L613" s="6">
        <f>K613/'Quellen &amp; Annahmen'!$B$2</f>
        <v>1.4360898721015745E-5</v>
      </c>
      <c r="M613" s="7" t="s">
        <v>179</v>
      </c>
      <c r="N613" s="7" t="s">
        <v>180</v>
      </c>
    </row>
    <row r="614" spans="1:14" ht="18" customHeight="1">
      <c r="A614">
        <v>613</v>
      </c>
      <c r="B614" t="s">
        <v>699</v>
      </c>
      <c r="C614" t="s">
        <v>124</v>
      </c>
      <c r="D614" s="2">
        <v>0</v>
      </c>
      <c r="E614" s="2">
        <v>0</v>
      </c>
      <c r="F614" s="2">
        <v>0</v>
      </c>
      <c r="G614" s="2">
        <v>0</v>
      </c>
      <c r="H614" s="2">
        <v>0.672624</v>
      </c>
      <c r="I614" s="2">
        <v>0.91283199999999998</v>
      </c>
      <c r="J614" s="5">
        <f t="shared" si="18"/>
        <v>1.585456</v>
      </c>
      <c r="K614" s="5">
        <f t="shared" si="19"/>
        <v>1.585456</v>
      </c>
      <c r="L614" s="6">
        <f>K614/'Quellen &amp; Annahmen'!$B$2</f>
        <v>1.4360898721015745E-5</v>
      </c>
      <c r="M614" s="7" t="s">
        <v>179</v>
      </c>
      <c r="N614" s="7" t="s">
        <v>180</v>
      </c>
    </row>
    <row r="615" spans="1:14" ht="18" customHeight="1">
      <c r="A615">
        <v>614</v>
      </c>
      <c r="B615" t="s">
        <v>700</v>
      </c>
      <c r="C615" t="s">
        <v>33</v>
      </c>
      <c r="D615" s="2">
        <v>0</v>
      </c>
      <c r="E615" s="2">
        <v>0</v>
      </c>
      <c r="F615" s="2">
        <v>0</v>
      </c>
      <c r="G615" s="2">
        <v>0</v>
      </c>
      <c r="H615" s="2">
        <v>0.672624</v>
      </c>
      <c r="I615" s="2">
        <v>0.91283199999999998</v>
      </c>
      <c r="J615" s="5">
        <f t="shared" si="18"/>
        <v>1.585456</v>
      </c>
      <c r="K615" s="5">
        <f t="shared" si="19"/>
        <v>1.585456</v>
      </c>
      <c r="L615" s="6">
        <f>K615/'Quellen &amp; Annahmen'!$B$2</f>
        <v>1.4360898721015745E-5</v>
      </c>
      <c r="M615" s="7" t="s">
        <v>179</v>
      </c>
      <c r="N615" s="7" t="s">
        <v>180</v>
      </c>
    </row>
    <row r="616" spans="1:14" ht="18" customHeight="1">
      <c r="A616">
        <v>615</v>
      </c>
      <c r="B616" t="s">
        <v>701</v>
      </c>
      <c r="C616" t="s">
        <v>27</v>
      </c>
      <c r="D616" s="2">
        <v>0</v>
      </c>
      <c r="E616" s="2">
        <v>0</v>
      </c>
      <c r="F616" s="2">
        <v>0</v>
      </c>
      <c r="G616" s="2">
        <v>0</v>
      </c>
      <c r="H616" s="2">
        <v>0.336312</v>
      </c>
      <c r="I616" s="2">
        <v>1.1410400000000001</v>
      </c>
      <c r="J616" s="5">
        <f t="shared" si="18"/>
        <v>1.477352</v>
      </c>
      <c r="K616" s="5">
        <f t="shared" si="19"/>
        <v>1.477352</v>
      </c>
      <c r="L616" s="6">
        <f>K616/'Quellen &amp; Annahmen'!$B$2</f>
        <v>1.3381703716337794E-5</v>
      </c>
      <c r="M616" s="7" t="s">
        <v>179</v>
      </c>
      <c r="N616" s="7" t="s">
        <v>180</v>
      </c>
    </row>
    <row r="617" spans="1:14" ht="18" customHeight="1">
      <c r="A617">
        <v>616</v>
      </c>
      <c r="B617" t="s">
        <v>702</v>
      </c>
      <c r="C617" t="s">
        <v>38</v>
      </c>
      <c r="D617" s="2">
        <v>0</v>
      </c>
      <c r="E617" s="2">
        <v>0</v>
      </c>
      <c r="F617" s="2">
        <v>0</v>
      </c>
      <c r="G617" s="2">
        <v>0</v>
      </c>
      <c r="H617" s="2">
        <v>0.336312</v>
      </c>
      <c r="I617" s="2">
        <v>1.1410400000000001</v>
      </c>
      <c r="J617" s="5">
        <f t="shared" si="18"/>
        <v>1.477352</v>
      </c>
      <c r="K617" s="5">
        <f t="shared" si="19"/>
        <v>1.477352</v>
      </c>
      <c r="L617" s="6">
        <f>K617/'Quellen &amp; Annahmen'!$B$2</f>
        <v>1.3381703716337794E-5</v>
      </c>
      <c r="M617" s="7" t="s">
        <v>179</v>
      </c>
      <c r="N617" s="7" t="s">
        <v>180</v>
      </c>
    </row>
    <row r="618" spans="1:14" ht="18" customHeight="1">
      <c r="A618">
        <v>617</v>
      </c>
      <c r="B618" t="s">
        <v>703</v>
      </c>
      <c r="C618" t="s">
        <v>41</v>
      </c>
      <c r="D618" s="2">
        <v>0</v>
      </c>
      <c r="E618" s="2">
        <v>0</v>
      </c>
      <c r="F618" s="2">
        <v>0</v>
      </c>
      <c r="G618" s="2">
        <v>0</v>
      </c>
      <c r="H618" s="2">
        <v>0.336312</v>
      </c>
      <c r="I618" s="2">
        <v>1.1410400000000001</v>
      </c>
      <c r="J618" s="5">
        <f t="shared" si="18"/>
        <v>1.477352</v>
      </c>
      <c r="K618" s="5">
        <f t="shared" si="19"/>
        <v>1.477352</v>
      </c>
      <c r="L618" s="6">
        <f>K618/'Quellen &amp; Annahmen'!$B$2</f>
        <v>1.3381703716337794E-5</v>
      </c>
      <c r="M618" s="7" t="s">
        <v>179</v>
      </c>
      <c r="N618" s="7" t="s">
        <v>180</v>
      </c>
    </row>
    <row r="619" spans="1:14" ht="18" customHeight="1">
      <c r="A619">
        <v>618</v>
      </c>
      <c r="B619" t="s">
        <v>704</v>
      </c>
      <c r="C619" t="s">
        <v>50</v>
      </c>
      <c r="D619" s="2">
        <v>0</v>
      </c>
      <c r="E619" s="2">
        <v>0</v>
      </c>
      <c r="F619" s="2">
        <v>0</v>
      </c>
      <c r="G619" s="2">
        <v>0</v>
      </c>
      <c r="H619" s="2">
        <v>0.336312</v>
      </c>
      <c r="I619" s="2">
        <v>1.1410400000000001</v>
      </c>
      <c r="J619" s="5">
        <f t="shared" si="18"/>
        <v>1.477352</v>
      </c>
      <c r="K619" s="5">
        <f t="shared" si="19"/>
        <v>1.477352</v>
      </c>
      <c r="L619" s="6">
        <f>K619/'Quellen &amp; Annahmen'!$B$2</f>
        <v>1.3381703716337794E-5</v>
      </c>
      <c r="M619" s="7" t="s">
        <v>179</v>
      </c>
      <c r="N619" s="7" t="s">
        <v>180</v>
      </c>
    </row>
    <row r="620" spans="1:14" ht="18" customHeight="1">
      <c r="A620">
        <v>619</v>
      </c>
      <c r="B620" t="s">
        <v>705</v>
      </c>
      <c r="C620" t="s">
        <v>50</v>
      </c>
      <c r="D620" s="2">
        <v>0</v>
      </c>
      <c r="E620" s="2">
        <v>0</v>
      </c>
      <c r="F620" s="2">
        <v>0</v>
      </c>
      <c r="G620" s="2">
        <v>0</v>
      </c>
      <c r="H620" s="2">
        <v>0.336312</v>
      </c>
      <c r="I620" s="2">
        <v>1.1410400000000001</v>
      </c>
      <c r="J620" s="5">
        <f t="shared" si="18"/>
        <v>1.477352</v>
      </c>
      <c r="K620" s="5">
        <f t="shared" si="19"/>
        <v>1.477352</v>
      </c>
      <c r="L620" s="6">
        <f>K620/'Quellen &amp; Annahmen'!$B$2</f>
        <v>1.3381703716337794E-5</v>
      </c>
      <c r="M620" s="7" t="s">
        <v>179</v>
      </c>
      <c r="N620" s="7" t="s">
        <v>180</v>
      </c>
    </row>
    <row r="621" spans="1:14" ht="18" customHeight="1">
      <c r="A621">
        <v>620</v>
      </c>
      <c r="B621" t="s">
        <v>706</v>
      </c>
      <c r="C621" t="s">
        <v>38</v>
      </c>
      <c r="D621" s="2">
        <v>0</v>
      </c>
      <c r="E621" s="2">
        <v>0</v>
      </c>
      <c r="F621" s="2">
        <v>0</v>
      </c>
      <c r="G621" s="2">
        <v>0</v>
      </c>
      <c r="H621" s="2">
        <v>0.336312</v>
      </c>
      <c r="I621" s="2">
        <v>1.1410400000000001</v>
      </c>
      <c r="J621" s="5">
        <f t="shared" si="18"/>
        <v>1.477352</v>
      </c>
      <c r="K621" s="5">
        <f t="shared" si="19"/>
        <v>1.477352</v>
      </c>
      <c r="L621" s="6">
        <f>K621/'Quellen &amp; Annahmen'!$B$2</f>
        <v>1.3381703716337794E-5</v>
      </c>
      <c r="M621" s="7" t="s">
        <v>179</v>
      </c>
      <c r="N621" s="7" t="s">
        <v>180</v>
      </c>
    </row>
    <row r="622" spans="1:14" ht="18" customHeight="1">
      <c r="A622">
        <v>621</v>
      </c>
      <c r="B622" t="s">
        <v>707</v>
      </c>
      <c r="C622" t="s">
        <v>23</v>
      </c>
      <c r="D622" s="2">
        <v>0</v>
      </c>
      <c r="E622" s="2">
        <v>0</v>
      </c>
      <c r="F622" s="2">
        <v>0</v>
      </c>
      <c r="G622" s="2">
        <v>0</v>
      </c>
      <c r="H622" s="2">
        <v>0.672624</v>
      </c>
      <c r="I622" s="2">
        <v>0.79872799999999999</v>
      </c>
      <c r="J622" s="5">
        <f t="shared" si="18"/>
        <v>1.471352</v>
      </c>
      <c r="K622" s="5">
        <f t="shared" si="19"/>
        <v>1.471352</v>
      </c>
      <c r="L622" s="6">
        <f>K622/'Quellen &amp; Annahmen'!$B$2</f>
        <v>1.3327356328377425E-5</v>
      </c>
      <c r="M622" s="7" t="s">
        <v>179</v>
      </c>
      <c r="N622" s="7" t="s">
        <v>180</v>
      </c>
    </row>
    <row r="623" spans="1:14" ht="18" customHeight="1">
      <c r="A623">
        <v>622</v>
      </c>
      <c r="B623" t="s">
        <v>708</v>
      </c>
      <c r="C623" t="s">
        <v>23</v>
      </c>
      <c r="D623" s="2">
        <v>0</v>
      </c>
      <c r="E623" s="2">
        <v>0</v>
      </c>
      <c r="F623" s="2">
        <v>0</v>
      </c>
      <c r="G623" s="2">
        <v>0</v>
      </c>
      <c r="H623" s="2">
        <v>0.672624</v>
      </c>
      <c r="I623" s="2">
        <v>0.79872799999999999</v>
      </c>
      <c r="J623" s="5">
        <f t="shared" si="18"/>
        <v>1.471352</v>
      </c>
      <c r="K623" s="5">
        <f t="shared" si="19"/>
        <v>1.471352</v>
      </c>
      <c r="L623" s="6">
        <f>K623/'Quellen &amp; Annahmen'!$B$2</f>
        <v>1.3327356328377425E-5</v>
      </c>
      <c r="M623" s="7" t="s">
        <v>179</v>
      </c>
      <c r="N623" s="7" t="s">
        <v>180</v>
      </c>
    </row>
    <row r="624" spans="1:14" ht="18" customHeight="1">
      <c r="A624">
        <v>623</v>
      </c>
      <c r="B624" t="s">
        <v>709</v>
      </c>
      <c r="C624" t="s">
        <v>23</v>
      </c>
      <c r="D624" s="2">
        <v>0</v>
      </c>
      <c r="E624" s="2">
        <v>0</v>
      </c>
      <c r="F624" s="2">
        <v>0</v>
      </c>
      <c r="G624" s="2">
        <v>0</v>
      </c>
      <c r="H624" s="2">
        <v>0.672624</v>
      </c>
      <c r="I624" s="2">
        <v>0.79872799999999999</v>
      </c>
      <c r="J624" s="5">
        <f t="shared" si="18"/>
        <v>1.471352</v>
      </c>
      <c r="K624" s="5">
        <f t="shared" si="19"/>
        <v>1.471352</v>
      </c>
      <c r="L624" s="6">
        <f>K624/'Quellen &amp; Annahmen'!$B$2</f>
        <v>1.3327356328377425E-5</v>
      </c>
      <c r="M624" s="7" t="s">
        <v>179</v>
      </c>
      <c r="N624" s="7" t="s">
        <v>180</v>
      </c>
    </row>
    <row r="625" spans="1:14" ht="18" customHeight="1">
      <c r="A625">
        <v>624</v>
      </c>
      <c r="B625" t="s">
        <v>710</v>
      </c>
      <c r="C625" t="s">
        <v>23</v>
      </c>
      <c r="D625" s="2">
        <v>0</v>
      </c>
      <c r="E625" s="2">
        <v>0</v>
      </c>
      <c r="F625" s="2">
        <v>0</v>
      </c>
      <c r="G625" s="2">
        <v>0</v>
      </c>
      <c r="H625" s="2">
        <v>0.672624</v>
      </c>
      <c r="I625" s="2">
        <v>0.79872799999999999</v>
      </c>
      <c r="J625" s="5">
        <f t="shared" si="18"/>
        <v>1.471352</v>
      </c>
      <c r="K625" s="5">
        <f t="shared" si="19"/>
        <v>1.471352</v>
      </c>
      <c r="L625" s="6">
        <f>K625/'Quellen &amp; Annahmen'!$B$2</f>
        <v>1.3327356328377425E-5</v>
      </c>
      <c r="M625" s="7" t="s">
        <v>179</v>
      </c>
      <c r="N625" s="7" t="s">
        <v>180</v>
      </c>
    </row>
    <row r="626" spans="1:14" ht="18" customHeight="1">
      <c r="A626">
        <v>625</v>
      </c>
      <c r="B626" t="s">
        <v>711</v>
      </c>
      <c r="C626" t="s">
        <v>23</v>
      </c>
      <c r="D626" s="2">
        <v>0</v>
      </c>
      <c r="E626" s="2">
        <v>0</v>
      </c>
      <c r="F626" s="2">
        <v>0</v>
      </c>
      <c r="G626" s="2">
        <v>0</v>
      </c>
      <c r="H626" s="2">
        <v>0.672624</v>
      </c>
      <c r="I626" s="2">
        <v>0.79872799999999999</v>
      </c>
      <c r="J626" s="5">
        <f t="shared" si="18"/>
        <v>1.471352</v>
      </c>
      <c r="K626" s="5">
        <f t="shared" si="19"/>
        <v>1.471352</v>
      </c>
      <c r="L626" s="6">
        <f>K626/'Quellen &amp; Annahmen'!$B$2</f>
        <v>1.3327356328377425E-5</v>
      </c>
      <c r="M626" s="7" t="s">
        <v>179</v>
      </c>
      <c r="N626" s="7" t="s">
        <v>180</v>
      </c>
    </row>
    <row r="627" spans="1:14" ht="18" customHeight="1">
      <c r="A627">
        <v>626</v>
      </c>
      <c r="B627" t="s">
        <v>712</v>
      </c>
      <c r="C627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0.336312</v>
      </c>
      <c r="I627" s="2">
        <v>1.0269359999999998</v>
      </c>
      <c r="J627" s="5">
        <f t="shared" si="18"/>
        <v>1.3632479999999998</v>
      </c>
      <c r="K627" s="5">
        <f t="shared" si="19"/>
        <v>1.3632479999999998</v>
      </c>
      <c r="L627" s="6">
        <f>K627/'Quellen &amp; Annahmen'!$B$2</f>
        <v>1.2348161323699472E-5</v>
      </c>
      <c r="M627" s="7" t="s">
        <v>179</v>
      </c>
      <c r="N627" s="7" t="s">
        <v>180</v>
      </c>
    </row>
    <row r="628" spans="1:14" ht="18" customHeight="1">
      <c r="A628">
        <v>627</v>
      </c>
      <c r="B628" t="s">
        <v>713</v>
      </c>
      <c r="C628" t="s">
        <v>50</v>
      </c>
      <c r="D628" s="2">
        <v>0</v>
      </c>
      <c r="E628" s="2">
        <v>0</v>
      </c>
      <c r="F628" s="2">
        <v>0</v>
      </c>
      <c r="G628" s="2">
        <v>0</v>
      </c>
      <c r="H628" s="2">
        <v>0.336312</v>
      </c>
      <c r="I628" s="2">
        <v>1.0269359999999998</v>
      </c>
      <c r="J628" s="5">
        <f t="shared" si="18"/>
        <v>1.3632479999999998</v>
      </c>
      <c r="K628" s="5">
        <f t="shared" si="19"/>
        <v>1.3632479999999998</v>
      </c>
      <c r="L628" s="6">
        <f>K628/'Quellen &amp; Annahmen'!$B$2</f>
        <v>1.2348161323699472E-5</v>
      </c>
      <c r="M628" s="7" t="s">
        <v>179</v>
      </c>
      <c r="N628" s="7" t="s">
        <v>180</v>
      </c>
    </row>
    <row r="629" spans="1:14" ht="18" customHeight="1">
      <c r="A629">
        <v>628</v>
      </c>
      <c r="B629" t="s">
        <v>714</v>
      </c>
      <c r="C629" t="s">
        <v>50</v>
      </c>
      <c r="D629" s="2">
        <v>0</v>
      </c>
      <c r="E629" s="2">
        <v>0</v>
      </c>
      <c r="F629" s="2">
        <v>0</v>
      </c>
      <c r="G629" s="2">
        <v>0</v>
      </c>
      <c r="H629" s="2">
        <v>0.336312</v>
      </c>
      <c r="I629" s="2">
        <v>1.0269359999999998</v>
      </c>
      <c r="J629" s="5">
        <f t="shared" si="18"/>
        <v>1.3632479999999998</v>
      </c>
      <c r="K629" s="5">
        <f t="shared" si="19"/>
        <v>1.3632479999999998</v>
      </c>
      <c r="L629" s="6">
        <f>K629/'Quellen &amp; Annahmen'!$B$2</f>
        <v>1.2348161323699472E-5</v>
      </c>
      <c r="M629" s="7" t="s">
        <v>179</v>
      </c>
      <c r="N629" s="7" t="s">
        <v>180</v>
      </c>
    </row>
    <row r="630" spans="1:14" ht="18" customHeight="1">
      <c r="A630">
        <v>629</v>
      </c>
      <c r="B630" t="s">
        <v>715</v>
      </c>
      <c r="C630" t="s">
        <v>50</v>
      </c>
      <c r="D630" s="2">
        <v>0</v>
      </c>
      <c r="E630" s="2">
        <v>0</v>
      </c>
      <c r="F630" s="2">
        <v>0</v>
      </c>
      <c r="G630" s="2">
        <v>0</v>
      </c>
      <c r="H630" s="2">
        <v>0.336312</v>
      </c>
      <c r="I630" s="2">
        <v>1.0269359999999998</v>
      </c>
      <c r="J630" s="5">
        <f t="shared" si="18"/>
        <v>1.3632479999999998</v>
      </c>
      <c r="K630" s="5">
        <f t="shared" si="19"/>
        <v>1.3632479999999998</v>
      </c>
      <c r="L630" s="6">
        <f>K630/'Quellen &amp; Annahmen'!$B$2</f>
        <v>1.2348161323699472E-5</v>
      </c>
      <c r="M630" s="7" t="s">
        <v>179</v>
      </c>
      <c r="N630" s="7" t="s">
        <v>180</v>
      </c>
    </row>
    <row r="631" spans="1:14" ht="18" customHeight="1">
      <c r="A631">
        <v>630</v>
      </c>
      <c r="B631" t="s">
        <v>716</v>
      </c>
      <c r="C631" t="s">
        <v>33</v>
      </c>
      <c r="D631" s="2">
        <v>0</v>
      </c>
      <c r="E631" s="2">
        <v>0</v>
      </c>
      <c r="F631" s="2">
        <v>0</v>
      </c>
      <c r="G631" s="2">
        <v>0</v>
      </c>
      <c r="H631" s="2">
        <v>0.336312</v>
      </c>
      <c r="I631" s="2">
        <v>1.0269359999999998</v>
      </c>
      <c r="J631" s="5">
        <f t="shared" si="18"/>
        <v>1.3632479999999998</v>
      </c>
      <c r="K631" s="5">
        <f t="shared" si="19"/>
        <v>1.3632479999999998</v>
      </c>
      <c r="L631" s="6">
        <f>K631/'Quellen &amp; Annahmen'!$B$2</f>
        <v>1.2348161323699472E-5</v>
      </c>
      <c r="M631" s="7" t="s">
        <v>179</v>
      </c>
      <c r="N631" s="7" t="s">
        <v>180</v>
      </c>
    </row>
    <row r="632" spans="1:14" ht="18" customHeight="1">
      <c r="A632">
        <v>631</v>
      </c>
      <c r="B632" t="s">
        <v>717</v>
      </c>
      <c r="C632" t="s">
        <v>108</v>
      </c>
      <c r="D632" s="2">
        <v>0</v>
      </c>
      <c r="E632" s="2">
        <v>0</v>
      </c>
      <c r="F632" s="2">
        <v>0</v>
      </c>
      <c r="G632" s="2">
        <v>0</v>
      </c>
      <c r="H632" s="2">
        <v>0.336312</v>
      </c>
      <c r="I632" s="2">
        <v>1.0269359999999998</v>
      </c>
      <c r="J632" s="5">
        <f t="shared" si="18"/>
        <v>1.3632479999999998</v>
      </c>
      <c r="K632" s="5">
        <f t="shared" si="19"/>
        <v>1.3632479999999998</v>
      </c>
      <c r="L632" s="6">
        <f>K632/'Quellen &amp; Annahmen'!$B$2</f>
        <v>1.2348161323699472E-5</v>
      </c>
      <c r="M632" s="7" t="s">
        <v>179</v>
      </c>
      <c r="N632" s="7" t="s">
        <v>180</v>
      </c>
    </row>
    <row r="633" spans="1:14" ht="18" customHeight="1">
      <c r="A633">
        <v>632</v>
      </c>
      <c r="B633" t="s">
        <v>718</v>
      </c>
      <c r="C633" t="s">
        <v>108</v>
      </c>
      <c r="D633" s="2">
        <v>0</v>
      </c>
      <c r="E633" s="2">
        <v>0</v>
      </c>
      <c r="F633" s="2">
        <v>0</v>
      </c>
      <c r="G633" s="2">
        <v>0</v>
      </c>
      <c r="H633" s="2">
        <v>0.336312</v>
      </c>
      <c r="I633" s="2">
        <v>1.0269359999999998</v>
      </c>
      <c r="J633" s="5">
        <f t="shared" si="18"/>
        <v>1.3632479999999998</v>
      </c>
      <c r="K633" s="5">
        <f t="shared" si="19"/>
        <v>1.3632479999999998</v>
      </c>
      <c r="L633" s="6">
        <f>K633/'Quellen &amp; Annahmen'!$B$2</f>
        <v>1.2348161323699472E-5</v>
      </c>
      <c r="M633" s="7" t="s">
        <v>179</v>
      </c>
      <c r="N633" s="7" t="s">
        <v>180</v>
      </c>
    </row>
    <row r="634" spans="1:14" ht="18" customHeight="1">
      <c r="A634">
        <v>633</v>
      </c>
      <c r="B634" t="s">
        <v>719</v>
      </c>
      <c r="C634" t="s">
        <v>50</v>
      </c>
      <c r="D634" s="2">
        <v>0</v>
      </c>
      <c r="E634" s="2">
        <v>0</v>
      </c>
      <c r="F634" s="2">
        <v>0</v>
      </c>
      <c r="G634" s="2">
        <v>0</v>
      </c>
      <c r="H634" s="2">
        <v>0.336312</v>
      </c>
      <c r="I634" s="2">
        <v>1.0269359999999998</v>
      </c>
      <c r="J634" s="5">
        <f t="shared" si="18"/>
        <v>1.3632479999999998</v>
      </c>
      <c r="K634" s="5">
        <f t="shared" si="19"/>
        <v>1.3632479999999998</v>
      </c>
      <c r="L634" s="6">
        <f>K634/'Quellen &amp; Annahmen'!$B$2</f>
        <v>1.2348161323699472E-5</v>
      </c>
      <c r="M634" s="7" t="s">
        <v>179</v>
      </c>
      <c r="N634" s="7" t="s">
        <v>180</v>
      </c>
    </row>
    <row r="635" spans="1:14" ht="18" customHeight="1">
      <c r="A635">
        <v>634</v>
      </c>
      <c r="B635" t="s">
        <v>720</v>
      </c>
      <c r="C635" t="s">
        <v>108</v>
      </c>
      <c r="D635" s="2">
        <v>0</v>
      </c>
      <c r="E635" s="2">
        <v>0</v>
      </c>
      <c r="F635" s="2">
        <v>0</v>
      </c>
      <c r="G635" s="2">
        <v>0</v>
      </c>
      <c r="H635" s="2">
        <v>0.336312</v>
      </c>
      <c r="I635" s="2">
        <v>1.0269359999999998</v>
      </c>
      <c r="J635" s="5">
        <f t="shared" si="18"/>
        <v>1.3632479999999998</v>
      </c>
      <c r="K635" s="5">
        <f t="shared" si="19"/>
        <v>1.3632479999999998</v>
      </c>
      <c r="L635" s="6">
        <f>K635/'Quellen &amp; Annahmen'!$B$2</f>
        <v>1.2348161323699472E-5</v>
      </c>
      <c r="M635" s="7" t="s">
        <v>179</v>
      </c>
      <c r="N635" s="7" t="s">
        <v>180</v>
      </c>
    </row>
    <row r="636" spans="1:14" ht="18" customHeight="1">
      <c r="A636">
        <v>635</v>
      </c>
      <c r="B636" t="s">
        <v>721</v>
      </c>
      <c r="C636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0.336312</v>
      </c>
      <c r="I636" s="2">
        <v>1.0269359999999998</v>
      </c>
      <c r="J636" s="5">
        <f t="shared" si="18"/>
        <v>1.3632479999999998</v>
      </c>
      <c r="K636" s="5">
        <f t="shared" si="19"/>
        <v>1.3632479999999998</v>
      </c>
      <c r="L636" s="6">
        <f>K636/'Quellen &amp; Annahmen'!$B$2</f>
        <v>1.2348161323699472E-5</v>
      </c>
      <c r="M636" s="7" t="s">
        <v>179</v>
      </c>
      <c r="N636" s="7" t="s">
        <v>180</v>
      </c>
    </row>
    <row r="637" spans="1:14" ht="18" customHeight="1">
      <c r="A637">
        <v>636</v>
      </c>
      <c r="B637" t="s">
        <v>722</v>
      </c>
      <c r="C637" t="s">
        <v>50</v>
      </c>
      <c r="D637" s="2">
        <v>0</v>
      </c>
      <c r="E637" s="2">
        <v>0</v>
      </c>
      <c r="F637" s="2">
        <v>0</v>
      </c>
      <c r="G637" s="2">
        <v>0</v>
      </c>
      <c r="H637" s="2">
        <v>0.336312</v>
      </c>
      <c r="I637" s="2">
        <v>1.0269359999999998</v>
      </c>
      <c r="J637" s="5">
        <f t="shared" si="18"/>
        <v>1.3632479999999998</v>
      </c>
      <c r="K637" s="5">
        <f t="shared" si="19"/>
        <v>1.3632479999999998</v>
      </c>
      <c r="L637" s="6">
        <f>K637/'Quellen &amp; Annahmen'!$B$2</f>
        <v>1.2348161323699472E-5</v>
      </c>
      <c r="M637" s="7" t="s">
        <v>179</v>
      </c>
      <c r="N637" s="7" t="s">
        <v>180</v>
      </c>
    </row>
    <row r="638" spans="1:14" ht="18" customHeight="1">
      <c r="A638">
        <v>637</v>
      </c>
      <c r="B638" t="s">
        <v>723</v>
      </c>
      <c r="C638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0.336312</v>
      </c>
      <c r="I638" s="2">
        <v>1.0269359999999998</v>
      </c>
      <c r="J638" s="5">
        <f t="shared" si="18"/>
        <v>1.3632479999999998</v>
      </c>
      <c r="K638" s="5">
        <f t="shared" si="19"/>
        <v>1.3632479999999998</v>
      </c>
      <c r="L638" s="6">
        <f>K638/'Quellen &amp; Annahmen'!$B$2</f>
        <v>1.2348161323699472E-5</v>
      </c>
      <c r="M638" s="7" t="s">
        <v>179</v>
      </c>
      <c r="N638" s="7" t="s">
        <v>180</v>
      </c>
    </row>
    <row r="639" spans="1:14" ht="18" customHeight="1">
      <c r="A639">
        <v>638</v>
      </c>
      <c r="B639" t="s">
        <v>724</v>
      </c>
      <c r="C639" t="s">
        <v>124</v>
      </c>
      <c r="D639" s="2">
        <v>0</v>
      </c>
      <c r="E639" s="2">
        <v>0</v>
      </c>
      <c r="F639" s="2">
        <v>0</v>
      </c>
      <c r="G639" s="2">
        <v>0</v>
      </c>
      <c r="H639" s="2">
        <v>0.672624</v>
      </c>
      <c r="I639" s="2">
        <v>0.68462400000000001</v>
      </c>
      <c r="J639" s="5">
        <f t="shared" si="18"/>
        <v>1.357248</v>
      </c>
      <c r="K639" s="5">
        <f t="shared" si="19"/>
        <v>1.357248</v>
      </c>
      <c r="L639" s="6">
        <f>K639/'Quellen &amp; Annahmen'!$B$2</f>
        <v>1.2293813935739106E-5</v>
      </c>
      <c r="M639" s="7" t="s">
        <v>179</v>
      </c>
      <c r="N639" s="7" t="s">
        <v>180</v>
      </c>
    </row>
    <row r="640" spans="1:14" ht="18" customHeight="1">
      <c r="A640">
        <v>639</v>
      </c>
      <c r="B640" t="s">
        <v>725</v>
      </c>
      <c r="C640" t="s">
        <v>23</v>
      </c>
      <c r="D640" s="2">
        <v>0</v>
      </c>
      <c r="E640" s="2">
        <v>0</v>
      </c>
      <c r="F640" s="2">
        <v>0</v>
      </c>
      <c r="G640" s="2">
        <v>0</v>
      </c>
      <c r="H640" s="2">
        <v>0.672624</v>
      </c>
      <c r="I640" s="2">
        <v>0.68462400000000001</v>
      </c>
      <c r="J640" s="5">
        <f t="shared" si="18"/>
        <v>1.357248</v>
      </c>
      <c r="K640" s="5">
        <f t="shared" si="19"/>
        <v>1.357248</v>
      </c>
      <c r="L640" s="6">
        <f>K640/'Quellen &amp; Annahmen'!$B$2</f>
        <v>1.2293813935739106E-5</v>
      </c>
      <c r="M640" s="7" t="s">
        <v>179</v>
      </c>
      <c r="N640" s="7" t="s">
        <v>180</v>
      </c>
    </row>
    <row r="641" spans="1:14" ht="18" customHeight="1">
      <c r="A641">
        <v>640</v>
      </c>
      <c r="B641" t="s">
        <v>726</v>
      </c>
      <c r="C641" t="s">
        <v>25</v>
      </c>
      <c r="D641" s="2">
        <v>0</v>
      </c>
      <c r="E641" s="2">
        <v>0</v>
      </c>
      <c r="F641" s="2">
        <v>0</v>
      </c>
      <c r="G641" s="2">
        <v>0</v>
      </c>
      <c r="H641" s="2">
        <v>0.672624</v>
      </c>
      <c r="I641" s="2">
        <v>0.68462400000000001</v>
      </c>
      <c r="J641" s="5">
        <f t="shared" si="18"/>
        <v>1.357248</v>
      </c>
      <c r="K641" s="5">
        <f t="shared" si="19"/>
        <v>1.357248</v>
      </c>
      <c r="L641" s="6">
        <f>K641/'Quellen &amp; Annahmen'!$B$2</f>
        <v>1.2293813935739106E-5</v>
      </c>
      <c r="M641" s="7" t="s">
        <v>179</v>
      </c>
      <c r="N641" s="7" t="s">
        <v>180</v>
      </c>
    </row>
    <row r="642" spans="1:14" ht="18" customHeight="1">
      <c r="A642">
        <v>641</v>
      </c>
      <c r="B642" t="s">
        <v>727</v>
      </c>
      <c r="C642" t="s">
        <v>108</v>
      </c>
      <c r="D642" s="2">
        <v>0</v>
      </c>
      <c r="E642" s="2">
        <v>0</v>
      </c>
      <c r="F642" s="2">
        <v>0</v>
      </c>
      <c r="G642" s="2">
        <v>0</v>
      </c>
      <c r="H642" s="2">
        <v>0.672624</v>
      </c>
      <c r="I642" s="2">
        <v>0.68462400000000001</v>
      </c>
      <c r="J642" s="5">
        <f t="shared" ref="J642:J705" si="20">SUM(E642:I642)</f>
        <v>1.357248</v>
      </c>
      <c r="K642" s="5">
        <f t="shared" ref="K642:K705" si="21">D642+J642</f>
        <v>1.357248</v>
      </c>
      <c r="L642" s="6">
        <f>K642/'Quellen &amp; Annahmen'!$B$2</f>
        <v>1.2293813935739106E-5</v>
      </c>
      <c r="M642" s="7" t="s">
        <v>179</v>
      </c>
      <c r="N642" s="7" t="s">
        <v>180</v>
      </c>
    </row>
    <row r="643" spans="1:14" ht="18" customHeight="1">
      <c r="A643">
        <v>642</v>
      </c>
      <c r="B643" t="s">
        <v>728</v>
      </c>
      <c r="C643" t="s">
        <v>23</v>
      </c>
      <c r="D643" s="2">
        <v>0</v>
      </c>
      <c r="E643" s="2">
        <v>0</v>
      </c>
      <c r="F643" s="2">
        <v>0</v>
      </c>
      <c r="G643" s="2">
        <v>0</v>
      </c>
      <c r="H643" s="2">
        <v>0.672624</v>
      </c>
      <c r="I643" s="2">
        <v>0.68462400000000001</v>
      </c>
      <c r="J643" s="5">
        <f t="shared" si="20"/>
        <v>1.357248</v>
      </c>
      <c r="K643" s="5">
        <f t="shared" si="21"/>
        <v>1.357248</v>
      </c>
      <c r="L643" s="6">
        <f>K643/'Quellen &amp; Annahmen'!$B$2</f>
        <v>1.2293813935739106E-5</v>
      </c>
      <c r="M643" s="7" t="s">
        <v>179</v>
      </c>
      <c r="N643" s="7" t="s">
        <v>180</v>
      </c>
    </row>
    <row r="644" spans="1:14" ht="18" customHeight="1">
      <c r="A644">
        <v>643</v>
      </c>
      <c r="B644" t="s">
        <v>729</v>
      </c>
      <c r="C644" t="s">
        <v>41</v>
      </c>
      <c r="D644" s="2">
        <v>0</v>
      </c>
      <c r="E644" s="2">
        <v>0</v>
      </c>
      <c r="F644" s="2">
        <v>0</v>
      </c>
      <c r="G644" s="2">
        <v>0</v>
      </c>
      <c r="H644" s="2">
        <v>0.672624</v>
      </c>
      <c r="I644" s="2">
        <v>0.68462400000000001</v>
      </c>
      <c r="J644" s="5">
        <f t="shared" si="20"/>
        <v>1.357248</v>
      </c>
      <c r="K644" s="5">
        <f t="shared" si="21"/>
        <v>1.357248</v>
      </c>
      <c r="L644" s="6">
        <f>K644/'Quellen &amp; Annahmen'!$B$2</f>
        <v>1.2293813935739106E-5</v>
      </c>
      <c r="M644" s="7" t="s">
        <v>179</v>
      </c>
      <c r="N644" s="7" t="s">
        <v>180</v>
      </c>
    </row>
    <row r="645" spans="1:14" ht="18" customHeight="1">
      <c r="A645">
        <v>644</v>
      </c>
      <c r="B645" t="s">
        <v>730</v>
      </c>
      <c r="C645" t="s">
        <v>253</v>
      </c>
      <c r="D645" s="2">
        <v>0</v>
      </c>
      <c r="E645" s="2">
        <v>0</v>
      </c>
      <c r="F645" s="2">
        <v>0</v>
      </c>
      <c r="G645" s="2">
        <v>0</v>
      </c>
      <c r="H645" s="2">
        <v>0.672624</v>
      </c>
      <c r="I645" s="2">
        <v>0.68462400000000001</v>
      </c>
      <c r="J645" s="5">
        <f t="shared" si="20"/>
        <v>1.357248</v>
      </c>
      <c r="K645" s="5">
        <f t="shared" si="21"/>
        <v>1.357248</v>
      </c>
      <c r="L645" s="6">
        <f>K645/'Quellen &amp; Annahmen'!$B$2</f>
        <v>1.2293813935739106E-5</v>
      </c>
      <c r="M645" s="7" t="s">
        <v>179</v>
      </c>
      <c r="N645" s="7" t="s">
        <v>180</v>
      </c>
    </row>
    <row r="646" spans="1:14" ht="18" customHeight="1">
      <c r="A646">
        <v>645</v>
      </c>
      <c r="B646" t="s">
        <v>731</v>
      </c>
      <c r="C646" t="s">
        <v>23</v>
      </c>
      <c r="D646" s="2">
        <v>0</v>
      </c>
      <c r="E646" s="2">
        <v>0</v>
      </c>
      <c r="F646" s="2">
        <v>0</v>
      </c>
      <c r="G646" s="2">
        <v>0</v>
      </c>
      <c r="H646" s="2">
        <v>0.672624</v>
      </c>
      <c r="I646" s="2">
        <v>0.68462400000000001</v>
      </c>
      <c r="J646" s="5">
        <f t="shared" si="20"/>
        <v>1.357248</v>
      </c>
      <c r="K646" s="5">
        <f t="shared" si="21"/>
        <v>1.357248</v>
      </c>
      <c r="L646" s="6">
        <f>K646/'Quellen &amp; Annahmen'!$B$2</f>
        <v>1.2293813935739106E-5</v>
      </c>
      <c r="M646" s="7" t="s">
        <v>179</v>
      </c>
      <c r="N646" s="7" t="s">
        <v>180</v>
      </c>
    </row>
    <row r="647" spans="1:14" ht="18" customHeight="1">
      <c r="A647">
        <v>646</v>
      </c>
      <c r="B647" t="s">
        <v>732</v>
      </c>
      <c r="C647" t="s">
        <v>41</v>
      </c>
      <c r="D647" s="2">
        <v>0</v>
      </c>
      <c r="E647" s="2">
        <v>0</v>
      </c>
      <c r="F647" s="2">
        <v>0</v>
      </c>
      <c r="G647" s="2">
        <v>0</v>
      </c>
      <c r="H647" s="2">
        <v>0.672624</v>
      </c>
      <c r="I647" s="2">
        <v>0.68462400000000001</v>
      </c>
      <c r="J647" s="5">
        <f t="shared" si="20"/>
        <v>1.357248</v>
      </c>
      <c r="K647" s="5">
        <f t="shared" si="21"/>
        <v>1.357248</v>
      </c>
      <c r="L647" s="6">
        <f>K647/'Quellen &amp; Annahmen'!$B$2</f>
        <v>1.2293813935739106E-5</v>
      </c>
      <c r="M647" s="7" t="s">
        <v>179</v>
      </c>
      <c r="N647" s="7" t="s">
        <v>180</v>
      </c>
    </row>
    <row r="648" spans="1:14" ht="18" customHeight="1">
      <c r="A648">
        <v>647</v>
      </c>
      <c r="B648" t="s">
        <v>733</v>
      </c>
      <c r="C648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1.345248</v>
      </c>
      <c r="I648" s="2">
        <v>0</v>
      </c>
      <c r="J648" s="5">
        <f t="shared" si="20"/>
        <v>1.345248</v>
      </c>
      <c r="K648" s="5">
        <f t="shared" si="21"/>
        <v>1.345248</v>
      </c>
      <c r="L648" s="6">
        <f>K648/'Quellen &amp; Annahmen'!$B$2</f>
        <v>1.2185119159818368E-5</v>
      </c>
      <c r="M648" s="7" t="s">
        <v>187</v>
      </c>
      <c r="N648" s="7" t="s">
        <v>188</v>
      </c>
    </row>
    <row r="649" spans="1:14" ht="18" customHeight="1">
      <c r="A649">
        <v>648</v>
      </c>
      <c r="B649" t="s">
        <v>734</v>
      </c>
      <c r="C649" t="s">
        <v>263</v>
      </c>
      <c r="D649" s="2">
        <v>0</v>
      </c>
      <c r="E649" s="2">
        <v>0</v>
      </c>
      <c r="F649" s="2">
        <v>0</v>
      </c>
      <c r="G649" s="2">
        <v>0</v>
      </c>
      <c r="H649" s="2">
        <v>1.345248</v>
      </c>
      <c r="I649" s="2">
        <v>0</v>
      </c>
      <c r="J649" s="5">
        <f t="shared" si="20"/>
        <v>1.345248</v>
      </c>
      <c r="K649" s="5">
        <f t="shared" si="21"/>
        <v>1.345248</v>
      </c>
      <c r="L649" s="6">
        <f>K649/'Quellen &amp; Annahmen'!$B$2</f>
        <v>1.2185119159818368E-5</v>
      </c>
      <c r="M649" s="7" t="s">
        <v>187</v>
      </c>
      <c r="N649" s="7" t="s">
        <v>188</v>
      </c>
    </row>
    <row r="650" spans="1:14" ht="18" customHeight="1">
      <c r="A650">
        <v>649</v>
      </c>
      <c r="B650" t="s">
        <v>735</v>
      </c>
      <c r="C650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1.345248</v>
      </c>
      <c r="I650" s="2">
        <v>0</v>
      </c>
      <c r="J650" s="5">
        <f t="shared" si="20"/>
        <v>1.345248</v>
      </c>
      <c r="K650" s="5">
        <f t="shared" si="21"/>
        <v>1.345248</v>
      </c>
      <c r="L650" s="6">
        <f>K650/'Quellen &amp; Annahmen'!$B$2</f>
        <v>1.2185119159818368E-5</v>
      </c>
      <c r="M650" s="7" t="s">
        <v>187</v>
      </c>
      <c r="N650" s="7" t="s">
        <v>188</v>
      </c>
    </row>
    <row r="651" spans="1:14" ht="18" customHeight="1">
      <c r="A651">
        <v>650</v>
      </c>
      <c r="B651" t="s">
        <v>736</v>
      </c>
      <c r="C65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1.345248</v>
      </c>
      <c r="I651" s="2">
        <v>0</v>
      </c>
      <c r="J651" s="5">
        <f t="shared" si="20"/>
        <v>1.345248</v>
      </c>
      <c r="K651" s="5">
        <f t="shared" si="21"/>
        <v>1.345248</v>
      </c>
      <c r="L651" s="6">
        <f>K651/'Quellen &amp; Annahmen'!$B$2</f>
        <v>1.2185119159818368E-5</v>
      </c>
      <c r="M651" s="7" t="s">
        <v>187</v>
      </c>
      <c r="N651" s="7" t="s">
        <v>188</v>
      </c>
    </row>
    <row r="652" spans="1:14" ht="18" customHeight="1">
      <c r="A652">
        <v>651</v>
      </c>
      <c r="B652" t="s">
        <v>737</v>
      </c>
      <c r="C652" t="s">
        <v>33</v>
      </c>
      <c r="D652" s="2">
        <v>0</v>
      </c>
      <c r="E652" s="2">
        <v>0</v>
      </c>
      <c r="F652" s="2">
        <v>0</v>
      </c>
      <c r="G652" s="2">
        <v>0</v>
      </c>
      <c r="H652" s="2">
        <v>1.345248</v>
      </c>
      <c r="I652" s="2">
        <v>0</v>
      </c>
      <c r="J652" s="5">
        <f t="shared" si="20"/>
        <v>1.345248</v>
      </c>
      <c r="K652" s="5">
        <f t="shared" si="21"/>
        <v>1.345248</v>
      </c>
      <c r="L652" s="6">
        <f>K652/'Quellen &amp; Annahmen'!$B$2</f>
        <v>1.2185119159818368E-5</v>
      </c>
      <c r="M652" s="7" t="s">
        <v>187</v>
      </c>
      <c r="N652" s="7" t="s">
        <v>188</v>
      </c>
    </row>
    <row r="653" spans="1:14" ht="18" customHeight="1">
      <c r="A653">
        <v>652</v>
      </c>
      <c r="B653" t="s">
        <v>738</v>
      </c>
      <c r="C653" t="s">
        <v>253</v>
      </c>
      <c r="D653" s="2">
        <v>0</v>
      </c>
      <c r="E653" s="2">
        <v>0</v>
      </c>
      <c r="F653" s="2">
        <v>0</v>
      </c>
      <c r="G653" s="2">
        <v>0</v>
      </c>
      <c r="H653" s="2">
        <v>1.345248</v>
      </c>
      <c r="I653" s="2">
        <v>0</v>
      </c>
      <c r="J653" s="5">
        <f t="shared" si="20"/>
        <v>1.345248</v>
      </c>
      <c r="K653" s="5">
        <f t="shared" si="21"/>
        <v>1.345248</v>
      </c>
      <c r="L653" s="6">
        <f>K653/'Quellen &amp; Annahmen'!$B$2</f>
        <v>1.2185119159818368E-5</v>
      </c>
      <c r="M653" s="7" t="s">
        <v>187</v>
      </c>
      <c r="N653" s="7" t="s">
        <v>188</v>
      </c>
    </row>
    <row r="654" spans="1:14" ht="18" customHeight="1">
      <c r="A654">
        <v>653</v>
      </c>
      <c r="B654" t="s">
        <v>739</v>
      </c>
      <c r="C654" t="s">
        <v>25</v>
      </c>
      <c r="D654" s="2">
        <v>0</v>
      </c>
      <c r="E654" s="2">
        <v>0</v>
      </c>
      <c r="F654" s="2">
        <v>0</v>
      </c>
      <c r="G654" s="2">
        <v>0</v>
      </c>
      <c r="H654" s="2">
        <v>1.345248</v>
      </c>
      <c r="I654" s="2">
        <v>0</v>
      </c>
      <c r="J654" s="5">
        <f t="shared" si="20"/>
        <v>1.345248</v>
      </c>
      <c r="K654" s="5">
        <f t="shared" si="21"/>
        <v>1.345248</v>
      </c>
      <c r="L654" s="6">
        <f>K654/'Quellen &amp; Annahmen'!$B$2</f>
        <v>1.2185119159818368E-5</v>
      </c>
      <c r="M654" s="7" t="s">
        <v>187</v>
      </c>
      <c r="N654" s="7" t="s">
        <v>188</v>
      </c>
    </row>
    <row r="655" spans="1:14" ht="18" customHeight="1">
      <c r="A655">
        <v>654</v>
      </c>
      <c r="B655" t="s">
        <v>740</v>
      </c>
      <c r="C655" t="s">
        <v>41</v>
      </c>
      <c r="D655" s="2">
        <v>0</v>
      </c>
      <c r="E655" s="2">
        <v>0</v>
      </c>
      <c r="F655" s="2">
        <v>0</v>
      </c>
      <c r="G655" s="2">
        <v>0</v>
      </c>
      <c r="H655" s="2">
        <v>1.345248</v>
      </c>
      <c r="I655" s="2">
        <v>0</v>
      </c>
      <c r="J655" s="5">
        <f t="shared" si="20"/>
        <v>1.345248</v>
      </c>
      <c r="K655" s="5">
        <f t="shared" si="21"/>
        <v>1.345248</v>
      </c>
      <c r="L655" s="6">
        <f>K655/'Quellen &amp; Annahmen'!$B$2</f>
        <v>1.2185119159818368E-5</v>
      </c>
      <c r="M655" s="7" t="s">
        <v>187</v>
      </c>
      <c r="N655" s="7" t="s">
        <v>188</v>
      </c>
    </row>
    <row r="656" spans="1:14" ht="18" customHeight="1">
      <c r="A656">
        <v>655</v>
      </c>
      <c r="B656" t="s">
        <v>741</v>
      </c>
      <c r="C656" t="s">
        <v>23</v>
      </c>
      <c r="D656" s="2">
        <v>0</v>
      </c>
      <c r="E656" s="2">
        <v>0</v>
      </c>
      <c r="F656" s="2">
        <v>0</v>
      </c>
      <c r="G656" s="2">
        <v>0</v>
      </c>
      <c r="H656" s="2">
        <v>1.345248</v>
      </c>
      <c r="I656" s="2">
        <v>0</v>
      </c>
      <c r="J656" s="5">
        <f t="shared" si="20"/>
        <v>1.345248</v>
      </c>
      <c r="K656" s="5">
        <f t="shared" si="21"/>
        <v>1.345248</v>
      </c>
      <c r="L656" s="6">
        <f>K656/'Quellen &amp; Annahmen'!$B$2</f>
        <v>1.2185119159818368E-5</v>
      </c>
      <c r="M656" s="7" t="s">
        <v>187</v>
      </c>
      <c r="N656" s="7" t="s">
        <v>188</v>
      </c>
    </row>
    <row r="657" spans="1:14" ht="18" customHeight="1">
      <c r="A657">
        <v>656</v>
      </c>
      <c r="B657" t="s">
        <v>742</v>
      </c>
      <c r="C657" t="s">
        <v>23</v>
      </c>
      <c r="D657" s="2">
        <v>0</v>
      </c>
      <c r="E657" s="2">
        <v>0</v>
      </c>
      <c r="F657" s="2">
        <v>0</v>
      </c>
      <c r="G657" s="2">
        <v>0</v>
      </c>
      <c r="H657" s="2">
        <v>1.345248</v>
      </c>
      <c r="I657" s="2">
        <v>0</v>
      </c>
      <c r="J657" s="5">
        <f t="shared" si="20"/>
        <v>1.345248</v>
      </c>
      <c r="K657" s="5">
        <f t="shared" si="21"/>
        <v>1.345248</v>
      </c>
      <c r="L657" s="6">
        <f>K657/'Quellen &amp; Annahmen'!$B$2</f>
        <v>1.2185119159818368E-5</v>
      </c>
      <c r="M657" s="7" t="s">
        <v>187</v>
      </c>
      <c r="N657" s="7" t="s">
        <v>188</v>
      </c>
    </row>
    <row r="658" spans="1:14" ht="18" customHeight="1">
      <c r="A658">
        <v>657</v>
      </c>
      <c r="B658" t="s">
        <v>743</v>
      </c>
      <c r="C658" t="s">
        <v>253</v>
      </c>
      <c r="D658" s="2">
        <v>0</v>
      </c>
      <c r="E658" s="2">
        <v>0</v>
      </c>
      <c r="F658" s="2">
        <v>0</v>
      </c>
      <c r="G658" s="2">
        <v>0</v>
      </c>
      <c r="H658" s="2">
        <v>1.345248</v>
      </c>
      <c r="I658" s="2">
        <v>0</v>
      </c>
      <c r="J658" s="5">
        <f t="shared" si="20"/>
        <v>1.345248</v>
      </c>
      <c r="K658" s="5">
        <f t="shared" si="21"/>
        <v>1.345248</v>
      </c>
      <c r="L658" s="6">
        <f>K658/'Quellen &amp; Annahmen'!$B$2</f>
        <v>1.2185119159818368E-5</v>
      </c>
      <c r="M658" s="7" t="s">
        <v>187</v>
      </c>
      <c r="N658" s="7" t="s">
        <v>188</v>
      </c>
    </row>
    <row r="659" spans="1:14" ht="18" customHeight="1">
      <c r="A659">
        <v>658</v>
      </c>
      <c r="B659" t="s">
        <v>744</v>
      </c>
      <c r="C659" t="s">
        <v>124</v>
      </c>
      <c r="D659" s="2">
        <v>0</v>
      </c>
      <c r="E659" s="2">
        <v>0</v>
      </c>
      <c r="F659" s="2">
        <v>0</v>
      </c>
      <c r="G659" s="2">
        <v>0</v>
      </c>
      <c r="H659" s="2">
        <v>1.345248</v>
      </c>
      <c r="I659" s="2">
        <v>0</v>
      </c>
      <c r="J659" s="5">
        <f t="shared" si="20"/>
        <v>1.345248</v>
      </c>
      <c r="K659" s="5">
        <f t="shared" si="21"/>
        <v>1.345248</v>
      </c>
      <c r="L659" s="6">
        <f>K659/'Quellen &amp; Annahmen'!$B$2</f>
        <v>1.2185119159818368E-5</v>
      </c>
      <c r="M659" s="7" t="s">
        <v>187</v>
      </c>
      <c r="N659" s="7" t="s">
        <v>188</v>
      </c>
    </row>
    <row r="660" spans="1:14" ht="18" customHeight="1">
      <c r="A660">
        <v>659</v>
      </c>
      <c r="B660" t="s">
        <v>745</v>
      </c>
      <c r="C660" t="s">
        <v>41</v>
      </c>
      <c r="D660" s="2">
        <v>0</v>
      </c>
      <c r="E660" s="2">
        <v>0</v>
      </c>
      <c r="F660" s="2">
        <v>0</v>
      </c>
      <c r="G660" s="2">
        <v>0</v>
      </c>
      <c r="H660" s="2">
        <v>1.345248</v>
      </c>
      <c r="I660" s="2">
        <v>0</v>
      </c>
      <c r="J660" s="5">
        <f t="shared" si="20"/>
        <v>1.345248</v>
      </c>
      <c r="K660" s="5">
        <f t="shared" si="21"/>
        <v>1.345248</v>
      </c>
      <c r="L660" s="6">
        <f>K660/'Quellen &amp; Annahmen'!$B$2</f>
        <v>1.2185119159818368E-5</v>
      </c>
      <c r="M660" s="7" t="s">
        <v>187</v>
      </c>
      <c r="N660" s="7" t="s">
        <v>188</v>
      </c>
    </row>
    <row r="661" spans="1:14" ht="18" customHeight="1">
      <c r="A661">
        <v>660</v>
      </c>
      <c r="B661" t="s">
        <v>746</v>
      </c>
      <c r="C661" t="s">
        <v>124</v>
      </c>
      <c r="D661" s="2">
        <v>0</v>
      </c>
      <c r="E661" s="2">
        <v>0</v>
      </c>
      <c r="F661" s="2">
        <v>0</v>
      </c>
      <c r="G661" s="2">
        <v>0</v>
      </c>
      <c r="H661" s="2">
        <v>1.345248</v>
      </c>
      <c r="I661" s="2">
        <v>0</v>
      </c>
      <c r="J661" s="5">
        <f t="shared" si="20"/>
        <v>1.345248</v>
      </c>
      <c r="K661" s="5">
        <f t="shared" si="21"/>
        <v>1.345248</v>
      </c>
      <c r="L661" s="6">
        <f>K661/'Quellen &amp; Annahmen'!$B$2</f>
        <v>1.2185119159818368E-5</v>
      </c>
      <c r="M661" s="7" t="s">
        <v>187</v>
      </c>
      <c r="N661" s="7" t="s">
        <v>188</v>
      </c>
    </row>
    <row r="662" spans="1:14" ht="18" customHeight="1">
      <c r="A662">
        <v>661</v>
      </c>
      <c r="B662" t="s">
        <v>747</v>
      </c>
      <c r="C662" t="s">
        <v>50</v>
      </c>
      <c r="D662" s="2">
        <v>0</v>
      </c>
      <c r="E662" s="2">
        <v>0</v>
      </c>
      <c r="F662" s="2">
        <v>0</v>
      </c>
      <c r="G662" s="2">
        <v>0</v>
      </c>
      <c r="H662" s="2">
        <v>1.345248</v>
      </c>
      <c r="I662" s="2">
        <v>0</v>
      </c>
      <c r="J662" s="5">
        <f t="shared" si="20"/>
        <v>1.345248</v>
      </c>
      <c r="K662" s="5">
        <f t="shared" si="21"/>
        <v>1.345248</v>
      </c>
      <c r="L662" s="6">
        <f>K662/'Quellen &amp; Annahmen'!$B$2</f>
        <v>1.2185119159818368E-5</v>
      </c>
      <c r="M662" s="7" t="s">
        <v>187</v>
      </c>
      <c r="N662" s="7" t="s">
        <v>188</v>
      </c>
    </row>
    <row r="663" spans="1:14" ht="18" customHeight="1">
      <c r="A663">
        <v>662</v>
      </c>
      <c r="B663" t="s">
        <v>748</v>
      </c>
      <c r="C663" t="s">
        <v>27</v>
      </c>
      <c r="D663" s="2">
        <v>0</v>
      </c>
      <c r="E663" s="2">
        <v>0</v>
      </c>
      <c r="F663" s="2">
        <v>0</v>
      </c>
      <c r="G663" s="2">
        <v>0</v>
      </c>
      <c r="H663" s="2">
        <v>1.345248</v>
      </c>
      <c r="I663" s="2">
        <v>0</v>
      </c>
      <c r="J663" s="5">
        <f t="shared" si="20"/>
        <v>1.345248</v>
      </c>
      <c r="K663" s="5">
        <f t="shared" si="21"/>
        <v>1.345248</v>
      </c>
      <c r="L663" s="6">
        <f>K663/'Quellen &amp; Annahmen'!$B$2</f>
        <v>1.2185119159818368E-5</v>
      </c>
      <c r="M663" s="7" t="s">
        <v>187</v>
      </c>
      <c r="N663" s="7" t="s">
        <v>188</v>
      </c>
    </row>
    <row r="664" spans="1:14" ht="18" customHeight="1">
      <c r="A664">
        <v>663</v>
      </c>
      <c r="B664" t="s">
        <v>749</v>
      </c>
      <c r="C664" t="s">
        <v>33</v>
      </c>
      <c r="D664" s="2">
        <v>0</v>
      </c>
      <c r="E664" s="2">
        <v>0</v>
      </c>
      <c r="F664" s="2">
        <v>0</v>
      </c>
      <c r="G664" s="2">
        <v>0</v>
      </c>
      <c r="H664" s="2">
        <v>1.345248</v>
      </c>
      <c r="I664" s="2">
        <v>0</v>
      </c>
      <c r="J664" s="5">
        <f t="shared" si="20"/>
        <v>1.345248</v>
      </c>
      <c r="K664" s="5">
        <f t="shared" si="21"/>
        <v>1.345248</v>
      </c>
      <c r="L664" s="6">
        <f>K664/'Quellen &amp; Annahmen'!$B$2</f>
        <v>1.2185119159818368E-5</v>
      </c>
      <c r="M664" s="7" t="s">
        <v>187</v>
      </c>
      <c r="N664" s="7" t="s">
        <v>188</v>
      </c>
    </row>
    <row r="665" spans="1:14" ht="18" customHeight="1">
      <c r="A665">
        <v>664</v>
      </c>
      <c r="B665" t="s">
        <v>750</v>
      </c>
      <c r="C665" t="s">
        <v>124</v>
      </c>
      <c r="D665" s="2">
        <v>0</v>
      </c>
      <c r="E665" s="2">
        <v>0</v>
      </c>
      <c r="F665" s="2">
        <v>0</v>
      </c>
      <c r="G665" s="2">
        <v>0</v>
      </c>
      <c r="H665" s="2">
        <v>1.345248</v>
      </c>
      <c r="I665" s="2">
        <v>0</v>
      </c>
      <c r="J665" s="5">
        <f t="shared" si="20"/>
        <v>1.345248</v>
      </c>
      <c r="K665" s="5">
        <f t="shared" si="21"/>
        <v>1.345248</v>
      </c>
      <c r="L665" s="6">
        <f>K665/'Quellen &amp; Annahmen'!$B$2</f>
        <v>1.2185119159818368E-5</v>
      </c>
      <c r="M665" s="7" t="s">
        <v>187</v>
      </c>
      <c r="N665" s="7" t="s">
        <v>188</v>
      </c>
    </row>
    <row r="666" spans="1:14" ht="18" customHeight="1">
      <c r="A666">
        <v>665</v>
      </c>
      <c r="B666" t="s">
        <v>751</v>
      </c>
      <c r="C666" t="s">
        <v>33</v>
      </c>
      <c r="D666" s="2">
        <v>0</v>
      </c>
      <c r="E666" s="2">
        <v>0</v>
      </c>
      <c r="F666" s="2">
        <v>0</v>
      </c>
      <c r="G666" s="2">
        <v>0</v>
      </c>
      <c r="H666" s="2">
        <v>1.345248</v>
      </c>
      <c r="I666" s="2">
        <v>0</v>
      </c>
      <c r="J666" s="5">
        <f t="shared" si="20"/>
        <v>1.345248</v>
      </c>
      <c r="K666" s="5">
        <f t="shared" si="21"/>
        <v>1.345248</v>
      </c>
      <c r="L666" s="6">
        <f>K666/'Quellen &amp; Annahmen'!$B$2</f>
        <v>1.2185119159818368E-5</v>
      </c>
      <c r="M666" s="7" t="s">
        <v>187</v>
      </c>
      <c r="N666" s="7" t="s">
        <v>188</v>
      </c>
    </row>
    <row r="667" spans="1:14" ht="18" customHeight="1">
      <c r="A667">
        <v>666</v>
      </c>
      <c r="B667" t="s">
        <v>752</v>
      </c>
      <c r="C667" t="s">
        <v>33</v>
      </c>
      <c r="D667" s="2">
        <v>0</v>
      </c>
      <c r="E667" s="2">
        <v>0</v>
      </c>
      <c r="F667" s="2">
        <v>0</v>
      </c>
      <c r="G667" s="2">
        <v>0</v>
      </c>
      <c r="H667" s="2">
        <v>1.345248</v>
      </c>
      <c r="I667" s="2">
        <v>0</v>
      </c>
      <c r="J667" s="5">
        <f t="shared" si="20"/>
        <v>1.345248</v>
      </c>
      <c r="K667" s="5">
        <f t="shared" si="21"/>
        <v>1.345248</v>
      </c>
      <c r="L667" s="6">
        <f>K667/'Quellen &amp; Annahmen'!$B$2</f>
        <v>1.2185119159818368E-5</v>
      </c>
      <c r="M667" s="7" t="s">
        <v>187</v>
      </c>
      <c r="N667" s="7" t="s">
        <v>188</v>
      </c>
    </row>
    <row r="668" spans="1:14" ht="18" customHeight="1">
      <c r="A668">
        <v>667</v>
      </c>
      <c r="B668" t="s">
        <v>753</v>
      </c>
      <c r="C668" t="s">
        <v>33</v>
      </c>
      <c r="D668" s="2">
        <v>0</v>
      </c>
      <c r="E668" s="2">
        <v>0</v>
      </c>
      <c r="F668" s="2">
        <v>0</v>
      </c>
      <c r="G668" s="2">
        <v>0</v>
      </c>
      <c r="H668" s="2">
        <v>1.345248</v>
      </c>
      <c r="I668" s="2">
        <v>0</v>
      </c>
      <c r="J668" s="5">
        <f t="shared" si="20"/>
        <v>1.345248</v>
      </c>
      <c r="K668" s="5">
        <f t="shared" si="21"/>
        <v>1.345248</v>
      </c>
      <c r="L668" s="6">
        <f>K668/'Quellen &amp; Annahmen'!$B$2</f>
        <v>1.2185119159818368E-5</v>
      </c>
      <c r="M668" s="7" t="s">
        <v>187</v>
      </c>
      <c r="N668" s="7" t="s">
        <v>188</v>
      </c>
    </row>
    <row r="669" spans="1:14" ht="18" customHeight="1">
      <c r="A669">
        <v>668</v>
      </c>
      <c r="B669" t="s">
        <v>754</v>
      </c>
      <c r="C669" t="s">
        <v>41</v>
      </c>
      <c r="D669" s="2">
        <v>0</v>
      </c>
      <c r="E669" s="2">
        <v>0</v>
      </c>
      <c r="F669" s="2">
        <v>0</v>
      </c>
      <c r="G669" s="2">
        <v>0</v>
      </c>
      <c r="H669" s="2">
        <v>1.345248</v>
      </c>
      <c r="I669" s="2">
        <v>0</v>
      </c>
      <c r="J669" s="5">
        <f t="shared" si="20"/>
        <v>1.345248</v>
      </c>
      <c r="K669" s="5">
        <f t="shared" si="21"/>
        <v>1.345248</v>
      </c>
      <c r="L669" s="6">
        <f>K669/'Quellen &amp; Annahmen'!$B$2</f>
        <v>1.2185119159818368E-5</v>
      </c>
      <c r="M669" s="7" t="s">
        <v>187</v>
      </c>
      <c r="N669" s="7" t="s">
        <v>188</v>
      </c>
    </row>
    <row r="670" spans="1:14" ht="18" customHeight="1">
      <c r="A670">
        <v>669</v>
      </c>
      <c r="B670" t="s">
        <v>755</v>
      </c>
      <c r="C670" t="s">
        <v>108</v>
      </c>
      <c r="D670" s="2">
        <v>0</v>
      </c>
      <c r="E670" s="2">
        <v>0</v>
      </c>
      <c r="F670" s="2">
        <v>0</v>
      </c>
      <c r="G670" s="2">
        <v>0</v>
      </c>
      <c r="H670" s="2">
        <v>1.345248</v>
      </c>
      <c r="I670" s="2">
        <v>0</v>
      </c>
      <c r="J670" s="5">
        <f t="shared" si="20"/>
        <v>1.345248</v>
      </c>
      <c r="K670" s="5">
        <f t="shared" si="21"/>
        <v>1.345248</v>
      </c>
      <c r="L670" s="6">
        <f>K670/'Quellen &amp; Annahmen'!$B$2</f>
        <v>1.2185119159818368E-5</v>
      </c>
      <c r="M670" s="7" t="s">
        <v>187</v>
      </c>
      <c r="N670" s="7" t="s">
        <v>188</v>
      </c>
    </row>
    <row r="671" spans="1:14" ht="18" customHeight="1">
      <c r="A671">
        <v>670</v>
      </c>
      <c r="B671" t="s">
        <v>756</v>
      </c>
      <c r="C671" t="s">
        <v>50</v>
      </c>
      <c r="D671" s="2">
        <v>0</v>
      </c>
      <c r="E671" s="2">
        <v>0</v>
      </c>
      <c r="F671" s="2">
        <v>0</v>
      </c>
      <c r="G671" s="2">
        <v>0</v>
      </c>
      <c r="H671" s="2">
        <v>1.345248</v>
      </c>
      <c r="I671" s="2">
        <v>0</v>
      </c>
      <c r="J671" s="5">
        <f t="shared" si="20"/>
        <v>1.345248</v>
      </c>
      <c r="K671" s="5">
        <f t="shared" si="21"/>
        <v>1.345248</v>
      </c>
      <c r="L671" s="6">
        <f>K671/'Quellen &amp; Annahmen'!$B$2</f>
        <v>1.2185119159818368E-5</v>
      </c>
      <c r="M671" s="7" t="s">
        <v>187</v>
      </c>
      <c r="N671" s="7" t="s">
        <v>188</v>
      </c>
    </row>
    <row r="672" spans="1:14" ht="18" customHeight="1">
      <c r="A672">
        <v>671</v>
      </c>
      <c r="B672" t="s">
        <v>757</v>
      </c>
      <c r="C672" t="s">
        <v>23</v>
      </c>
      <c r="D672" s="2">
        <v>0</v>
      </c>
      <c r="E672" s="2">
        <v>0</v>
      </c>
      <c r="F672" s="2">
        <v>0</v>
      </c>
      <c r="G672" s="2">
        <v>0</v>
      </c>
      <c r="H672" s="2">
        <v>1.345248</v>
      </c>
      <c r="I672" s="2">
        <v>0</v>
      </c>
      <c r="J672" s="5">
        <f t="shared" si="20"/>
        <v>1.345248</v>
      </c>
      <c r="K672" s="5">
        <f t="shared" si="21"/>
        <v>1.345248</v>
      </c>
      <c r="L672" s="6">
        <f>K672/'Quellen &amp; Annahmen'!$B$2</f>
        <v>1.2185119159818368E-5</v>
      </c>
      <c r="M672" s="7" t="s">
        <v>187</v>
      </c>
      <c r="N672" s="7" t="s">
        <v>188</v>
      </c>
    </row>
    <row r="673" spans="1:14" ht="18" customHeight="1">
      <c r="A673">
        <v>672</v>
      </c>
      <c r="B673" t="s">
        <v>758</v>
      </c>
      <c r="C673" t="s">
        <v>41</v>
      </c>
      <c r="D673" s="2">
        <v>0</v>
      </c>
      <c r="E673" s="2">
        <v>0</v>
      </c>
      <c r="F673" s="2">
        <v>0</v>
      </c>
      <c r="G673" s="2">
        <v>0</v>
      </c>
      <c r="H673" s="2">
        <v>1.345248</v>
      </c>
      <c r="I673" s="2">
        <v>0</v>
      </c>
      <c r="J673" s="5">
        <f t="shared" si="20"/>
        <v>1.345248</v>
      </c>
      <c r="K673" s="5">
        <f t="shared" si="21"/>
        <v>1.345248</v>
      </c>
      <c r="L673" s="6">
        <f>K673/'Quellen &amp; Annahmen'!$B$2</f>
        <v>1.2185119159818368E-5</v>
      </c>
      <c r="M673" s="7" t="s">
        <v>187</v>
      </c>
      <c r="N673" s="7" t="s">
        <v>188</v>
      </c>
    </row>
    <row r="674" spans="1:14" ht="18" customHeight="1">
      <c r="A674">
        <v>673</v>
      </c>
      <c r="B674" t="s">
        <v>759</v>
      </c>
      <c r="C674" t="s">
        <v>38</v>
      </c>
      <c r="D674" s="2">
        <v>0</v>
      </c>
      <c r="E674" s="2">
        <v>0</v>
      </c>
      <c r="F674" s="2">
        <v>0</v>
      </c>
      <c r="G674" s="2">
        <v>0</v>
      </c>
      <c r="H674" s="2">
        <v>1.345248</v>
      </c>
      <c r="I674" s="2">
        <v>0</v>
      </c>
      <c r="J674" s="5">
        <f t="shared" si="20"/>
        <v>1.345248</v>
      </c>
      <c r="K674" s="5">
        <f t="shared" si="21"/>
        <v>1.345248</v>
      </c>
      <c r="L674" s="6">
        <f>K674/'Quellen &amp; Annahmen'!$B$2</f>
        <v>1.2185119159818368E-5</v>
      </c>
      <c r="M674" s="7" t="s">
        <v>187</v>
      </c>
      <c r="N674" s="7" t="s">
        <v>188</v>
      </c>
    </row>
    <row r="675" spans="1:14" ht="18" customHeight="1">
      <c r="A675">
        <v>674</v>
      </c>
      <c r="B675" t="s">
        <v>760</v>
      </c>
      <c r="C675" t="s">
        <v>33</v>
      </c>
      <c r="D675" s="2">
        <v>0</v>
      </c>
      <c r="E675" s="2">
        <v>0</v>
      </c>
      <c r="F675" s="2">
        <v>0</v>
      </c>
      <c r="G675" s="2">
        <v>0</v>
      </c>
      <c r="H675" s="2">
        <v>1.345248</v>
      </c>
      <c r="I675" s="2">
        <v>0</v>
      </c>
      <c r="J675" s="5">
        <f t="shared" si="20"/>
        <v>1.345248</v>
      </c>
      <c r="K675" s="5">
        <f t="shared" si="21"/>
        <v>1.345248</v>
      </c>
      <c r="L675" s="6">
        <f>K675/'Quellen &amp; Annahmen'!$B$2</f>
        <v>1.2185119159818368E-5</v>
      </c>
      <c r="M675" s="7" t="s">
        <v>187</v>
      </c>
      <c r="N675" s="7" t="s">
        <v>188</v>
      </c>
    </row>
    <row r="676" spans="1:14" ht="18" customHeight="1">
      <c r="A676">
        <v>675</v>
      </c>
      <c r="B676" t="s">
        <v>761</v>
      </c>
      <c r="C676" t="s">
        <v>25</v>
      </c>
      <c r="D676" s="2">
        <v>0</v>
      </c>
      <c r="E676" s="2">
        <v>0</v>
      </c>
      <c r="F676" s="2">
        <v>0</v>
      </c>
      <c r="G676" s="2">
        <v>0</v>
      </c>
      <c r="H676" s="2">
        <v>1.345248</v>
      </c>
      <c r="I676" s="2">
        <v>0</v>
      </c>
      <c r="J676" s="5">
        <f t="shared" si="20"/>
        <v>1.345248</v>
      </c>
      <c r="K676" s="5">
        <f t="shared" si="21"/>
        <v>1.345248</v>
      </c>
      <c r="L676" s="6">
        <f>K676/'Quellen &amp; Annahmen'!$B$2</f>
        <v>1.2185119159818368E-5</v>
      </c>
      <c r="M676" s="7" t="s">
        <v>187</v>
      </c>
      <c r="N676" s="7" t="s">
        <v>188</v>
      </c>
    </row>
    <row r="677" spans="1:14" ht="18" customHeight="1">
      <c r="A677">
        <v>676</v>
      </c>
      <c r="B677" t="s">
        <v>762</v>
      </c>
      <c r="C677" t="s">
        <v>25</v>
      </c>
      <c r="D677" s="2">
        <v>0</v>
      </c>
      <c r="E677" s="2">
        <v>0</v>
      </c>
      <c r="F677" s="2">
        <v>0</v>
      </c>
      <c r="G677" s="2">
        <v>0</v>
      </c>
      <c r="H677" s="2">
        <v>1.345248</v>
      </c>
      <c r="I677" s="2">
        <v>0</v>
      </c>
      <c r="J677" s="5">
        <f t="shared" si="20"/>
        <v>1.345248</v>
      </c>
      <c r="K677" s="5">
        <f t="shared" si="21"/>
        <v>1.345248</v>
      </c>
      <c r="L677" s="6">
        <f>K677/'Quellen &amp; Annahmen'!$B$2</f>
        <v>1.2185119159818368E-5</v>
      </c>
      <c r="M677" s="7" t="s">
        <v>187</v>
      </c>
      <c r="N677" s="7" t="s">
        <v>188</v>
      </c>
    </row>
    <row r="678" spans="1:14" ht="18" customHeight="1">
      <c r="A678">
        <v>677</v>
      </c>
      <c r="B678" t="s">
        <v>763</v>
      </c>
      <c r="C678" t="s">
        <v>23</v>
      </c>
      <c r="D678" s="2">
        <v>0</v>
      </c>
      <c r="E678" s="2">
        <v>0</v>
      </c>
      <c r="F678" s="2">
        <v>0</v>
      </c>
      <c r="G678" s="2">
        <v>0</v>
      </c>
      <c r="H678" s="2">
        <v>1.345248</v>
      </c>
      <c r="I678" s="2">
        <v>0</v>
      </c>
      <c r="J678" s="5">
        <f t="shared" si="20"/>
        <v>1.345248</v>
      </c>
      <c r="K678" s="5">
        <f t="shared" si="21"/>
        <v>1.345248</v>
      </c>
      <c r="L678" s="6">
        <f>K678/'Quellen &amp; Annahmen'!$B$2</f>
        <v>1.2185119159818368E-5</v>
      </c>
      <c r="M678" s="7" t="s">
        <v>187</v>
      </c>
      <c r="N678" s="7" t="s">
        <v>188</v>
      </c>
    </row>
    <row r="679" spans="1:14" ht="18" customHeight="1">
      <c r="A679">
        <v>678</v>
      </c>
      <c r="B679" t="s">
        <v>764</v>
      </c>
      <c r="C679" t="s">
        <v>33</v>
      </c>
      <c r="D679" s="2">
        <v>0</v>
      </c>
      <c r="E679" s="2">
        <v>0</v>
      </c>
      <c r="F679" s="2">
        <v>0</v>
      </c>
      <c r="G679" s="2">
        <v>0</v>
      </c>
      <c r="H679" s="2">
        <v>1.345248</v>
      </c>
      <c r="I679" s="2">
        <v>0</v>
      </c>
      <c r="J679" s="5">
        <f t="shared" si="20"/>
        <v>1.345248</v>
      </c>
      <c r="K679" s="5">
        <f t="shared" si="21"/>
        <v>1.345248</v>
      </c>
      <c r="L679" s="6">
        <f>K679/'Quellen &amp; Annahmen'!$B$2</f>
        <v>1.2185119159818368E-5</v>
      </c>
      <c r="M679" s="7" t="s">
        <v>187</v>
      </c>
      <c r="N679" s="7" t="s">
        <v>188</v>
      </c>
    </row>
    <row r="680" spans="1:14" ht="18" customHeight="1">
      <c r="A680">
        <v>679</v>
      </c>
      <c r="B680" t="s">
        <v>765</v>
      </c>
      <c r="C680" t="s">
        <v>23</v>
      </c>
      <c r="D680" s="2">
        <v>0</v>
      </c>
      <c r="E680" s="2">
        <v>0</v>
      </c>
      <c r="F680" s="2">
        <v>0</v>
      </c>
      <c r="G680" s="2">
        <v>0</v>
      </c>
      <c r="H680" s="2">
        <v>1.345248</v>
      </c>
      <c r="I680" s="2">
        <v>0</v>
      </c>
      <c r="J680" s="5">
        <f t="shared" si="20"/>
        <v>1.345248</v>
      </c>
      <c r="K680" s="5">
        <f t="shared" si="21"/>
        <v>1.345248</v>
      </c>
      <c r="L680" s="6">
        <f>K680/'Quellen &amp; Annahmen'!$B$2</f>
        <v>1.2185119159818368E-5</v>
      </c>
      <c r="M680" s="7" t="s">
        <v>187</v>
      </c>
      <c r="N680" s="7" t="s">
        <v>188</v>
      </c>
    </row>
    <row r="681" spans="1:14" ht="18" customHeight="1">
      <c r="A681">
        <v>680</v>
      </c>
      <c r="B681" t="s">
        <v>766</v>
      </c>
      <c r="C681" t="s">
        <v>50</v>
      </c>
      <c r="D681" s="2">
        <v>0</v>
      </c>
      <c r="E681" s="2">
        <v>0</v>
      </c>
      <c r="F681" s="2">
        <v>0</v>
      </c>
      <c r="G681" s="2">
        <v>0</v>
      </c>
      <c r="H681" s="2">
        <v>1.345248</v>
      </c>
      <c r="I681" s="2">
        <v>0</v>
      </c>
      <c r="J681" s="5">
        <f t="shared" si="20"/>
        <v>1.345248</v>
      </c>
      <c r="K681" s="5">
        <f t="shared" si="21"/>
        <v>1.345248</v>
      </c>
      <c r="L681" s="6">
        <f>K681/'Quellen &amp; Annahmen'!$B$2</f>
        <v>1.2185119159818368E-5</v>
      </c>
      <c r="M681" s="7" t="s">
        <v>187</v>
      </c>
      <c r="N681" s="7" t="s">
        <v>188</v>
      </c>
    </row>
    <row r="682" spans="1:14" ht="18" customHeight="1">
      <c r="A682">
        <v>681</v>
      </c>
      <c r="B682" t="s">
        <v>767</v>
      </c>
      <c r="C682" t="s">
        <v>108</v>
      </c>
      <c r="D682" s="2">
        <v>0</v>
      </c>
      <c r="E682" s="2">
        <v>0</v>
      </c>
      <c r="F682" s="2">
        <v>0</v>
      </c>
      <c r="G682" s="2">
        <v>0</v>
      </c>
      <c r="H682" s="2">
        <v>1.345248</v>
      </c>
      <c r="I682" s="2">
        <v>0</v>
      </c>
      <c r="J682" s="5">
        <f t="shared" si="20"/>
        <v>1.345248</v>
      </c>
      <c r="K682" s="5">
        <f t="shared" si="21"/>
        <v>1.345248</v>
      </c>
      <c r="L682" s="6">
        <f>K682/'Quellen &amp; Annahmen'!$B$2</f>
        <v>1.2185119159818368E-5</v>
      </c>
      <c r="M682" s="7" t="s">
        <v>187</v>
      </c>
      <c r="N682" s="7" t="s">
        <v>188</v>
      </c>
    </row>
    <row r="683" spans="1:14" ht="18" customHeight="1">
      <c r="A683">
        <v>682</v>
      </c>
      <c r="B683" t="s">
        <v>768</v>
      </c>
      <c r="C683" t="s">
        <v>23</v>
      </c>
      <c r="D683" s="2">
        <v>0</v>
      </c>
      <c r="E683" s="2">
        <v>0</v>
      </c>
      <c r="F683" s="2">
        <v>0</v>
      </c>
      <c r="G683" s="2">
        <v>0</v>
      </c>
      <c r="H683" s="2">
        <v>1.345248</v>
      </c>
      <c r="I683" s="2">
        <v>0</v>
      </c>
      <c r="J683" s="5">
        <f t="shared" si="20"/>
        <v>1.345248</v>
      </c>
      <c r="K683" s="5">
        <f t="shared" si="21"/>
        <v>1.345248</v>
      </c>
      <c r="L683" s="6">
        <f>K683/'Quellen &amp; Annahmen'!$B$2</f>
        <v>1.2185119159818368E-5</v>
      </c>
      <c r="M683" s="7" t="s">
        <v>187</v>
      </c>
      <c r="N683" s="7" t="s">
        <v>188</v>
      </c>
    </row>
    <row r="684" spans="1:14" ht="18" customHeight="1">
      <c r="A684">
        <v>683</v>
      </c>
      <c r="B684" t="s">
        <v>769</v>
      </c>
      <c r="C684" t="s">
        <v>41</v>
      </c>
      <c r="D684" s="2">
        <v>0</v>
      </c>
      <c r="E684" s="2">
        <v>0</v>
      </c>
      <c r="F684" s="2">
        <v>0</v>
      </c>
      <c r="G684" s="2">
        <v>0</v>
      </c>
      <c r="H684" s="2">
        <v>1.345248</v>
      </c>
      <c r="I684" s="2">
        <v>0</v>
      </c>
      <c r="J684" s="5">
        <f t="shared" si="20"/>
        <v>1.345248</v>
      </c>
      <c r="K684" s="5">
        <f t="shared" si="21"/>
        <v>1.345248</v>
      </c>
      <c r="L684" s="6">
        <f>K684/'Quellen &amp; Annahmen'!$B$2</f>
        <v>1.2185119159818368E-5</v>
      </c>
      <c r="M684" s="7" t="s">
        <v>187</v>
      </c>
      <c r="N684" s="7" t="s">
        <v>188</v>
      </c>
    </row>
    <row r="685" spans="1:14" ht="18" customHeight="1">
      <c r="A685">
        <v>684</v>
      </c>
      <c r="B685" t="s">
        <v>770</v>
      </c>
      <c r="C685" t="s">
        <v>263</v>
      </c>
      <c r="D685" s="2">
        <v>0</v>
      </c>
      <c r="E685" s="2">
        <v>0</v>
      </c>
      <c r="F685" s="2">
        <v>0</v>
      </c>
      <c r="G685" s="2">
        <v>0</v>
      </c>
      <c r="H685" s="2">
        <v>1.345248</v>
      </c>
      <c r="I685" s="2">
        <v>0</v>
      </c>
      <c r="J685" s="5">
        <f t="shared" si="20"/>
        <v>1.345248</v>
      </c>
      <c r="K685" s="5">
        <f t="shared" si="21"/>
        <v>1.345248</v>
      </c>
      <c r="L685" s="6">
        <f>K685/'Quellen &amp; Annahmen'!$B$2</f>
        <v>1.2185119159818368E-5</v>
      </c>
      <c r="M685" s="7" t="s">
        <v>187</v>
      </c>
      <c r="N685" s="7" t="s">
        <v>188</v>
      </c>
    </row>
    <row r="686" spans="1:14" ht="18" customHeight="1">
      <c r="A686">
        <v>685</v>
      </c>
      <c r="B686" t="s">
        <v>771</v>
      </c>
      <c r="C686" t="s">
        <v>108</v>
      </c>
      <c r="D686" s="2">
        <v>0</v>
      </c>
      <c r="E686" s="2">
        <v>0</v>
      </c>
      <c r="F686" s="2">
        <v>0</v>
      </c>
      <c r="G686" s="2">
        <v>0</v>
      </c>
      <c r="H686" s="2">
        <v>1.345248</v>
      </c>
      <c r="I686" s="2">
        <v>0</v>
      </c>
      <c r="J686" s="5">
        <f t="shared" si="20"/>
        <v>1.345248</v>
      </c>
      <c r="K686" s="5">
        <f t="shared" si="21"/>
        <v>1.345248</v>
      </c>
      <c r="L686" s="6">
        <f>K686/'Quellen &amp; Annahmen'!$B$2</f>
        <v>1.2185119159818368E-5</v>
      </c>
      <c r="M686" s="7" t="s">
        <v>187</v>
      </c>
      <c r="N686" s="7" t="s">
        <v>188</v>
      </c>
    </row>
    <row r="687" spans="1:14" ht="18" customHeight="1">
      <c r="A687">
        <v>686</v>
      </c>
      <c r="B687" t="s">
        <v>772</v>
      </c>
      <c r="C687" t="s">
        <v>38</v>
      </c>
      <c r="D687" s="2">
        <v>0</v>
      </c>
      <c r="E687" s="2">
        <v>0</v>
      </c>
      <c r="F687" s="2">
        <v>0</v>
      </c>
      <c r="G687" s="2">
        <v>0</v>
      </c>
      <c r="H687" s="2">
        <v>1.345248</v>
      </c>
      <c r="I687" s="2">
        <v>0</v>
      </c>
      <c r="J687" s="5">
        <f t="shared" si="20"/>
        <v>1.345248</v>
      </c>
      <c r="K687" s="5">
        <f t="shared" si="21"/>
        <v>1.345248</v>
      </c>
      <c r="L687" s="6">
        <f>K687/'Quellen &amp; Annahmen'!$B$2</f>
        <v>1.2185119159818368E-5</v>
      </c>
      <c r="M687" s="7" t="s">
        <v>187</v>
      </c>
      <c r="N687" s="7" t="s">
        <v>188</v>
      </c>
    </row>
    <row r="688" spans="1:14" ht="18" customHeight="1">
      <c r="A688">
        <v>687</v>
      </c>
      <c r="B688" t="s">
        <v>773</v>
      </c>
      <c r="C688" t="s">
        <v>38</v>
      </c>
      <c r="D688" s="2">
        <v>0</v>
      </c>
      <c r="E688" s="2">
        <v>0</v>
      </c>
      <c r="F688" s="2">
        <v>0</v>
      </c>
      <c r="G688" s="2">
        <v>0</v>
      </c>
      <c r="H688" s="2">
        <v>1.345248</v>
      </c>
      <c r="I688" s="2">
        <v>0</v>
      </c>
      <c r="J688" s="5">
        <f t="shared" si="20"/>
        <v>1.345248</v>
      </c>
      <c r="K688" s="5">
        <f t="shared" si="21"/>
        <v>1.345248</v>
      </c>
      <c r="L688" s="6">
        <f>K688/'Quellen &amp; Annahmen'!$B$2</f>
        <v>1.2185119159818368E-5</v>
      </c>
      <c r="M688" s="7" t="s">
        <v>187</v>
      </c>
      <c r="N688" s="7" t="s">
        <v>188</v>
      </c>
    </row>
    <row r="689" spans="1:14" ht="18" customHeight="1">
      <c r="A689">
        <v>688</v>
      </c>
      <c r="B689" t="s">
        <v>774</v>
      </c>
      <c r="C689" t="s">
        <v>38</v>
      </c>
      <c r="D689" s="2">
        <v>0</v>
      </c>
      <c r="E689" s="2">
        <v>0</v>
      </c>
      <c r="F689" s="2">
        <v>0</v>
      </c>
      <c r="G689" s="2">
        <v>0</v>
      </c>
      <c r="H689" s="2">
        <v>1.345248</v>
      </c>
      <c r="I689" s="2">
        <v>0</v>
      </c>
      <c r="J689" s="5">
        <f t="shared" si="20"/>
        <v>1.345248</v>
      </c>
      <c r="K689" s="5">
        <f t="shared" si="21"/>
        <v>1.345248</v>
      </c>
      <c r="L689" s="6">
        <f>K689/'Quellen &amp; Annahmen'!$B$2</f>
        <v>1.2185119159818368E-5</v>
      </c>
      <c r="M689" s="7" t="s">
        <v>187</v>
      </c>
      <c r="N689" s="7" t="s">
        <v>188</v>
      </c>
    </row>
    <row r="690" spans="1:14" ht="18" customHeight="1">
      <c r="A690">
        <v>689</v>
      </c>
      <c r="B690" t="s">
        <v>775</v>
      </c>
      <c r="C690" t="s">
        <v>253</v>
      </c>
      <c r="D690" s="2">
        <v>0</v>
      </c>
      <c r="E690" s="2">
        <v>0</v>
      </c>
      <c r="F690" s="2">
        <v>0</v>
      </c>
      <c r="G690" s="2">
        <v>0</v>
      </c>
      <c r="H690" s="2">
        <v>1.345248</v>
      </c>
      <c r="I690" s="2">
        <v>0</v>
      </c>
      <c r="J690" s="5">
        <f t="shared" si="20"/>
        <v>1.345248</v>
      </c>
      <c r="K690" s="5">
        <f t="shared" si="21"/>
        <v>1.345248</v>
      </c>
      <c r="L690" s="6">
        <f>K690/'Quellen &amp; Annahmen'!$B$2</f>
        <v>1.2185119159818368E-5</v>
      </c>
      <c r="M690" s="7" t="s">
        <v>187</v>
      </c>
      <c r="N690" s="7" t="s">
        <v>188</v>
      </c>
    </row>
    <row r="691" spans="1:14" ht="18" customHeight="1">
      <c r="A691">
        <v>690</v>
      </c>
      <c r="B691" t="s">
        <v>776</v>
      </c>
      <c r="C691" t="s">
        <v>25</v>
      </c>
      <c r="D691" s="2">
        <v>0</v>
      </c>
      <c r="E691" s="2">
        <v>0</v>
      </c>
      <c r="F691" s="2">
        <v>0</v>
      </c>
      <c r="G691" s="2">
        <v>0</v>
      </c>
      <c r="H691" s="2">
        <v>1.345248</v>
      </c>
      <c r="I691" s="2">
        <v>0</v>
      </c>
      <c r="J691" s="5">
        <f t="shared" si="20"/>
        <v>1.345248</v>
      </c>
      <c r="K691" s="5">
        <f t="shared" si="21"/>
        <v>1.345248</v>
      </c>
      <c r="L691" s="6">
        <f>K691/'Quellen &amp; Annahmen'!$B$2</f>
        <v>1.2185119159818368E-5</v>
      </c>
      <c r="M691" s="7" t="s">
        <v>187</v>
      </c>
      <c r="N691" s="7" t="s">
        <v>188</v>
      </c>
    </row>
    <row r="692" spans="1:14" ht="18" customHeight="1">
      <c r="A692">
        <v>691</v>
      </c>
      <c r="B692" t="s">
        <v>777</v>
      </c>
      <c r="C692" t="s">
        <v>50</v>
      </c>
      <c r="D692" s="2">
        <v>0</v>
      </c>
      <c r="E692" s="2">
        <v>0</v>
      </c>
      <c r="F692" s="2">
        <v>0</v>
      </c>
      <c r="G692" s="2">
        <v>0</v>
      </c>
      <c r="H692" s="2">
        <v>1.345248</v>
      </c>
      <c r="I692" s="2">
        <v>0</v>
      </c>
      <c r="J692" s="5">
        <f t="shared" si="20"/>
        <v>1.345248</v>
      </c>
      <c r="K692" s="5">
        <f t="shared" si="21"/>
        <v>1.345248</v>
      </c>
      <c r="L692" s="6">
        <f>K692/'Quellen &amp; Annahmen'!$B$2</f>
        <v>1.2185119159818368E-5</v>
      </c>
      <c r="M692" s="7" t="s">
        <v>187</v>
      </c>
      <c r="N692" s="7" t="s">
        <v>188</v>
      </c>
    </row>
    <row r="693" spans="1:14" ht="18" customHeight="1">
      <c r="A693">
        <v>692</v>
      </c>
      <c r="B693" t="s">
        <v>778</v>
      </c>
      <c r="C693" t="s">
        <v>50</v>
      </c>
      <c r="D693" s="2">
        <v>0</v>
      </c>
      <c r="E693" s="2">
        <v>0</v>
      </c>
      <c r="F693" s="2">
        <v>0</v>
      </c>
      <c r="G693" s="2">
        <v>0</v>
      </c>
      <c r="H693" s="2">
        <v>1.345248</v>
      </c>
      <c r="I693" s="2">
        <v>0</v>
      </c>
      <c r="J693" s="5">
        <f t="shared" si="20"/>
        <v>1.345248</v>
      </c>
      <c r="K693" s="5">
        <f t="shared" si="21"/>
        <v>1.345248</v>
      </c>
      <c r="L693" s="6">
        <f>K693/'Quellen &amp; Annahmen'!$B$2</f>
        <v>1.2185119159818368E-5</v>
      </c>
      <c r="M693" s="7" t="s">
        <v>187</v>
      </c>
      <c r="N693" s="7" t="s">
        <v>188</v>
      </c>
    </row>
    <row r="694" spans="1:14" ht="18" customHeight="1">
      <c r="A694">
        <v>693</v>
      </c>
      <c r="B694" t="s">
        <v>779</v>
      </c>
      <c r="C694" t="s">
        <v>33</v>
      </c>
      <c r="D694" s="2">
        <v>0</v>
      </c>
      <c r="E694" s="2">
        <v>0</v>
      </c>
      <c r="F694" s="2">
        <v>0</v>
      </c>
      <c r="G694" s="2">
        <v>0</v>
      </c>
      <c r="H694" s="2">
        <v>1.345248</v>
      </c>
      <c r="I694" s="2">
        <v>0</v>
      </c>
      <c r="J694" s="5">
        <f t="shared" si="20"/>
        <v>1.345248</v>
      </c>
      <c r="K694" s="5">
        <f t="shared" si="21"/>
        <v>1.345248</v>
      </c>
      <c r="L694" s="6">
        <f>K694/'Quellen &amp; Annahmen'!$B$2</f>
        <v>1.2185119159818368E-5</v>
      </c>
      <c r="M694" s="7" t="s">
        <v>187</v>
      </c>
      <c r="N694" s="7" t="s">
        <v>188</v>
      </c>
    </row>
    <row r="695" spans="1:14" ht="18" customHeight="1">
      <c r="A695">
        <v>694</v>
      </c>
      <c r="B695" t="s">
        <v>780</v>
      </c>
      <c r="C695" t="s">
        <v>263</v>
      </c>
      <c r="D695" s="2">
        <v>0</v>
      </c>
      <c r="E695" s="2">
        <v>0</v>
      </c>
      <c r="F695" s="2">
        <v>0</v>
      </c>
      <c r="G695" s="2">
        <v>0</v>
      </c>
      <c r="H695" s="2">
        <v>1.345248</v>
      </c>
      <c r="I695" s="2">
        <v>0</v>
      </c>
      <c r="J695" s="5">
        <f t="shared" si="20"/>
        <v>1.345248</v>
      </c>
      <c r="K695" s="5">
        <f t="shared" si="21"/>
        <v>1.345248</v>
      </c>
      <c r="L695" s="6">
        <f>K695/'Quellen &amp; Annahmen'!$B$2</f>
        <v>1.2185119159818368E-5</v>
      </c>
      <c r="M695" s="7" t="s">
        <v>187</v>
      </c>
      <c r="N695" s="7" t="s">
        <v>188</v>
      </c>
    </row>
    <row r="696" spans="1:14" ht="18" customHeight="1">
      <c r="A696">
        <v>695</v>
      </c>
      <c r="B696" t="s">
        <v>781</v>
      </c>
      <c r="C696" t="s">
        <v>23</v>
      </c>
      <c r="D696" s="2">
        <v>0</v>
      </c>
      <c r="E696" s="2">
        <v>0</v>
      </c>
      <c r="F696" s="2">
        <v>0</v>
      </c>
      <c r="G696" s="2">
        <v>0</v>
      </c>
      <c r="H696" s="2">
        <v>1.345248</v>
      </c>
      <c r="I696" s="2">
        <v>0</v>
      </c>
      <c r="J696" s="5">
        <f t="shared" si="20"/>
        <v>1.345248</v>
      </c>
      <c r="K696" s="5">
        <f t="shared" si="21"/>
        <v>1.345248</v>
      </c>
      <c r="L696" s="6">
        <f>K696/'Quellen &amp; Annahmen'!$B$2</f>
        <v>1.2185119159818368E-5</v>
      </c>
      <c r="M696" s="7" t="s">
        <v>187</v>
      </c>
      <c r="N696" s="7" t="s">
        <v>188</v>
      </c>
    </row>
    <row r="697" spans="1:14" ht="18" customHeight="1">
      <c r="A697">
        <v>696</v>
      </c>
      <c r="B697" t="s">
        <v>782</v>
      </c>
      <c r="C697" t="s">
        <v>33</v>
      </c>
      <c r="D697" s="2">
        <v>0</v>
      </c>
      <c r="E697" s="2">
        <v>0</v>
      </c>
      <c r="F697" s="2">
        <v>0</v>
      </c>
      <c r="G697" s="2">
        <v>0</v>
      </c>
      <c r="H697" s="2">
        <v>1.345248</v>
      </c>
      <c r="I697" s="2">
        <v>0</v>
      </c>
      <c r="J697" s="5">
        <f t="shared" si="20"/>
        <v>1.345248</v>
      </c>
      <c r="K697" s="5">
        <f t="shared" si="21"/>
        <v>1.345248</v>
      </c>
      <c r="L697" s="6">
        <f>K697/'Quellen &amp; Annahmen'!$B$2</f>
        <v>1.2185119159818368E-5</v>
      </c>
      <c r="M697" s="7" t="s">
        <v>187</v>
      </c>
      <c r="N697" s="7" t="s">
        <v>188</v>
      </c>
    </row>
    <row r="698" spans="1:14" ht="18" customHeight="1">
      <c r="A698">
        <v>697</v>
      </c>
      <c r="B698" t="s">
        <v>783</v>
      </c>
      <c r="C698" t="s">
        <v>50</v>
      </c>
      <c r="D698" s="2">
        <v>0</v>
      </c>
      <c r="E698" s="2">
        <v>0</v>
      </c>
      <c r="F698" s="2">
        <v>0</v>
      </c>
      <c r="G698" s="2">
        <v>0</v>
      </c>
      <c r="H698" s="2">
        <v>1.345248</v>
      </c>
      <c r="I698" s="2">
        <v>0</v>
      </c>
      <c r="J698" s="5">
        <f t="shared" si="20"/>
        <v>1.345248</v>
      </c>
      <c r="K698" s="5">
        <f t="shared" si="21"/>
        <v>1.345248</v>
      </c>
      <c r="L698" s="6">
        <f>K698/'Quellen &amp; Annahmen'!$B$2</f>
        <v>1.2185119159818368E-5</v>
      </c>
      <c r="M698" s="7" t="s">
        <v>187</v>
      </c>
      <c r="N698" s="7" t="s">
        <v>188</v>
      </c>
    </row>
    <row r="699" spans="1:14" ht="18" customHeight="1">
      <c r="A699">
        <v>698</v>
      </c>
      <c r="B699" t="s">
        <v>784</v>
      </c>
      <c r="C699" t="s">
        <v>50</v>
      </c>
      <c r="D699" s="2">
        <v>0</v>
      </c>
      <c r="E699" s="2">
        <v>0</v>
      </c>
      <c r="F699" s="2">
        <v>0</v>
      </c>
      <c r="G699" s="2">
        <v>0</v>
      </c>
      <c r="H699" s="2">
        <v>1.345248</v>
      </c>
      <c r="I699" s="2">
        <v>0</v>
      </c>
      <c r="J699" s="5">
        <f t="shared" si="20"/>
        <v>1.345248</v>
      </c>
      <c r="K699" s="5">
        <f t="shared" si="21"/>
        <v>1.345248</v>
      </c>
      <c r="L699" s="6">
        <f>K699/'Quellen &amp; Annahmen'!$B$2</f>
        <v>1.2185119159818368E-5</v>
      </c>
      <c r="M699" s="7" t="s">
        <v>187</v>
      </c>
      <c r="N699" s="7" t="s">
        <v>188</v>
      </c>
    </row>
    <row r="700" spans="1:14" ht="18" customHeight="1">
      <c r="A700">
        <v>699</v>
      </c>
      <c r="B700" t="s">
        <v>785</v>
      </c>
      <c r="C700" t="s">
        <v>23</v>
      </c>
      <c r="D700" s="2">
        <v>0</v>
      </c>
      <c r="E700" s="2">
        <v>0</v>
      </c>
      <c r="F700" s="2">
        <v>0</v>
      </c>
      <c r="G700" s="2">
        <v>0</v>
      </c>
      <c r="H700" s="2">
        <v>1.345248</v>
      </c>
      <c r="I700" s="2">
        <v>0</v>
      </c>
      <c r="J700" s="5">
        <f t="shared" si="20"/>
        <v>1.345248</v>
      </c>
      <c r="K700" s="5">
        <f t="shared" si="21"/>
        <v>1.345248</v>
      </c>
      <c r="L700" s="6">
        <f>K700/'Quellen &amp; Annahmen'!$B$2</f>
        <v>1.2185119159818368E-5</v>
      </c>
      <c r="M700" s="7" t="s">
        <v>187</v>
      </c>
      <c r="N700" s="7" t="s">
        <v>188</v>
      </c>
    </row>
    <row r="701" spans="1:14" ht="18" customHeight="1">
      <c r="A701">
        <v>700</v>
      </c>
      <c r="B701" t="s">
        <v>786</v>
      </c>
      <c r="C701" t="s">
        <v>25</v>
      </c>
      <c r="D701" s="2">
        <v>0</v>
      </c>
      <c r="E701" s="2">
        <v>0</v>
      </c>
      <c r="F701" s="2">
        <v>0</v>
      </c>
      <c r="G701" s="2">
        <v>0</v>
      </c>
      <c r="H701" s="2">
        <v>1.345248</v>
      </c>
      <c r="I701" s="2">
        <v>0</v>
      </c>
      <c r="J701" s="5">
        <f t="shared" si="20"/>
        <v>1.345248</v>
      </c>
      <c r="K701" s="5">
        <f t="shared" si="21"/>
        <v>1.345248</v>
      </c>
      <c r="L701" s="6">
        <f>K701/'Quellen &amp; Annahmen'!$B$2</f>
        <v>1.2185119159818368E-5</v>
      </c>
      <c r="M701" s="7" t="s">
        <v>187</v>
      </c>
      <c r="N701" s="7" t="s">
        <v>188</v>
      </c>
    </row>
    <row r="702" spans="1:14" ht="18" customHeight="1">
      <c r="A702">
        <v>701</v>
      </c>
      <c r="B702" t="s">
        <v>787</v>
      </c>
      <c r="C702" t="s">
        <v>253</v>
      </c>
      <c r="D702" s="2">
        <v>0</v>
      </c>
      <c r="E702" s="2">
        <v>0</v>
      </c>
      <c r="F702" s="2">
        <v>0</v>
      </c>
      <c r="G702" s="2">
        <v>0</v>
      </c>
      <c r="H702" s="2">
        <v>1.345248</v>
      </c>
      <c r="I702" s="2">
        <v>0</v>
      </c>
      <c r="J702" s="5">
        <f t="shared" si="20"/>
        <v>1.345248</v>
      </c>
      <c r="K702" s="5">
        <f t="shared" si="21"/>
        <v>1.345248</v>
      </c>
      <c r="L702" s="6">
        <f>K702/'Quellen &amp; Annahmen'!$B$2</f>
        <v>1.2185119159818368E-5</v>
      </c>
      <c r="M702" s="7" t="s">
        <v>187</v>
      </c>
      <c r="N702" s="7" t="s">
        <v>188</v>
      </c>
    </row>
    <row r="703" spans="1:14" ht="18" customHeight="1">
      <c r="A703">
        <v>702</v>
      </c>
      <c r="B703" t="s">
        <v>788</v>
      </c>
      <c r="C703" t="s">
        <v>50</v>
      </c>
      <c r="D703" s="2">
        <v>0</v>
      </c>
      <c r="E703" s="2">
        <v>0</v>
      </c>
      <c r="F703" s="2">
        <v>0</v>
      </c>
      <c r="G703" s="2">
        <v>0</v>
      </c>
      <c r="H703" s="2">
        <v>1.345248</v>
      </c>
      <c r="I703" s="2">
        <v>0</v>
      </c>
      <c r="J703" s="5">
        <f t="shared" si="20"/>
        <v>1.345248</v>
      </c>
      <c r="K703" s="5">
        <f t="shared" si="21"/>
        <v>1.345248</v>
      </c>
      <c r="L703" s="6">
        <f>K703/'Quellen &amp; Annahmen'!$B$2</f>
        <v>1.2185119159818368E-5</v>
      </c>
      <c r="M703" s="7" t="s">
        <v>187</v>
      </c>
      <c r="N703" s="7" t="s">
        <v>188</v>
      </c>
    </row>
    <row r="704" spans="1:14" ht="18" customHeight="1">
      <c r="A704">
        <v>703</v>
      </c>
      <c r="B704" t="s">
        <v>789</v>
      </c>
      <c r="C704" t="s">
        <v>50</v>
      </c>
      <c r="D704" s="2">
        <v>0</v>
      </c>
      <c r="E704" s="2">
        <v>0</v>
      </c>
      <c r="F704" s="2">
        <v>0</v>
      </c>
      <c r="G704" s="2">
        <v>0</v>
      </c>
      <c r="H704" s="2">
        <v>0.336312</v>
      </c>
      <c r="I704" s="2">
        <v>0.91283199999999998</v>
      </c>
      <c r="J704" s="5">
        <f t="shared" si="20"/>
        <v>1.249144</v>
      </c>
      <c r="K704" s="5">
        <f t="shared" si="21"/>
        <v>1.249144</v>
      </c>
      <c r="L704" s="6">
        <f>K704/'Quellen &amp; Annahmen'!$B$2</f>
        <v>1.1314618931061154E-5</v>
      </c>
      <c r="M704" s="7" t="s">
        <v>179</v>
      </c>
      <c r="N704" s="7" t="s">
        <v>180</v>
      </c>
    </row>
    <row r="705" spans="1:14" ht="18" customHeight="1">
      <c r="A705">
        <v>704</v>
      </c>
      <c r="B705" t="s">
        <v>790</v>
      </c>
      <c r="C705" t="s">
        <v>41</v>
      </c>
      <c r="D705" s="2">
        <v>0</v>
      </c>
      <c r="E705" s="2">
        <v>0</v>
      </c>
      <c r="F705" s="2">
        <v>0</v>
      </c>
      <c r="G705" s="2">
        <v>0</v>
      </c>
      <c r="H705" s="2">
        <v>0.336312</v>
      </c>
      <c r="I705" s="2">
        <v>0.91283199999999998</v>
      </c>
      <c r="J705" s="5">
        <f t="shared" si="20"/>
        <v>1.249144</v>
      </c>
      <c r="K705" s="5">
        <f t="shared" si="21"/>
        <v>1.249144</v>
      </c>
      <c r="L705" s="6">
        <f>K705/'Quellen &amp; Annahmen'!$B$2</f>
        <v>1.1314618931061154E-5</v>
      </c>
      <c r="M705" s="7" t="s">
        <v>179</v>
      </c>
      <c r="N705" s="7" t="s">
        <v>180</v>
      </c>
    </row>
    <row r="706" spans="1:14" ht="18" customHeight="1">
      <c r="A706">
        <v>705</v>
      </c>
      <c r="B706" t="s">
        <v>791</v>
      </c>
      <c r="C706" t="s">
        <v>50</v>
      </c>
      <c r="D706" s="2">
        <v>0</v>
      </c>
      <c r="E706" s="2">
        <v>0</v>
      </c>
      <c r="F706" s="2">
        <v>0</v>
      </c>
      <c r="G706" s="2">
        <v>0</v>
      </c>
      <c r="H706" s="2">
        <v>0.336312</v>
      </c>
      <c r="I706" s="2">
        <v>0.91283199999999998</v>
      </c>
      <c r="J706" s="5">
        <f t="shared" ref="J706:J769" si="22">SUM(E706:I706)</f>
        <v>1.249144</v>
      </c>
      <c r="K706" s="5">
        <f t="shared" ref="K706:K769" si="23">D706+J706</f>
        <v>1.249144</v>
      </c>
      <c r="L706" s="6">
        <f>K706/'Quellen &amp; Annahmen'!$B$2</f>
        <v>1.1314618931061154E-5</v>
      </c>
      <c r="M706" s="7" t="s">
        <v>179</v>
      </c>
      <c r="N706" s="7" t="s">
        <v>180</v>
      </c>
    </row>
    <row r="707" spans="1:14" ht="18" customHeight="1">
      <c r="A707">
        <v>706</v>
      </c>
      <c r="B707" t="s">
        <v>792</v>
      </c>
      <c r="C707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0.336312</v>
      </c>
      <c r="I707" s="2">
        <v>0.91283199999999998</v>
      </c>
      <c r="J707" s="5">
        <f t="shared" si="22"/>
        <v>1.249144</v>
      </c>
      <c r="K707" s="5">
        <f t="shared" si="23"/>
        <v>1.249144</v>
      </c>
      <c r="L707" s="6">
        <f>K707/'Quellen &amp; Annahmen'!$B$2</f>
        <v>1.1314618931061154E-5</v>
      </c>
      <c r="M707" s="7" t="s">
        <v>179</v>
      </c>
      <c r="N707" s="7" t="s">
        <v>180</v>
      </c>
    </row>
    <row r="708" spans="1:14" ht="18" customHeight="1">
      <c r="A708">
        <v>707</v>
      </c>
      <c r="B708" t="s">
        <v>793</v>
      </c>
      <c r="C708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0.336312</v>
      </c>
      <c r="I708" s="2">
        <v>0.91283199999999998</v>
      </c>
      <c r="J708" s="5">
        <f t="shared" si="22"/>
        <v>1.249144</v>
      </c>
      <c r="K708" s="5">
        <f t="shared" si="23"/>
        <v>1.249144</v>
      </c>
      <c r="L708" s="6">
        <f>K708/'Quellen &amp; Annahmen'!$B$2</f>
        <v>1.1314618931061154E-5</v>
      </c>
      <c r="M708" s="7" t="s">
        <v>179</v>
      </c>
      <c r="N708" s="7" t="s">
        <v>180</v>
      </c>
    </row>
    <row r="709" spans="1:14" ht="18" customHeight="1">
      <c r="A709">
        <v>708</v>
      </c>
      <c r="B709" t="s">
        <v>794</v>
      </c>
      <c r="C709" t="s">
        <v>50</v>
      </c>
      <c r="D709" s="2">
        <v>0</v>
      </c>
      <c r="E709" s="2">
        <v>0</v>
      </c>
      <c r="F709" s="2">
        <v>0</v>
      </c>
      <c r="G709" s="2">
        <v>0</v>
      </c>
      <c r="H709" s="2">
        <v>0.336312</v>
      </c>
      <c r="I709" s="2">
        <v>0.91283199999999998</v>
      </c>
      <c r="J709" s="5">
        <f t="shared" si="22"/>
        <v>1.249144</v>
      </c>
      <c r="K709" s="5">
        <f t="shared" si="23"/>
        <v>1.249144</v>
      </c>
      <c r="L709" s="6">
        <f>K709/'Quellen &amp; Annahmen'!$B$2</f>
        <v>1.1314618931061154E-5</v>
      </c>
      <c r="M709" s="7" t="s">
        <v>179</v>
      </c>
      <c r="N709" s="7" t="s">
        <v>180</v>
      </c>
    </row>
    <row r="710" spans="1:14" ht="18" customHeight="1">
      <c r="A710">
        <v>709</v>
      </c>
      <c r="B710" t="s">
        <v>795</v>
      </c>
      <c r="C710" t="s">
        <v>38</v>
      </c>
      <c r="D710" s="2">
        <v>0</v>
      </c>
      <c r="E710" s="2">
        <v>0</v>
      </c>
      <c r="F710" s="2">
        <v>0</v>
      </c>
      <c r="G710" s="2">
        <v>0</v>
      </c>
      <c r="H710" s="2">
        <v>0.336312</v>
      </c>
      <c r="I710" s="2">
        <v>0.91283199999999998</v>
      </c>
      <c r="J710" s="5">
        <f t="shared" si="22"/>
        <v>1.249144</v>
      </c>
      <c r="K710" s="5">
        <f t="shared" si="23"/>
        <v>1.249144</v>
      </c>
      <c r="L710" s="6">
        <f>K710/'Quellen &amp; Annahmen'!$B$2</f>
        <v>1.1314618931061154E-5</v>
      </c>
      <c r="M710" s="7" t="s">
        <v>179</v>
      </c>
      <c r="N710" s="7" t="s">
        <v>180</v>
      </c>
    </row>
    <row r="711" spans="1:14" ht="18" customHeight="1">
      <c r="A711">
        <v>710</v>
      </c>
      <c r="B711" t="s">
        <v>796</v>
      </c>
      <c r="C711" t="s">
        <v>50</v>
      </c>
      <c r="D711" s="2">
        <v>0</v>
      </c>
      <c r="E711" s="2">
        <v>0</v>
      </c>
      <c r="F711" s="2">
        <v>0</v>
      </c>
      <c r="G711" s="2">
        <v>0</v>
      </c>
      <c r="H711" s="2">
        <v>0.336312</v>
      </c>
      <c r="I711" s="2">
        <v>0.91283199999999998</v>
      </c>
      <c r="J711" s="5">
        <f t="shared" si="22"/>
        <v>1.249144</v>
      </c>
      <c r="K711" s="5">
        <f t="shared" si="23"/>
        <v>1.249144</v>
      </c>
      <c r="L711" s="6">
        <f>K711/'Quellen &amp; Annahmen'!$B$2</f>
        <v>1.1314618931061154E-5</v>
      </c>
      <c r="M711" s="7" t="s">
        <v>179</v>
      </c>
      <c r="N711" s="7" t="s">
        <v>180</v>
      </c>
    </row>
    <row r="712" spans="1:14" ht="18" customHeight="1">
      <c r="A712">
        <v>711</v>
      </c>
      <c r="B712" t="s">
        <v>797</v>
      </c>
      <c r="C712" t="s">
        <v>50</v>
      </c>
      <c r="D712" s="2">
        <v>0</v>
      </c>
      <c r="E712" s="2">
        <v>0</v>
      </c>
      <c r="F712" s="2">
        <v>0</v>
      </c>
      <c r="G712" s="2">
        <v>0</v>
      </c>
      <c r="H712" s="2">
        <v>0.336312</v>
      </c>
      <c r="I712" s="2">
        <v>0.91283199999999998</v>
      </c>
      <c r="J712" s="5">
        <f t="shared" si="22"/>
        <v>1.249144</v>
      </c>
      <c r="K712" s="5">
        <f t="shared" si="23"/>
        <v>1.249144</v>
      </c>
      <c r="L712" s="6">
        <f>K712/'Quellen &amp; Annahmen'!$B$2</f>
        <v>1.1314618931061154E-5</v>
      </c>
      <c r="M712" s="7" t="s">
        <v>179</v>
      </c>
      <c r="N712" s="7" t="s">
        <v>180</v>
      </c>
    </row>
    <row r="713" spans="1:14" ht="18" customHeight="1">
      <c r="A713">
        <v>712</v>
      </c>
      <c r="B713" t="s">
        <v>798</v>
      </c>
      <c r="C713" t="s">
        <v>41</v>
      </c>
      <c r="D713" s="2">
        <v>0</v>
      </c>
      <c r="E713" s="2">
        <v>0</v>
      </c>
      <c r="F713" s="2">
        <v>0</v>
      </c>
      <c r="G713" s="2">
        <v>0</v>
      </c>
      <c r="H713" s="2">
        <v>0.336312</v>
      </c>
      <c r="I713" s="2">
        <v>0.91283199999999998</v>
      </c>
      <c r="J713" s="5">
        <f t="shared" si="22"/>
        <v>1.249144</v>
      </c>
      <c r="K713" s="5">
        <f t="shared" si="23"/>
        <v>1.249144</v>
      </c>
      <c r="L713" s="6">
        <f>K713/'Quellen &amp; Annahmen'!$B$2</f>
        <v>1.1314618931061154E-5</v>
      </c>
      <c r="M713" s="7" t="s">
        <v>179</v>
      </c>
      <c r="N713" s="7" t="s">
        <v>180</v>
      </c>
    </row>
    <row r="714" spans="1:14" ht="18" customHeight="1">
      <c r="A714">
        <v>713</v>
      </c>
      <c r="B714" t="s">
        <v>799</v>
      </c>
      <c r="C714" t="s">
        <v>108</v>
      </c>
      <c r="D714" s="2">
        <v>0</v>
      </c>
      <c r="E714" s="2">
        <v>0</v>
      </c>
      <c r="F714" s="2">
        <v>0</v>
      </c>
      <c r="G714" s="2">
        <v>0</v>
      </c>
      <c r="H714" s="2">
        <v>0.336312</v>
      </c>
      <c r="I714" s="2">
        <v>0.91283199999999998</v>
      </c>
      <c r="J714" s="5">
        <f t="shared" si="22"/>
        <v>1.249144</v>
      </c>
      <c r="K714" s="5">
        <f t="shared" si="23"/>
        <v>1.249144</v>
      </c>
      <c r="L714" s="6">
        <f>K714/'Quellen &amp; Annahmen'!$B$2</f>
        <v>1.1314618931061154E-5</v>
      </c>
      <c r="M714" s="7" t="s">
        <v>179</v>
      </c>
      <c r="N714" s="7" t="s">
        <v>180</v>
      </c>
    </row>
    <row r="715" spans="1:14" ht="18" customHeight="1">
      <c r="A715">
        <v>714</v>
      </c>
      <c r="B715" t="s">
        <v>800</v>
      </c>
      <c r="C715" t="s">
        <v>263</v>
      </c>
      <c r="D715" s="2">
        <v>0</v>
      </c>
      <c r="E715" s="2">
        <v>0</v>
      </c>
      <c r="F715" s="2">
        <v>0</v>
      </c>
      <c r="G715" s="2">
        <v>0</v>
      </c>
      <c r="H715" s="2">
        <v>0.336312</v>
      </c>
      <c r="I715" s="2">
        <v>0.91283199999999998</v>
      </c>
      <c r="J715" s="5">
        <f t="shared" si="22"/>
        <v>1.249144</v>
      </c>
      <c r="K715" s="5">
        <f t="shared" si="23"/>
        <v>1.249144</v>
      </c>
      <c r="L715" s="6">
        <f>K715/'Quellen &amp; Annahmen'!$B$2</f>
        <v>1.1314618931061154E-5</v>
      </c>
      <c r="M715" s="7" t="s">
        <v>179</v>
      </c>
      <c r="N715" s="7" t="s">
        <v>180</v>
      </c>
    </row>
    <row r="716" spans="1:14" ht="18" customHeight="1">
      <c r="A716">
        <v>715</v>
      </c>
      <c r="B716" t="s">
        <v>801</v>
      </c>
      <c r="C716" t="s">
        <v>23</v>
      </c>
      <c r="D716" s="2">
        <v>0</v>
      </c>
      <c r="E716" s="2">
        <v>0</v>
      </c>
      <c r="F716" s="2">
        <v>0</v>
      </c>
      <c r="G716" s="2">
        <v>0</v>
      </c>
      <c r="H716" s="2">
        <v>0.672624</v>
      </c>
      <c r="I716" s="2">
        <v>0.57052000000000003</v>
      </c>
      <c r="J716" s="5">
        <f t="shared" si="22"/>
        <v>1.243144</v>
      </c>
      <c r="K716" s="5">
        <f t="shared" si="23"/>
        <v>1.243144</v>
      </c>
      <c r="L716" s="6">
        <f>K716/'Quellen &amp; Annahmen'!$B$2</f>
        <v>1.1260271543100785E-5</v>
      </c>
      <c r="M716" s="7" t="s">
        <v>179</v>
      </c>
      <c r="N716" s="7" t="s">
        <v>180</v>
      </c>
    </row>
    <row r="717" spans="1:14" ht="18" customHeight="1">
      <c r="A717">
        <v>716</v>
      </c>
      <c r="B717" t="s">
        <v>802</v>
      </c>
      <c r="C717" t="s">
        <v>33</v>
      </c>
      <c r="D717" s="2">
        <v>0</v>
      </c>
      <c r="E717" s="2">
        <v>0</v>
      </c>
      <c r="F717" s="2">
        <v>0</v>
      </c>
      <c r="G717" s="2">
        <v>0</v>
      </c>
      <c r="H717" s="2">
        <v>0.672624</v>
      </c>
      <c r="I717" s="2">
        <v>0.57052000000000003</v>
      </c>
      <c r="J717" s="5">
        <f t="shared" si="22"/>
        <v>1.243144</v>
      </c>
      <c r="K717" s="5">
        <f t="shared" si="23"/>
        <v>1.243144</v>
      </c>
      <c r="L717" s="6">
        <f>K717/'Quellen &amp; Annahmen'!$B$2</f>
        <v>1.1260271543100785E-5</v>
      </c>
      <c r="M717" s="7" t="s">
        <v>179</v>
      </c>
      <c r="N717" s="7" t="s">
        <v>180</v>
      </c>
    </row>
    <row r="718" spans="1:14" ht="18" customHeight="1">
      <c r="A718">
        <v>717</v>
      </c>
      <c r="B718" t="s">
        <v>803</v>
      </c>
      <c r="C718" t="s">
        <v>25</v>
      </c>
      <c r="D718" s="2">
        <v>0</v>
      </c>
      <c r="E718" s="2">
        <v>0</v>
      </c>
      <c r="F718" s="2">
        <v>0</v>
      </c>
      <c r="G718" s="2">
        <v>0</v>
      </c>
      <c r="H718" s="2">
        <v>0.672624</v>
      </c>
      <c r="I718" s="2">
        <v>0.57052000000000003</v>
      </c>
      <c r="J718" s="5">
        <f t="shared" si="22"/>
        <v>1.243144</v>
      </c>
      <c r="K718" s="5">
        <f t="shared" si="23"/>
        <v>1.243144</v>
      </c>
      <c r="L718" s="6">
        <f>K718/'Quellen &amp; Annahmen'!$B$2</f>
        <v>1.1260271543100785E-5</v>
      </c>
      <c r="M718" s="7" t="s">
        <v>179</v>
      </c>
      <c r="N718" s="7" t="s">
        <v>180</v>
      </c>
    </row>
    <row r="719" spans="1:14" ht="18" customHeight="1">
      <c r="A719">
        <v>718</v>
      </c>
      <c r="B719" t="s">
        <v>804</v>
      </c>
      <c r="C719" t="s">
        <v>253</v>
      </c>
      <c r="D719" s="2">
        <v>0</v>
      </c>
      <c r="E719" s="2">
        <v>0</v>
      </c>
      <c r="F719" s="2">
        <v>0</v>
      </c>
      <c r="G719" s="2">
        <v>0</v>
      </c>
      <c r="H719" s="2">
        <v>0.336312</v>
      </c>
      <c r="I719" s="2">
        <v>0.79872799999999999</v>
      </c>
      <c r="J719" s="5">
        <f t="shared" si="22"/>
        <v>1.13504</v>
      </c>
      <c r="K719" s="5">
        <f t="shared" si="23"/>
        <v>1.13504</v>
      </c>
      <c r="L719" s="6">
        <f>K719/'Quellen &amp; Annahmen'!$B$2</f>
        <v>1.0281076538422834E-5</v>
      </c>
      <c r="M719" s="7" t="s">
        <v>179</v>
      </c>
      <c r="N719" s="7" t="s">
        <v>180</v>
      </c>
    </row>
    <row r="720" spans="1:14" ht="18" customHeight="1">
      <c r="A720">
        <v>719</v>
      </c>
      <c r="B720" t="s">
        <v>805</v>
      </c>
      <c r="C720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0.336312</v>
      </c>
      <c r="I720" s="2">
        <v>0.79872799999999999</v>
      </c>
      <c r="J720" s="5">
        <f t="shared" si="22"/>
        <v>1.13504</v>
      </c>
      <c r="K720" s="5">
        <f t="shared" si="23"/>
        <v>1.13504</v>
      </c>
      <c r="L720" s="6">
        <f>K720/'Quellen &amp; Annahmen'!$B$2</f>
        <v>1.0281076538422834E-5</v>
      </c>
      <c r="M720" s="7" t="s">
        <v>179</v>
      </c>
      <c r="N720" s="7" t="s">
        <v>180</v>
      </c>
    </row>
    <row r="721" spans="1:14" ht="18" customHeight="1">
      <c r="A721">
        <v>720</v>
      </c>
      <c r="B721" t="s">
        <v>806</v>
      </c>
      <c r="C721" t="s">
        <v>41</v>
      </c>
      <c r="D721" s="2">
        <v>0</v>
      </c>
      <c r="E721" s="2">
        <v>0</v>
      </c>
      <c r="F721" s="2">
        <v>0</v>
      </c>
      <c r="G721" s="2">
        <v>0</v>
      </c>
      <c r="H721" s="2">
        <v>0.336312</v>
      </c>
      <c r="I721" s="2">
        <v>0.79872799999999999</v>
      </c>
      <c r="J721" s="5">
        <f t="shared" si="22"/>
        <v>1.13504</v>
      </c>
      <c r="K721" s="5">
        <f t="shared" si="23"/>
        <v>1.13504</v>
      </c>
      <c r="L721" s="6">
        <f>K721/'Quellen &amp; Annahmen'!$B$2</f>
        <v>1.0281076538422834E-5</v>
      </c>
      <c r="M721" s="7" t="s">
        <v>179</v>
      </c>
      <c r="N721" s="7" t="s">
        <v>180</v>
      </c>
    </row>
    <row r="722" spans="1:14" ht="18" customHeight="1">
      <c r="A722">
        <v>721</v>
      </c>
      <c r="B722" t="s">
        <v>807</v>
      </c>
      <c r="C722" t="s">
        <v>50</v>
      </c>
      <c r="D722" s="2">
        <v>0</v>
      </c>
      <c r="E722" s="2">
        <v>0</v>
      </c>
      <c r="F722" s="2">
        <v>0</v>
      </c>
      <c r="G722" s="2">
        <v>0</v>
      </c>
      <c r="H722" s="2">
        <v>0.336312</v>
      </c>
      <c r="I722" s="2">
        <v>0.79872799999999999</v>
      </c>
      <c r="J722" s="5">
        <f t="shared" si="22"/>
        <v>1.13504</v>
      </c>
      <c r="K722" s="5">
        <f t="shared" si="23"/>
        <v>1.13504</v>
      </c>
      <c r="L722" s="6">
        <f>K722/'Quellen &amp; Annahmen'!$B$2</f>
        <v>1.0281076538422834E-5</v>
      </c>
      <c r="M722" s="7" t="s">
        <v>179</v>
      </c>
      <c r="N722" s="7" t="s">
        <v>180</v>
      </c>
    </row>
    <row r="723" spans="1:14" ht="18" customHeight="1">
      <c r="A723">
        <v>722</v>
      </c>
      <c r="B723" t="s">
        <v>808</v>
      </c>
      <c r="C723" t="s">
        <v>50</v>
      </c>
      <c r="D723" s="2">
        <v>0</v>
      </c>
      <c r="E723" s="2">
        <v>0</v>
      </c>
      <c r="F723" s="2">
        <v>0</v>
      </c>
      <c r="G723" s="2">
        <v>0</v>
      </c>
      <c r="H723" s="2">
        <v>0.336312</v>
      </c>
      <c r="I723" s="2">
        <v>0.79872799999999999</v>
      </c>
      <c r="J723" s="5">
        <f t="shared" si="22"/>
        <v>1.13504</v>
      </c>
      <c r="K723" s="5">
        <f t="shared" si="23"/>
        <v>1.13504</v>
      </c>
      <c r="L723" s="6">
        <f>K723/'Quellen &amp; Annahmen'!$B$2</f>
        <v>1.0281076538422834E-5</v>
      </c>
      <c r="M723" s="7" t="s">
        <v>179</v>
      </c>
      <c r="N723" s="7" t="s">
        <v>180</v>
      </c>
    </row>
    <row r="724" spans="1:14" ht="18" customHeight="1">
      <c r="A724">
        <v>723</v>
      </c>
      <c r="B724" t="s">
        <v>809</v>
      </c>
      <c r="C724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0.336312</v>
      </c>
      <c r="I724" s="2">
        <v>0.79872799999999999</v>
      </c>
      <c r="J724" s="5">
        <f t="shared" si="22"/>
        <v>1.13504</v>
      </c>
      <c r="K724" s="5">
        <f t="shared" si="23"/>
        <v>1.13504</v>
      </c>
      <c r="L724" s="6">
        <f>K724/'Quellen &amp; Annahmen'!$B$2</f>
        <v>1.0281076538422834E-5</v>
      </c>
      <c r="M724" s="7" t="s">
        <v>179</v>
      </c>
      <c r="N724" s="7" t="s">
        <v>180</v>
      </c>
    </row>
    <row r="725" spans="1:14" ht="18" customHeight="1">
      <c r="A725">
        <v>724</v>
      </c>
      <c r="B725" t="s">
        <v>810</v>
      </c>
      <c r="C725" t="s">
        <v>38</v>
      </c>
      <c r="D725" s="2">
        <v>0</v>
      </c>
      <c r="E725" s="2">
        <v>0</v>
      </c>
      <c r="F725" s="2">
        <v>0</v>
      </c>
      <c r="G725" s="2">
        <v>0</v>
      </c>
      <c r="H725" s="2">
        <v>0.336312</v>
      </c>
      <c r="I725" s="2">
        <v>0.79872799999999999</v>
      </c>
      <c r="J725" s="5">
        <f t="shared" si="22"/>
        <v>1.13504</v>
      </c>
      <c r="K725" s="5">
        <f t="shared" si="23"/>
        <v>1.13504</v>
      </c>
      <c r="L725" s="6">
        <f>K725/'Quellen &amp; Annahmen'!$B$2</f>
        <v>1.0281076538422834E-5</v>
      </c>
      <c r="M725" s="7" t="s">
        <v>179</v>
      </c>
      <c r="N725" s="7" t="s">
        <v>180</v>
      </c>
    </row>
    <row r="726" spans="1:14" ht="18" customHeight="1">
      <c r="A726">
        <v>725</v>
      </c>
      <c r="B726" t="s">
        <v>811</v>
      </c>
      <c r="C726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0.336312</v>
      </c>
      <c r="I726" s="2">
        <v>0.79872799999999999</v>
      </c>
      <c r="J726" s="5">
        <f t="shared" si="22"/>
        <v>1.13504</v>
      </c>
      <c r="K726" s="5">
        <f t="shared" si="23"/>
        <v>1.13504</v>
      </c>
      <c r="L726" s="6">
        <f>K726/'Quellen &amp; Annahmen'!$B$2</f>
        <v>1.0281076538422834E-5</v>
      </c>
      <c r="M726" s="7" t="s">
        <v>179</v>
      </c>
      <c r="N726" s="7" t="s">
        <v>180</v>
      </c>
    </row>
    <row r="727" spans="1:14" ht="18" customHeight="1">
      <c r="A727">
        <v>726</v>
      </c>
      <c r="B727" t="s">
        <v>812</v>
      </c>
      <c r="C727" t="s">
        <v>38</v>
      </c>
      <c r="D727" s="2">
        <v>0</v>
      </c>
      <c r="E727" s="2">
        <v>0</v>
      </c>
      <c r="F727" s="2">
        <v>0</v>
      </c>
      <c r="G727" s="2">
        <v>0</v>
      </c>
      <c r="H727" s="2">
        <v>0.336312</v>
      </c>
      <c r="I727" s="2">
        <v>0.79872799999999999</v>
      </c>
      <c r="J727" s="5">
        <f t="shared" si="22"/>
        <v>1.13504</v>
      </c>
      <c r="K727" s="5">
        <f t="shared" si="23"/>
        <v>1.13504</v>
      </c>
      <c r="L727" s="6">
        <f>K727/'Quellen &amp; Annahmen'!$B$2</f>
        <v>1.0281076538422834E-5</v>
      </c>
      <c r="M727" s="7" t="s">
        <v>179</v>
      </c>
      <c r="N727" s="7" t="s">
        <v>180</v>
      </c>
    </row>
    <row r="728" spans="1:14" ht="18" customHeight="1">
      <c r="A728">
        <v>727</v>
      </c>
      <c r="B728" t="s">
        <v>813</v>
      </c>
      <c r="C728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0.336312</v>
      </c>
      <c r="I728" s="2">
        <v>0.79872799999999999</v>
      </c>
      <c r="J728" s="5">
        <f t="shared" si="22"/>
        <v>1.13504</v>
      </c>
      <c r="K728" s="5">
        <f t="shared" si="23"/>
        <v>1.13504</v>
      </c>
      <c r="L728" s="6">
        <f>K728/'Quellen &amp; Annahmen'!$B$2</f>
        <v>1.0281076538422834E-5</v>
      </c>
      <c r="M728" s="7" t="s">
        <v>179</v>
      </c>
      <c r="N728" s="7" t="s">
        <v>180</v>
      </c>
    </row>
    <row r="729" spans="1:14" ht="18" customHeight="1">
      <c r="A729">
        <v>728</v>
      </c>
      <c r="B729" t="s">
        <v>814</v>
      </c>
      <c r="C729" t="s">
        <v>263</v>
      </c>
      <c r="D729" s="2">
        <v>0</v>
      </c>
      <c r="E729" s="2">
        <v>0</v>
      </c>
      <c r="F729" s="2">
        <v>0</v>
      </c>
      <c r="G729" s="2">
        <v>0</v>
      </c>
      <c r="H729" s="2">
        <v>0.336312</v>
      </c>
      <c r="I729" s="2">
        <v>0.79872799999999999</v>
      </c>
      <c r="J729" s="5">
        <f t="shared" si="22"/>
        <v>1.13504</v>
      </c>
      <c r="K729" s="5">
        <f t="shared" si="23"/>
        <v>1.13504</v>
      </c>
      <c r="L729" s="6">
        <f>K729/'Quellen &amp; Annahmen'!$B$2</f>
        <v>1.0281076538422834E-5</v>
      </c>
      <c r="M729" s="7" t="s">
        <v>179</v>
      </c>
      <c r="N729" s="7" t="s">
        <v>180</v>
      </c>
    </row>
    <row r="730" spans="1:14" ht="18" customHeight="1">
      <c r="A730">
        <v>729</v>
      </c>
      <c r="B730" t="s">
        <v>815</v>
      </c>
      <c r="C730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0.336312</v>
      </c>
      <c r="I730" s="2">
        <v>0.79872799999999999</v>
      </c>
      <c r="J730" s="5">
        <f t="shared" si="22"/>
        <v>1.13504</v>
      </c>
      <c r="K730" s="5">
        <f t="shared" si="23"/>
        <v>1.13504</v>
      </c>
      <c r="L730" s="6">
        <f>K730/'Quellen &amp; Annahmen'!$B$2</f>
        <v>1.0281076538422834E-5</v>
      </c>
      <c r="M730" s="7" t="s">
        <v>179</v>
      </c>
      <c r="N730" s="7" t="s">
        <v>180</v>
      </c>
    </row>
    <row r="731" spans="1:14" ht="18" customHeight="1">
      <c r="A731">
        <v>730</v>
      </c>
      <c r="B731" t="s">
        <v>816</v>
      </c>
      <c r="C731" t="s">
        <v>23</v>
      </c>
      <c r="D731" s="2">
        <v>0</v>
      </c>
      <c r="E731" s="2">
        <v>0</v>
      </c>
      <c r="F731" s="2">
        <v>0</v>
      </c>
      <c r="G731" s="2">
        <v>0</v>
      </c>
      <c r="H731" s="2">
        <v>0.672624</v>
      </c>
      <c r="I731" s="2">
        <v>0.45641599999999999</v>
      </c>
      <c r="J731" s="5">
        <f t="shared" si="22"/>
        <v>1.12904</v>
      </c>
      <c r="K731" s="5">
        <f t="shared" si="23"/>
        <v>1.12904</v>
      </c>
      <c r="L731" s="6">
        <f>K731/'Quellen &amp; Annahmen'!$B$2</f>
        <v>1.0226729150462465E-5</v>
      </c>
      <c r="M731" s="7" t="s">
        <v>179</v>
      </c>
      <c r="N731" s="7" t="s">
        <v>180</v>
      </c>
    </row>
    <row r="732" spans="1:14" ht="18" customHeight="1">
      <c r="A732">
        <v>731</v>
      </c>
      <c r="B732" t="s">
        <v>817</v>
      </c>
      <c r="C732" t="s">
        <v>124</v>
      </c>
      <c r="D732" s="2">
        <v>0</v>
      </c>
      <c r="E732" s="2">
        <v>0</v>
      </c>
      <c r="F732" s="2">
        <v>0</v>
      </c>
      <c r="G732" s="2">
        <v>0</v>
      </c>
      <c r="H732" s="2">
        <v>0.672624</v>
      </c>
      <c r="I732" s="2">
        <v>0.45641599999999999</v>
      </c>
      <c r="J732" s="5">
        <f t="shared" si="22"/>
        <v>1.12904</v>
      </c>
      <c r="K732" s="5">
        <f t="shared" si="23"/>
        <v>1.12904</v>
      </c>
      <c r="L732" s="6">
        <f>K732/'Quellen &amp; Annahmen'!$B$2</f>
        <v>1.0226729150462465E-5</v>
      </c>
      <c r="M732" s="7" t="s">
        <v>179</v>
      </c>
      <c r="N732" s="7" t="s">
        <v>180</v>
      </c>
    </row>
    <row r="733" spans="1:14" ht="18" customHeight="1">
      <c r="A733">
        <v>732</v>
      </c>
      <c r="B733" t="s">
        <v>818</v>
      </c>
      <c r="C733" t="s">
        <v>33</v>
      </c>
      <c r="D733" s="2">
        <v>0</v>
      </c>
      <c r="E733" s="2">
        <v>0</v>
      </c>
      <c r="F733" s="2">
        <v>0</v>
      </c>
      <c r="G733" s="2">
        <v>0</v>
      </c>
      <c r="H733" s="2">
        <v>0.672624</v>
      </c>
      <c r="I733" s="2">
        <v>0.45641599999999999</v>
      </c>
      <c r="J733" s="5">
        <f t="shared" si="22"/>
        <v>1.12904</v>
      </c>
      <c r="K733" s="5">
        <f t="shared" si="23"/>
        <v>1.12904</v>
      </c>
      <c r="L733" s="6">
        <f>K733/'Quellen &amp; Annahmen'!$B$2</f>
        <v>1.0226729150462465E-5</v>
      </c>
      <c r="M733" s="7" t="s">
        <v>179</v>
      </c>
      <c r="N733" s="7" t="s">
        <v>180</v>
      </c>
    </row>
    <row r="734" spans="1:14" ht="18" customHeight="1">
      <c r="A734">
        <v>733</v>
      </c>
      <c r="B734" t="s">
        <v>819</v>
      </c>
      <c r="C734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0.336312</v>
      </c>
      <c r="I734" s="2">
        <v>0.68462400000000001</v>
      </c>
      <c r="J734" s="5">
        <f t="shared" si="22"/>
        <v>1.0209360000000001</v>
      </c>
      <c r="K734" s="5">
        <f t="shared" si="23"/>
        <v>1.0209360000000001</v>
      </c>
      <c r="L734" s="6">
        <f>K734/'Quellen &amp; Annahmen'!$B$2</f>
        <v>9.2475341457845131E-6</v>
      </c>
      <c r="M734" s="7" t="s">
        <v>179</v>
      </c>
      <c r="N734" s="7" t="s">
        <v>180</v>
      </c>
    </row>
    <row r="735" spans="1:14" ht="18" customHeight="1">
      <c r="A735">
        <v>734</v>
      </c>
      <c r="B735" t="s">
        <v>820</v>
      </c>
      <c r="C735" t="s">
        <v>41</v>
      </c>
      <c r="D735" s="2">
        <v>0</v>
      </c>
      <c r="E735" s="2">
        <v>0</v>
      </c>
      <c r="F735" s="2">
        <v>0</v>
      </c>
      <c r="G735" s="2">
        <v>0</v>
      </c>
      <c r="H735" s="2">
        <v>0.336312</v>
      </c>
      <c r="I735" s="2">
        <v>0.68462400000000001</v>
      </c>
      <c r="J735" s="5">
        <f t="shared" si="22"/>
        <v>1.0209360000000001</v>
      </c>
      <c r="K735" s="5">
        <f t="shared" si="23"/>
        <v>1.0209360000000001</v>
      </c>
      <c r="L735" s="6">
        <f>K735/'Quellen &amp; Annahmen'!$B$2</f>
        <v>9.2475341457845131E-6</v>
      </c>
      <c r="M735" s="7" t="s">
        <v>179</v>
      </c>
      <c r="N735" s="7" t="s">
        <v>180</v>
      </c>
    </row>
    <row r="736" spans="1:14" ht="18" customHeight="1">
      <c r="A736">
        <v>735</v>
      </c>
      <c r="B736" t="s">
        <v>821</v>
      </c>
      <c r="C736" t="s">
        <v>253</v>
      </c>
      <c r="D736" s="2">
        <v>0</v>
      </c>
      <c r="E736" s="2">
        <v>0</v>
      </c>
      <c r="F736" s="2">
        <v>0</v>
      </c>
      <c r="G736" s="2">
        <v>0</v>
      </c>
      <c r="H736" s="2">
        <v>0.336312</v>
      </c>
      <c r="I736" s="2">
        <v>0.68462400000000001</v>
      </c>
      <c r="J736" s="5">
        <f t="shared" si="22"/>
        <v>1.0209360000000001</v>
      </c>
      <c r="K736" s="5">
        <f t="shared" si="23"/>
        <v>1.0209360000000001</v>
      </c>
      <c r="L736" s="6">
        <f>K736/'Quellen &amp; Annahmen'!$B$2</f>
        <v>9.2475341457845131E-6</v>
      </c>
      <c r="M736" s="7" t="s">
        <v>179</v>
      </c>
      <c r="N736" s="7" t="s">
        <v>180</v>
      </c>
    </row>
    <row r="737" spans="1:14" ht="18" customHeight="1">
      <c r="A737">
        <v>736</v>
      </c>
      <c r="B737" t="s">
        <v>822</v>
      </c>
      <c r="C737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0.336312</v>
      </c>
      <c r="I737" s="2">
        <v>0.68462400000000001</v>
      </c>
      <c r="J737" s="5">
        <f t="shared" si="22"/>
        <v>1.0209360000000001</v>
      </c>
      <c r="K737" s="5">
        <f t="shared" si="23"/>
        <v>1.0209360000000001</v>
      </c>
      <c r="L737" s="6">
        <f>K737/'Quellen &amp; Annahmen'!$B$2</f>
        <v>9.2475341457845131E-6</v>
      </c>
      <c r="M737" s="7" t="s">
        <v>179</v>
      </c>
      <c r="N737" s="7" t="s">
        <v>180</v>
      </c>
    </row>
    <row r="738" spans="1:14" ht="18" customHeight="1">
      <c r="A738">
        <v>737</v>
      </c>
      <c r="B738" t="s">
        <v>823</v>
      </c>
      <c r="C738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0.336312</v>
      </c>
      <c r="I738" s="2">
        <v>0.68462400000000001</v>
      </c>
      <c r="J738" s="5">
        <f t="shared" si="22"/>
        <v>1.0209360000000001</v>
      </c>
      <c r="K738" s="5">
        <f t="shared" si="23"/>
        <v>1.0209360000000001</v>
      </c>
      <c r="L738" s="6">
        <f>K738/'Quellen &amp; Annahmen'!$B$2</f>
        <v>9.2475341457845131E-6</v>
      </c>
      <c r="M738" s="7" t="s">
        <v>179</v>
      </c>
      <c r="N738" s="7" t="s">
        <v>180</v>
      </c>
    </row>
    <row r="739" spans="1:14" ht="18" customHeight="1">
      <c r="A739">
        <v>738</v>
      </c>
      <c r="B739" t="s">
        <v>824</v>
      </c>
      <c r="C739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0.336312</v>
      </c>
      <c r="I739" s="2">
        <v>0.68462400000000001</v>
      </c>
      <c r="J739" s="5">
        <f t="shared" si="22"/>
        <v>1.0209360000000001</v>
      </c>
      <c r="K739" s="5">
        <f t="shared" si="23"/>
        <v>1.0209360000000001</v>
      </c>
      <c r="L739" s="6">
        <f>K739/'Quellen &amp; Annahmen'!$B$2</f>
        <v>9.2475341457845131E-6</v>
      </c>
      <c r="M739" s="7" t="s">
        <v>179</v>
      </c>
      <c r="N739" s="7" t="s">
        <v>180</v>
      </c>
    </row>
    <row r="740" spans="1:14" ht="18" customHeight="1">
      <c r="A740">
        <v>739</v>
      </c>
      <c r="B740" t="s">
        <v>825</v>
      </c>
      <c r="C740" t="s">
        <v>41</v>
      </c>
      <c r="D740" s="2">
        <v>0</v>
      </c>
      <c r="E740" s="2">
        <v>0</v>
      </c>
      <c r="F740" s="2">
        <v>0</v>
      </c>
      <c r="G740" s="2">
        <v>0</v>
      </c>
      <c r="H740" s="2">
        <v>0.336312</v>
      </c>
      <c r="I740" s="2">
        <v>0.68462400000000001</v>
      </c>
      <c r="J740" s="5">
        <f t="shared" si="22"/>
        <v>1.0209360000000001</v>
      </c>
      <c r="K740" s="5">
        <f t="shared" si="23"/>
        <v>1.0209360000000001</v>
      </c>
      <c r="L740" s="6">
        <f>K740/'Quellen &amp; Annahmen'!$B$2</f>
        <v>9.2475341457845131E-6</v>
      </c>
      <c r="M740" s="7" t="s">
        <v>179</v>
      </c>
      <c r="N740" s="7" t="s">
        <v>180</v>
      </c>
    </row>
    <row r="741" spans="1:14" ht="18" customHeight="1">
      <c r="A741">
        <v>740</v>
      </c>
      <c r="B741" t="s">
        <v>826</v>
      </c>
      <c r="C741" t="s">
        <v>124</v>
      </c>
      <c r="D741" s="2">
        <v>0</v>
      </c>
      <c r="E741" s="2">
        <v>0</v>
      </c>
      <c r="F741" s="2">
        <v>0</v>
      </c>
      <c r="G741" s="2">
        <v>0</v>
      </c>
      <c r="H741" s="2">
        <v>0.336312</v>
      </c>
      <c r="I741" s="2">
        <v>0.68462400000000001</v>
      </c>
      <c r="J741" s="5">
        <f t="shared" si="22"/>
        <v>1.0209360000000001</v>
      </c>
      <c r="K741" s="5">
        <f t="shared" si="23"/>
        <v>1.0209360000000001</v>
      </c>
      <c r="L741" s="6">
        <f>K741/'Quellen &amp; Annahmen'!$B$2</f>
        <v>9.2475341457845131E-6</v>
      </c>
      <c r="M741" s="7" t="s">
        <v>179</v>
      </c>
      <c r="N741" s="7" t="s">
        <v>180</v>
      </c>
    </row>
    <row r="742" spans="1:14" ht="18" customHeight="1">
      <c r="A742">
        <v>741</v>
      </c>
      <c r="B742" t="s">
        <v>827</v>
      </c>
      <c r="C742" t="s">
        <v>108</v>
      </c>
      <c r="D742" s="2">
        <v>0</v>
      </c>
      <c r="E742" s="2">
        <v>0</v>
      </c>
      <c r="F742" s="2">
        <v>0</v>
      </c>
      <c r="G742" s="2">
        <v>0</v>
      </c>
      <c r="H742" s="2">
        <v>0.336312</v>
      </c>
      <c r="I742" s="2">
        <v>0.68462400000000001</v>
      </c>
      <c r="J742" s="5">
        <f t="shared" si="22"/>
        <v>1.0209360000000001</v>
      </c>
      <c r="K742" s="5">
        <f t="shared" si="23"/>
        <v>1.0209360000000001</v>
      </c>
      <c r="L742" s="6">
        <f>K742/'Quellen &amp; Annahmen'!$B$2</f>
        <v>9.2475341457845131E-6</v>
      </c>
      <c r="M742" s="7" t="s">
        <v>179</v>
      </c>
      <c r="N742" s="7" t="s">
        <v>180</v>
      </c>
    </row>
    <row r="743" spans="1:14" ht="18" customHeight="1">
      <c r="A743">
        <v>742</v>
      </c>
      <c r="B743" t="s">
        <v>828</v>
      </c>
      <c r="C743" t="s">
        <v>38</v>
      </c>
      <c r="D743" s="2">
        <v>0</v>
      </c>
      <c r="E743" s="2">
        <v>0</v>
      </c>
      <c r="F743" s="2">
        <v>0</v>
      </c>
      <c r="G743" s="2">
        <v>0</v>
      </c>
      <c r="H743" s="2">
        <v>0.336312</v>
      </c>
      <c r="I743" s="2">
        <v>0.68462400000000001</v>
      </c>
      <c r="J743" s="5">
        <f t="shared" si="22"/>
        <v>1.0209360000000001</v>
      </c>
      <c r="K743" s="5">
        <f t="shared" si="23"/>
        <v>1.0209360000000001</v>
      </c>
      <c r="L743" s="6">
        <f>K743/'Quellen &amp; Annahmen'!$B$2</f>
        <v>9.2475341457845131E-6</v>
      </c>
      <c r="M743" s="7" t="s">
        <v>179</v>
      </c>
      <c r="N743" s="7" t="s">
        <v>180</v>
      </c>
    </row>
    <row r="744" spans="1:14" ht="18" customHeight="1">
      <c r="A744">
        <v>743</v>
      </c>
      <c r="B744" t="s">
        <v>829</v>
      </c>
      <c r="C744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0.336312</v>
      </c>
      <c r="I744" s="2">
        <v>0.68462400000000001</v>
      </c>
      <c r="J744" s="5">
        <f t="shared" si="22"/>
        <v>1.0209360000000001</v>
      </c>
      <c r="K744" s="5">
        <f t="shared" si="23"/>
        <v>1.0209360000000001</v>
      </c>
      <c r="L744" s="6">
        <f>K744/'Quellen &amp; Annahmen'!$B$2</f>
        <v>9.2475341457845131E-6</v>
      </c>
      <c r="M744" s="7" t="s">
        <v>179</v>
      </c>
      <c r="N744" s="7" t="s">
        <v>180</v>
      </c>
    </row>
    <row r="745" spans="1:14" ht="18" customHeight="1">
      <c r="A745">
        <v>744</v>
      </c>
      <c r="B745" t="s">
        <v>830</v>
      </c>
      <c r="C745" t="s">
        <v>27</v>
      </c>
      <c r="D745" s="2">
        <v>0</v>
      </c>
      <c r="E745" s="2">
        <v>0</v>
      </c>
      <c r="F745" s="2">
        <v>0</v>
      </c>
      <c r="G745" s="2">
        <v>0</v>
      </c>
      <c r="H745" s="2">
        <v>0.336312</v>
      </c>
      <c r="I745" s="2">
        <v>0.68462400000000001</v>
      </c>
      <c r="J745" s="5">
        <f t="shared" si="22"/>
        <v>1.0209360000000001</v>
      </c>
      <c r="K745" s="5">
        <f t="shared" si="23"/>
        <v>1.0209360000000001</v>
      </c>
      <c r="L745" s="6">
        <f>K745/'Quellen &amp; Annahmen'!$B$2</f>
        <v>9.2475341457845131E-6</v>
      </c>
      <c r="M745" s="7" t="s">
        <v>179</v>
      </c>
      <c r="N745" s="7" t="s">
        <v>180</v>
      </c>
    </row>
    <row r="746" spans="1:14" ht="18" customHeight="1">
      <c r="A746">
        <v>745</v>
      </c>
      <c r="B746" t="s">
        <v>831</v>
      </c>
      <c r="C746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0.336312</v>
      </c>
      <c r="I746" s="2">
        <v>0.68462400000000001</v>
      </c>
      <c r="J746" s="5">
        <f t="shared" si="22"/>
        <v>1.0209360000000001</v>
      </c>
      <c r="K746" s="5">
        <f t="shared" si="23"/>
        <v>1.0209360000000001</v>
      </c>
      <c r="L746" s="6">
        <f>K746/'Quellen &amp; Annahmen'!$B$2</f>
        <v>9.2475341457845131E-6</v>
      </c>
      <c r="M746" s="7" t="s">
        <v>179</v>
      </c>
      <c r="N746" s="7" t="s">
        <v>180</v>
      </c>
    </row>
    <row r="747" spans="1:14" ht="18" customHeight="1">
      <c r="A747">
        <v>746</v>
      </c>
      <c r="B747" t="s">
        <v>832</v>
      </c>
      <c r="C747" t="s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0.336312</v>
      </c>
      <c r="I747" s="2">
        <v>0.68462400000000001</v>
      </c>
      <c r="J747" s="5">
        <f t="shared" si="22"/>
        <v>1.0209360000000001</v>
      </c>
      <c r="K747" s="5">
        <f t="shared" si="23"/>
        <v>1.0209360000000001</v>
      </c>
      <c r="L747" s="6">
        <f>K747/'Quellen &amp; Annahmen'!$B$2</f>
        <v>9.2475341457845131E-6</v>
      </c>
      <c r="M747" s="7" t="s">
        <v>179</v>
      </c>
      <c r="N747" s="7" t="s">
        <v>180</v>
      </c>
    </row>
    <row r="748" spans="1:14" ht="18" customHeight="1">
      <c r="A748">
        <v>747</v>
      </c>
      <c r="B748" t="s">
        <v>833</v>
      </c>
      <c r="C748" t="s">
        <v>263</v>
      </c>
      <c r="D748" s="2">
        <v>0</v>
      </c>
      <c r="E748" s="2">
        <v>0</v>
      </c>
      <c r="F748" s="2">
        <v>0</v>
      </c>
      <c r="G748" s="2">
        <v>0</v>
      </c>
      <c r="H748" s="2">
        <v>0.336312</v>
      </c>
      <c r="I748" s="2">
        <v>0.68462400000000001</v>
      </c>
      <c r="J748" s="5">
        <f t="shared" si="22"/>
        <v>1.0209360000000001</v>
      </c>
      <c r="K748" s="5">
        <f t="shared" si="23"/>
        <v>1.0209360000000001</v>
      </c>
      <c r="L748" s="6">
        <f>K748/'Quellen &amp; Annahmen'!$B$2</f>
        <v>9.2475341457845131E-6</v>
      </c>
      <c r="M748" s="7" t="s">
        <v>179</v>
      </c>
      <c r="N748" s="7" t="s">
        <v>180</v>
      </c>
    </row>
    <row r="749" spans="1:14" ht="18" customHeight="1">
      <c r="A749">
        <v>748</v>
      </c>
      <c r="B749" t="s">
        <v>834</v>
      </c>
      <c r="C749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1.0089360000000001</v>
      </c>
      <c r="I749" s="2">
        <v>0</v>
      </c>
      <c r="J749" s="5">
        <f t="shared" si="22"/>
        <v>1.0089360000000001</v>
      </c>
      <c r="K749" s="5">
        <f t="shared" si="23"/>
        <v>1.0089360000000001</v>
      </c>
      <c r="L749" s="6">
        <f>K749/'Quellen &amp; Annahmen'!$B$2</f>
        <v>9.1388393698637767E-6</v>
      </c>
      <c r="M749" s="7" t="s">
        <v>187</v>
      </c>
      <c r="N749" s="7" t="s">
        <v>188</v>
      </c>
    </row>
    <row r="750" spans="1:14" ht="18" customHeight="1">
      <c r="A750">
        <v>749</v>
      </c>
      <c r="B750" t="s">
        <v>835</v>
      </c>
      <c r="C750" t="s">
        <v>23</v>
      </c>
      <c r="D750" s="2">
        <v>0</v>
      </c>
      <c r="E750" s="2">
        <v>0</v>
      </c>
      <c r="F750" s="2">
        <v>0</v>
      </c>
      <c r="G750" s="2">
        <v>0</v>
      </c>
      <c r="H750" s="2">
        <v>1.0089359999999998</v>
      </c>
      <c r="I750" s="2">
        <v>0</v>
      </c>
      <c r="J750" s="5">
        <f t="shared" si="22"/>
        <v>1.0089359999999998</v>
      </c>
      <c r="K750" s="5">
        <f t="shared" si="23"/>
        <v>1.0089359999999998</v>
      </c>
      <c r="L750" s="6">
        <f>K750/'Quellen &amp; Annahmen'!$B$2</f>
        <v>9.1388393698637733E-6</v>
      </c>
      <c r="M750" s="7" t="s">
        <v>187</v>
      </c>
      <c r="N750" s="7" t="s">
        <v>188</v>
      </c>
    </row>
    <row r="751" spans="1:14" ht="18" customHeight="1">
      <c r="A751">
        <v>750</v>
      </c>
      <c r="B751" t="s">
        <v>836</v>
      </c>
      <c r="C75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1.0089359999999998</v>
      </c>
      <c r="I751" s="2">
        <v>0</v>
      </c>
      <c r="J751" s="5">
        <f t="shared" si="22"/>
        <v>1.0089359999999998</v>
      </c>
      <c r="K751" s="5">
        <f t="shared" si="23"/>
        <v>1.0089359999999998</v>
      </c>
      <c r="L751" s="6">
        <f>K751/'Quellen &amp; Annahmen'!$B$2</f>
        <v>9.1388393698637733E-6</v>
      </c>
      <c r="M751" s="7" t="s">
        <v>187</v>
      </c>
      <c r="N751" s="7" t="s">
        <v>188</v>
      </c>
    </row>
    <row r="752" spans="1:14" ht="18" customHeight="1">
      <c r="A752">
        <v>751</v>
      </c>
      <c r="B752" t="s">
        <v>837</v>
      </c>
      <c r="C752" t="s">
        <v>33</v>
      </c>
      <c r="D752" s="2">
        <v>0</v>
      </c>
      <c r="E752" s="2">
        <v>0</v>
      </c>
      <c r="F752" s="2">
        <v>0</v>
      </c>
      <c r="G752" s="2">
        <v>0</v>
      </c>
      <c r="H752" s="2">
        <v>1.0089359999999998</v>
      </c>
      <c r="I752" s="2">
        <v>0</v>
      </c>
      <c r="J752" s="5">
        <f t="shared" si="22"/>
        <v>1.0089359999999998</v>
      </c>
      <c r="K752" s="5">
        <f t="shared" si="23"/>
        <v>1.0089359999999998</v>
      </c>
      <c r="L752" s="6">
        <f>K752/'Quellen &amp; Annahmen'!$B$2</f>
        <v>9.1388393698637733E-6</v>
      </c>
      <c r="M752" s="7" t="s">
        <v>187</v>
      </c>
      <c r="N752" s="7" t="s">
        <v>188</v>
      </c>
    </row>
    <row r="753" spans="1:14" ht="18" customHeight="1">
      <c r="A753">
        <v>752</v>
      </c>
      <c r="B753" t="s">
        <v>838</v>
      </c>
      <c r="C753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1.0089359999999998</v>
      </c>
      <c r="I753" s="2">
        <v>0</v>
      </c>
      <c r="J753" s="5">
        <f t="shared" si="22"/>
        <v>1.0089359999999998</v>
      </c>
      <c r="K753" s="5">
        <f t="shared" si="23"/>
        <v>1.0089359999999998</v>
      </c>
      <c r="L753" s="6">
        <f>K753/'Quellen &amp; Annahmen'!$B$2</f>
        <v>9.1388393698637733E-6</v>
      </c>
      <c r="M753" s="7" t="s">
        <v>187</v>
      </c>
      <c r="N753" s="7" t="s">
        <v>188</v>
      </c>
    </row>
    <row r="754" spans="1:14" ht="18" customHeight="1">
      <c r="A754">
        <v>753</v>
      </c>
      <c r="B754" t="s">
        <v>839</v>
      </c>
      <c r="C754" t="s">
        <v>108</v>
      </c>
      <c r="D754" s="2">
        <v>0</v>
      </c>
      <c r="E754" s="2">
        <v>0</v>
      </c>
      <c r="F754" s="2">
        <v>0</v>
      </c>
      <c r="G754" s="2">
        <v>0</v>
      </c>
      <c r="H754" s="2">
        <v>1.0089359999999998</v>
      </c>
      <c r="I754" s="2">
        <v>0</v>
      </c>
      <c r="J754" s="5">
        <f t="shared" si="22"/>
        <v>1.0089359999999998</v>
      </c>
      <c r="K754" s="5">
        <f t="shared" si="23"/>
        <v>1.0089359999999998</v>
      </c>
      <c r="L754" s="6">
        <f>K754/'Quellen &amp; Annahmen'!$B$2</f>
        <v>9.1388393698637733E-6</v>
      </c>
      <c r="M754" s="7" t="s">
        <v>187</v>
      </c>
      <c r="N754" s="7" t="s">
        <v>188</v>
      </c>
    </row>
    <row r="755" spans="1:14" ht="18" customHeight="1">
      <c r="A755">
        <v>754</v>
      </c>
      <c r="B755" t="s">
        <v>840</v>
      </c>
      <c r="C755" t="s">
        <v>23</v>
      </c>
      <c r="D755" s="2">
        <v>0</v>
      </c>
      <c r="E755" s="2">
        <v>0</v>
      </c>
      <c r="F755" s="2">
        <v>0</v>
      </c>
      <c r="G755" s="2">
        <v>0</v>
      </c>
      <c r="H755" s="2">
        <v>1.0089359999999998</v>
      </c>
      <c r="I755" s="2">
        <v>0</v>
      </c>
      <c r="J755" s="5">
        <f t="shared" si="22"/>
        <v>1.0089359999999998</v>
      </c>
      <c r="K755" s="5">
        <f t="shared" si="23"/>
        <v>1.0089359999999998</v>
      </c>
      <c r="L755" s="6">
        <f>K755/'Quellen &amp; Annahmen'!$B$2</f>
        <v>9.1388393698637733E-6</v>
      </c>
      <c r="M755" s="7" t="s">
        <v>187</v>
      </c>
      <c r="N755" s="7" t="s">
        <v>188</v>
      </c>
    </row>
    <row r="756" spans="1:14" ht="18" customHeight="1">
      <c r="A756">
        <v>755</v>
      </c>
      <c r="B756" t="s">
        <v>841</v>
      </c>
      <c r="C756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1.0089359999999998</v>
      </c>
      <c r="I756" s="2">
        <v>0</v>
      </c>
      <c r="J756" s="5">
        <f t="shared" si="22"/>
        <v>1.0089359999999998</v>
      </c>
      <c r="K756" s="5">
        <f t="shared" si="23"/>
        <v>1.0089359999999998</v>
      </c>
      <c r="L756" s="6">
        <f>K756/'Quellen &amp; Annahmen'!$B$2</f>
        <v>9.1388393698637733E-6</v>
      </c>
      <c r="M756" s="7" t="s">
        <v>187</v>
      </c>
      <c r="N756" s="7" t="s">
        <v>188</v>
      </c>
    </row>
    <row r="757" spans="1:14" ht="18" customHeight="1">
      <c r="A757">
        <v>756</v>
      </c>
      <c r="B757" t="s">
        <v>842</v>
      </c>
      <c r="C757" t="s">
        <v>124</v>
      </c>
      <c r="D757" s="2">
        <v>0</v>
      </c>
      <c r="E757" s="2">
        <v>0</v>
      </c>
      <c r="F757" s="2">
        <v>0</v>
      </c>
      <c r="G757" s="2">
        <v>0</v>
      </c>
      <c r="H757" s="2">
        <v>1.0089359999999998</v>
      </c>
      <c r="I757" s="2">
        <v>0</v>
      </c>
      <c r="J757" s="5">
        <f t="shared" si="22"/>
        <v>1.0089359999999998</v>
      </c>
      <c r="K757" s="5">
        <f t="shared" si="23"/>
        <v>1.0089359999999998</v>
      </c>
      <c r="L757" s="6">
        <f>K757/'Quellen &amp; Annahmen'!$B$2</f>
        <v>9.1388393698637733E-6</v>
      </c>
      <c r="M757" s="7" t="s">
        <v>187</v>
      </c>
      <c r="N757" s="7" t="s">
        <v>188</v>
      </c>
    </row>
    <row r="758" spans="1:14" ht="18" customHeight="1">
      <c r="A758">
        <v>757</v>
      </c>
      <c r="B758" t="s">
        <v>843</v>
      </c>
      <c r="C758" t="s">
        <v>108</v>
      </c>
      <c r="D758" s="2">
        <v>0</v>
      </c>
      <c r="E758" s="2">
        <v>0</v>
      </c>
      <c r="F758" s="2">
        <v>0</v>
      </c>
      <c r="G758" s="2">
        <v>0</v>
      </c>
      <c r="H758" s="2">
        <v>1.0089359999999998</v>
      </c>
      <c r="I758" s="2">
        <v>0</v>
      </c>
      <c r="J758" s="5">
        <f t="shared" si="22"/>
        <v>1.0089359999999998</v>
      </c>
      <c r="K758" s="5">
        <f t="shared" si="23"/>
        <v>1.0089359999999998</v>
      </c>
      <c r="L758" s="6">
        <f>K758/'Quellen &amp; Annahmen'!$B$2</f>
        <v>9.1388393698637733E-6</v>
      </c>
      <c r="M758" s="7" t="s">
        <v>187</v>
      </c>
      <c r="N758" s="7" t="s">
        <v>188</v>
      </c>
    </row>
    <row r="759" spans="1:14" ht="18" customHeight="1">
      <c r="A759">
        <v>758</v>
      </c>
      <c r="B759" t="s">
        <v>844</v>
      </c>
      <c r="C759" t="s">
        <v>253</v>
      </c>
      <c r="D759" s="2">
        <v>0</v>
      </c>
      <c r="E759" s="2">
        <v>0</v>
      </c>
      <c r="F759" s="2">
        <v>0</v>
      </c>
      <c r="G759" s="2">
        <v>0</v>
      </c>
      <c r="H759" s="2">
        <v>1.0089359999999998</v>
      </c>
      <c r="I759" s="2">
        <v>0</v>
      </c>
      <c r="J759" s="5">
        <f t="shared" si="22"/>
        <v>1.0089359999999998</v>
      </c>
      <c r="K759" s="5">
        <f t="shared" si="23"/>
        <v>1.0089359999999998</v>
      </c>
      <c r="L759" s="6">
        <f>K759/'Quellen &amp; Annahmen'!$B$2</f>
        <v>9.1388393698637733E-6</v>
      </c>
      <c r="M759" s="7" t="s">
        <v>187</v>
      </c>
      <c r="N759" s="7" t="s">
        <v>188</v>
      </c>
    </row>
    <row r="760" spans="1:14" ht="18" customHeight="1">
      <c r="A760">
        <v>759</v>
      </c>
      <c r="B760" t="s">
        <v>845</v>
      </c>
      <c r="C760" t="s">
        <v>253</v>
      </c>
      <c r="D760" s="2">
        <v>0</v>
      </c>
      <c r="E760" s="2">
        <v>0</v>
      </c>
      <c r="F760" s="2">
        <v>0</v>
      </c>
      <c r="G760" s="2">
        <v>0</v>
      </c>
      <c r="H760" s="2">
        <v>1.0089359999999998</v>
      </c>
      <c r="I760" s="2">
        <v>0</v>
      </c>
      <c r="J760" s="5">
        <f t="shared" si="22"/>
        <v>1.0089359999999998</v>
      </c>
      <c r="K760" s="5">
        <f t="shared" si="23"/>
        <v>1.0089359999999998</v>
      </c>
      <c r="L760" s="6">
        <f>K760/'Quellen &amp; Annahmen'!$B$2</f>
        <v>9.1388393698637733E-6</v>
      </c>
      <c r="M760" s="7" t="s">
        <v>187</v>
      </c>
      <c r="N760" s="7" t="s">
        <v>188</v>
      </c>
    </row>
    <row r="761" spans="1:14" ht="18" customHeight="1">
      <c r="A761">
        <v>760</v>
      </c>
      <c r="B761" t="s">
        <v>846</v>
      </c>
      <c r="C761" t="s">
        <v>33</v>
      </c>
      <c r="D761" s="2">
        <v>0</v>
      </c>
      <c r="E761" s="2">
        <v>0</v>
      </c>
      <c r="F761" s="2">
        <v>0</v>
      </c>
      <c r="G761" s="2">
        <v>0</v>
      </c>
      <c r="H761" s="2">
        <v>1.0089359999999998</v>
      </c>
      <c r="I761" s="2">
        <v>0</v>
      </c>
      <c r="J761" s="5">
        <f t="shared" si="22"/>
        <v>1.0089359999999998</v>
      </c>
      <c r="K761" s="5">
        <f t="shared" si="23"/>
        <v>1.0089359999999998</v>
      </c>
      <c r="L761" s="6">
        <f>K761/'Quellen &amp; Annahmen'!$B$2</f>
        <v>9.1388393698637733E-6</v>
      </c>
      <c r="M761" s="7" t="s">
        <v>187</v>
      </c>
      <c r="N761" s="7" t="s">
        <v>188</v>
      </c>
    </row>
    <row r="762" spans="1:14" ht="18" customHeight="1">
      <c r="A762">
        <v>761</v>
      </c>
      <c r="B762" t="s">
        <v>847</v>
      </c>
      <c r="C762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1.0089359999999998</v>
      </c>
      <c r="I762" s="2">
        <v>0</v>
      </c>
      <c r="J762" s="5">
        <f t="shared" si="22"/>
        <v>1.0089359999999998</v>
      </c>
      <c r="K762" s="5">
        <f t="shared" si="23"/>
        <v>1.0089359999999998</v>
      </c>
      <c r="L762" s="6">
        <f>K762/'Quellen &amp; Annahmen'!$B$2</f>
        <v>9.1388393698637733E-6</v>
      </c>
      <c r="M762" s="7" t="s">
        <v>187</v>
      </c>
      <c r="N762" s="7" t="s">
        <v>188</v>
      </c>
    </row>
    <row r="763" spans="1:14" ht="18" customHeight="1">
      <c r="A763">
        <v>762</v>
      </c>
      <c r="B763" t="s">
        <v>848</v>
      </c>
      <c r="C763" t="s">
        <v>41</v>
      </c>
      <c r="D763" s="2">
        <v>0</v>
      </c>
      <c r="E763" s="2">
        <v>0</v>
      </c>
      <c r="F763" s="2">
        <v>0</v>
      </c>
      <c r="G763" s="2">
        <v>0</v>
      </c>
      <c r="H763" s="2">
        <v>1.0089359999999998</v>
      </c>
      <c r="I763" s="2">
        <v>0</v>
      </c>
      <c r="J763" s="5">
        <f t="shared" si="22"/>
        <v>1.0089359999999998</v>
      </c>
      <c r="K763" s="5">
        <f t="shared" si="23"/>
        <v>1.0089359999999998</v>
      </c>
      <c r="L763" s="6">
        <f>K763/'Quellen &amp; Annahmen'!$B$2</f>
        <v>9.1388393698637733E-6</v>
      </c>
      <c r="M763" s="7" t="s">
        <v>187</v>
      </c>
      <c r="N763" s="7" t="s">
        <v>188</v>
      </c>
    </row>
    <row r="764" spans="1:14" ht="18" customHeight="1">
      <c r="A764">
        <v>763</v>
      </c>
      <c r="B764" t="s">
        <v>849</v>
      </c>
      <c r="C764" t="s">
        <v>263</v>
      </c>
      <c r="D764" s="2">
        <v>0</v>
      </c>
      <c r="E764" s="2">
        <v>0</v>
      </c>
      <c r="F764" s="2">
        <v>0</v>
      </c>
      <c r="G764" s="2">
        <v>0</v>
      </c>
      <c r="H764" s="2">
        <v>1.0089359999999998</v>
      </c>
      <c r="I764" s="2">
        <v>0</v>
      </c>
      <c r="J764" s="5">
        <f t="shared" si="22"/>
        <v>1.0089359999999998</v>
      </c>
      <c r="K764" s="5">
        <f t="shared" si="23"/>
        <v>1.0089359999999998</v>
      </c>
      <c r="L764" s="6">
        <f>K764/'Quellen &amp; Annahmen'!$B$2</f>
        <v>9.1388393698637733E-6</v>
      </c>
      <c r="M764" s="7" t="s">
        <v>187</v>
      </c>
      <c r="N764" s="7" t="s">
        <v>188</v>
      </c>
    </row>
    <row r="765" spans="1:14" ht="18" customHeight="1">
      <c r="A765">
        <v>764</v>
      </c>
      <c r="B765" t="s">
        <v>850</v>
      </c>
      <c r="C765" t="s">
        <v>108</v>
      </c>
      <c r="D765" s="2">
        <v>0</v>
      </c>
      <c r="E765" s="2">
        <v>0</v>
      </c>
      <c r="F765" s="2">
        <v>0</v>
      </c>
      <c r="G765" s="2">
        <v>0</v>
      </c>
      <c r="H765" s="2">
        <v>1.0089359999999998</v>
      </c>
      <c r="I765" s="2">
        <v>0</v>
      </c>
      <c r="J765" s="5">
        <f t="shared" si="22"/>
        <v>1.0089359999999998</v>
      </c>
      <c r="K765" s="5">
        <f t="shared" si="23"/>
        <v>1.0089359999999998</v>
      </c>
      <c r="L765" s="6">
        <f>K765/'Quellen &amp; Annahmen'!$B$2</f>
        <v>9.1388393698637733E-6</v>
      </c>
      <c r="M765" s="7" t="s">
        <v>187</v>
      </c>
      <c r="N765" s="7" t="s">
        <v>188</v>
      </c>
    </row>
    <row r="766" spans="1:14" ht="18" customHeight="1">
      <c r="A766">
        <v>765</v>
      </c>
      <c r="B766" t="s">
        <v>851</v>
      </c>
      <c r="C766" t="s">
        <v>33</v>
      </c>
      <c r="D766" s="2">
        <v>0</v>
      </c>
      <c r="E766" s="2">
        <v>0</v>
      </c>
      <c r="F766" s="2">
        <v>0</v>
      </c>
      <c r="G766" s="2">
        <v>0</v>
      </c>
      <c r="H766" s="2">
        <v>1.0089359999999998</v>
      </c>
      <c r="I766" s="2">
        <v>0</v>
      </c>
      <c r="J766" s="5">
        <f t="shared" si="22"/>
        <v>1.0089359999999998</v>
      </c>
      <c r="K766" s="5">
        <f t="shared" si="23"/>
        <v>1.0089359999999998</v>
      </c>
      <c r="L766" s="6">
        <f>K766/'Quellen &amp; Annahmen'!$B$2</f>
        <v>9.1388393698637733E-6</v>
      </c>
      <c r="M766" s="7" t="s">
        <v>187</v>
      </c>
      <c r="N766" s="7" t="s">
        <v>188</v>
      </c>
    </row>
    <row r="767" spans="1:14" ht="18" customHeight="1">
      <c r="A767">
        <v>766</v>
      </c>
      <c r="B767" t="s">
        <v>852</v>
      </c>
      <c r="C767" t="s">
        <v>50</v>
      </c>
      <c r="D767" s="2">
        <v>0</v>
      </c>
      <c r="E767" s="2">
        <v>0</v>
      </c>
      <c r="F767" s="2">
        <v>0</v>
      </c>
      <c r="G767" s="2">
        <v>0</v>
      </c>
      <c r="H767" s="2">
        <v>1.0089359999999998</v>
      </c>
      <c r="I767" s="2">
        <v>0</v>
      </c>
      <c r="J767" s="5">
        <f t="shared" si="22"/>
        <v>1.0089359999999998</v>
      </c>
      <c r="K767" s="5">
        <f t="shared" si="23"/>
        <v>1.0089359999999998</v>
      </c>
      <c r="L767" s="6">
        <f>K767/'Quellen &amp; Annahmen'!$B$2</f>
        <v>9.1388393698637733E-6</v>
      </c>
      <c r="M767" s="7" t="s">
        <v>187</v>
      </c>
      <c r="N767" s="7" t="s">
        <v>188</v>
      </c>
    </row>
    <row r="768" spans="1:14" ht="18" customHeight="1">
      <c r="A768">
        <v>767</v>
      </c>
      <c r="B768" t="s">
        <v>853</v>
      </c>
      <c r="C768" t="s">
        <v>33</v>
      </c>
      <c r="D768" s="2">
        <v>0</v>
      </c>
      <c r="E768" s="2">
        <v>0</v>
      </c>
      <c r="F768" s="2">
        <v>0</v>
      </c>
      <c r="G768" s="2">
        <v>0</v>
      </c>
      <c r="H768" s="2">
        <v>1.0089359999999998</v>
      </c>
      <c r="I768" s="2">
        <v>0</v>
      </c>
      <c r="J768" s="5">
        <f t="shared" si="22"/>
        <v>1.0089359999999998</v>
      </c>
      <c r="K768" s="5">
        <f t="shared" si="23"/>
        <v>1.0089359999999998</v>
      </c>
      <c r="L768" s="6">
        <f>K768/'Quellen &amp; Annahmen'!$B$2</f>
        <v>9.1388393698637733E-6</v>
      </c>
      <c r="M768" s="7" t="s">
        <v>187</v>
      </c>
      <c r="N768" s="7" t="s">
        <v>188</v>
      </c>
    </row>
    <row r="769" spans="1:14" ht="18" customHeight="1">
      <c r="A769">
        <v>768</v>
      </c>
      <c r="B769" t="s">
        <v>854</v>
      </c>
      <c r="C769" t="s">
        <v>33</v>
      </c>
      <c r="D769" s="2">
        <v>0</v>
      </c>
      <c r="E769" s="2">
        <v>0</v>
      </c>
      <c r="F769" s="2">
        <v>0</v>
      </c>
      <c r="G769" s="2">
        <v>0</v>
      </c>
      <c r="H769" s="2">
        <v>1.0089359999999998</v>
      </c>
      <c r="I769" s="2">
        <v>0</v>
      </c>
      <c r="J769" s="5">
        <f t="shared" si="22"/>
        <v>1.0089359999999998</v>
      </c>
      <c r="K769" s="5">
        <f t="shared" si="23"/>
        <v>1.0089359999999998</v>
      </c>
      <c r="L769" s="6">
        <f>K769/'Quellen &amp; Annahmen'!$B$2</f>
        <v>9.1388393698637733E-6</v>
      </c>
      <c r="M769" s="7" t="s">
        <v>187</v>
      </c>
      <c r="N769" s="7" t="s">
        <v>188</v>
      </c>
    </row>
    <row r="770" spans="1:14" ht="18" customHeight="1">
      <c r="A770">
        <v>769</v>
      </c>
      <c r="B770" t="s">
        <v>855</v>
      </c>
      <c r="C770" t="s">
        <v>38</v>
      </c>
      <c r="D770" s="2">
        <v>0</v>
      </c>
      <c r="E770" s="2">
        <v>0</v>
      </c>
      <c r="F770" s="2">
        <v>0</v>
      </c>
      <c r="G770" s="2">
        <v>0</v>
      </c>
      <c r="H770" s="2">
        <v>1.0089359999999998</v>
      </c>
      <c r="I770" s="2">
        <v>0</v>
      </c>
      <c r="J770" s="5">
        <f t="shared" ref="J770:J833" si="24">SUM(E770:I770)</f>
        <v>1.0089359999999998</v>
      </c>
      <c r="K770" s="5">
        <f t="shared" ref="K770:K833" si="25">D770+J770</f>
        <v>1.0089359999999998</v>
      </c>
      <c r="L770" s="6">
        <f>K770/'Quellen &amp; Annahmen'!$B$2</f>
        <v>9.1388393698637733E-6</v>
      </c>
      <c r="M770" s="7" t="s">
        <v>187</v>
      </c>
      <c r="N770" s="7" t="s">
        <v>188</v>
      </c>
    </row>
    <row r="771" spans="1:14" ht="18" customHeight="1">
      <c r="A771">
        <v>770</v>
      </c>
      <c r="B771" t="s">
        <v>856</v>
      </c>
      <c r="C771" t="s">
        <v>33</v>
      </c>
      <c r="D771" s="2">
        <v>0</v>
      </c>
      <c r="E771" s="2">
        <v>0</v>
      </c>
      <c r="F771" s="2">
        <v>0</v>
      </c>
      <c r="G771" s="2">
        <v>0</v>
      </c>
      <c r="H771" s="2">
        <v>1.0089359999999998</v>
      </c>
      <c r="I771" s="2">
        <v>0</v>
      </c>
      <c r="J771" s="5">
        <f t="shared" si="24"/>
        <v>1.0089359999999998</v>
      </c>
      <c r="K771" s="5">
        <f t="shared" si="25"/>
        <v>1.0089359999999998</v>
      </c>
      <c r="L771" s="6">
        <f>K771/'Quellen &amp; Annahmen'!$B$2</f>
        <v>9.1388393698637733E-6</v>
      </c>
      <c r="M771" s="7" t="s">
        <v>187</v>
      </c>
      <c r="N771" s="7" t="s">
        <v>188</v>
      </c>
    </row>
    <row r="772" spans="1:14" ht="18" customHeight="1">
      <c r="A772">
        <v>771</v>
      </c>
      <c r="B772" t="s">
        <v>857</v>
      </c>
      <c r="C772" t="s">
        <v>50</v>
      </c>
      <c r="D772" s="2">
        <v>0</v>
      </c>
      <c r="E772" s="2">
        <v>0</v>
      </c>
      <c r="F772" s="2">
        <v>0</v>
      </c>
      <c r="G772" s="2">
        <v>0</v>
      </c>
      <c r="H772" s="2">
        <v>1.0089359999999998</v>
      </c>
      <c r="I772" s="2">
        <v>0</v>
      </c>
      <c r="J772" s="5">
        <f t="shared" si="24"/>
        <v>1.0089359999999998</v>
      </c>
      <c r="K772" s="5">
        <f t="shared" si="25"/>
        <v>1.0089359999999998</v>
      </c>
      <c r="L772" s="6">
        <f>K772/'Quellen &amp; Annahmen'!$B$2</f>
        <v>9.1388393698637733E-6</v>
      </c>
      <c r="M772" s="7" t="s">
        <v>187</v>
      </c>
      <c r="N772" s="7" t="s">
        <v>188</v>
      </c>
    </row>
    <row r="773" spans="1:14" ht="18" customHeight="1">
      <c r="A773">
        <v>772</v>
      </c>
      <c r="B773" t="s">
        <v>858</v>
      </c>
      <c r="C773" t="s">
        <v>25</v>
      </c>
      <c r="D773" s="2">
        <v>0</v>
      </c>
      <c r="E773" s="2">
        <v>0</v>
      </c>
      <c r="F773" s="2">
        <v>0</v>
      </c>
      <c r="G773" s="2">
        <v>0</v>
      </c>
      <c r="H773" s="2">
        <v>1.0089359999999998</v>
      </c>
      <c r="I773" s="2">
        <v>0</v>
      </c>
      <c r="J773" s="5">
        <f t="shared" si="24"/>
        <v>1.0089359999999998</v>
      </c>
      <c r="K773" s="5">
        <f t="shared" si="25"/>
        <v>1.0089359999999998</v>
      </c>
      <c r="L773" s="6">
        <f>K773/'Quellen &amp; Annahmen'!$B$2</f>
        <v>9.1388393698637733E-6</v>
      </c>
      <c r="M773" s="7" t="s">
        <v>187</v>
      </c>
      <c r="N773" s="7" t="s">
        <v>188</v>
      </c>
    </row>
    <row r="774" spans="1:14" ht="18" customHeight="1">
      <c r="A774">
        <v>773</v>
      </c>
      <c r="B774" t="s">
        <v>859</v>
      </c>
      <c r="C774" t="s">
        <v>33</v>
      </c>
      <c r="D774" s="2">
        <v>0</v>
      </c>
      <c r="E774" s="2">
        <v>0</v>
      </c>
      <c r="F774" s="2">
        <v>0</v>
      </c>
      <c r="G774" s="2">
        <v>0</v>
      </c>
      <c r="H774" s="2">
        <v>1.0089359999999998</v>
      </c>
      <c r="I774" s="2">
        <v>0</v>
      </c>
      <c r="J774" s="5">
        <f t="shared" si="24"/>
        <v>1.0089359999999998</v>
      </c>
      <c r="K774" s="5">
        <f t="shared" si="25"/>
        <v>1.0089359999999998</v>
      </c>
      <c r="L774" s="6">
        <f>K774/'Quellen &amp; Annahmen'!$B$2</f>
        <v>9.1388393698637733E-6</v>
      </c>
      <c r="M774" s="7" t="s">
        <v>187</v>
      </c>
      <c r="N774" s="7" t="s">
        <v>188</v>
      </c>
    </row>
    <row r="775" spans="1:14" ht="18" customHeight="1">
      <c r="A775">
        <v>774</v>
      </c>
      <c r="B775" t="s">
        <v>860</v>
      </c>
      <c r="C775" t="s">
        <v>124</v>
      </c>
      <c r="D775" s="2">
        <v>0</v>
      </c>
      <c r="E775" s="2">
        <v>0</v>
      </c>
      <c r="F775" s="2">
        <v>0</v>
      </c>
      <c r="G775" s="2">
        <v>0</v>
      </c>
      <c r="H775" s="2">
        <v>1.0089359999999998</v>
      </c>
      <c r="I775" s="2">
        <v>0</v>
      </c>
      <c r="J775" s="5">
        <f t="shared" si="24"/>
        <v>1.0089359999999998</v>
      </c>
      <c r="K775" s="5">
        <f t="shared" si="25"/>
        <v>1.0089359999999998</v>
      </c>
      <c r="L775" s="6">
        <f>K775/'Quellen &amp; Annahmen'!$B$2</f>
        <v>9.1388393698637733E-6</v>
      </c>
      <c r="M775" s="7" t="s">
        <v>187</v>
      </c>
      <c r="N775" s="7" t="s">
        <v>188</v>
      </c>
    </row>
    <row r="776" spans="1:14" ht="18" customHeight="1">
      <c r="A776">
        <v>775</v>
      </c>
      <c r="B776" t="s">
        <v>861</v>
      </c>
      <c r="C776" t="s">
        <v>41</v>
      </c>
      <c r="D776" s="2">
        <v>0</v>
      </c>
      <c r="E776" s="2">
        <v>0</v>
      </c>
      <c r="F776" s="2">
        <v>0</v>
      </c>
      <c r="G776" s="2">
        <v>0</v>
      </c>
      <c r="H776" s="2">
        <v>1.0089359999999998</v>
      </c>
      <c r="I776" s="2">
        <v>0</v>
      </c>
      <c r="J776" s="5">
        <f t="shared" si="24"/>
        <v>1.0089359999999998</v>
      </c>
      <c r="K776" s="5">
        <f t="shared" si="25"/>
        <v>1.0089359999999998</v>
      </c>
      <c r="L776" s="6">
        <f>K776/'Quellen &amp; Annahmen'!$B$2</f>
        <v>9.1388393698637733E-6</v>
      </c>
      <c r="M776" s="7" t="s">
        <v>187</v>
      </c>
      <c r="N776" s="7" t="s">
        <v>188</v>
      </c>
    </row>
    <row r="777" spans="1:14" ht="18" customHeight="1">
      <c r="A777">
        <v>776</v>
      </c>
      <c r="B777" t="s">
        <v>862</v>
      </c>
      <c r="C777" t="s">
        <v>108</v>
      </c>
      <c r="D777" s="2">
        <v>0</v>
      </c>
      <c r="E777" s="2">
        <v>0</v>
      </c>
      <c r="F777" s="2">
        <v>0</v>
      </c>
      <c r="G777" s="2">
        <v>0</v>
      </c>
      <c r="H777" s="2">
        <v>1.0089359999999998</v>
      </c>
      <c r="I777" s="2">
        <v>0</v>
      </c>
      <c r="J777" s="5">
        <f t="shared" si="24"/>
        <v>1.0089359999999998</v>
      </c>
      <c r="K777" s="5">
        <f t="shared" si="25"/>
        <v>1.0089359999999998</v>
      </c>
      <c r="L777" s="6">
        <f>K777/'Quellen &amp; Annahmen'!$B$2</f>
        <v>9.1388393698637733E-6</v>
      </c>
      <c r="M777" s="7" t="s">
        <v>187</v>
      </c>
      <c r="N777" s="7" t="s">
        <v>188</v>
      </c>
    </row>
    <row r="778" spans="1:14" ht="18" customHeight="1">
      <c r="A778">
        <v>777</v>
      </c>
      <c r="B778" t="s">
        <v>863</v>
      </c>
      <c r="C778" t="s">
        <v>23</v>
      </c>
      <c r="D778" s="2">
        <v>0</v>
      </c>
      <c r="E778" s="2">
        <v>0</v>
      </c>
      <c r="F778" s="2">
        <v>0</v>
      </c>
      <c r="G778" s="2">
        <v>0</v>
      </c>
      <c r="H778" s="2">
        <v>1.0089359999999998</v>
      </c>
      <c r="I778" s="2">
        <v>0</v>
      </c>
      <c r="J778" s="5">
        <f t="shared" si="24"/>
        <v>1.0089359999999998</v>
      </c>
      <c r="K778" s="5">
        <f t="shared" si="25"/>
        <v>1.0089359999999998</v>
      </c>
      <c r="L778" s="6">
        <f>K778/'Quellen &amp; Annahmen'!$B$2</f>
        <v>9.1388393698637733E-6</v>
      </c>
      <c r="M778" s="7" t="s">
        <v>187</v>
      </c>
      <c r="N778" s="7" t="s">
        <v>188</v>
      </c>
    </row>
    <row r="779" spans="1:14" ht="18" customHeight="1">
      <c r="A779">
        <v>778</v>
      </c>
      <c r="B779" t="s">
        <v>864</v>
      </c>
      <c r="C779" t="s">
        <v>124</v>
      </c>
      <c r="D779" s="2">
        <v>0</v>
      </c>
      <c r="E779" s="2">
        <v>0</v>
      </c>
      <c r="F779" s="2">
        <v>0</v>
      </c>
      <c r="G779" s="2">
        <v>0</v>
      </c>
      <c r="H779" s="2">
        <v>1.0089359999999998</v>
      </c>
      <c r="I779" s="2">
        <v>0</v>
      </c>
      <c r="J779" s="5">
        <f t="shared" si="24"/>
        <v>1.0089359999999998</v>
      </c>
      <c r="K779" s="5">
        <f t="shared" si="25"/>
        <v>1.0089359999999998</v>
      </c>
      <c r="L779" s="6">
        <f>K779/'Quellen &amp; Annahmen'!$B$2</f>
        <v>9.1388393698637733E-6</v>
      </c>
      <c r="M779" s="7" t="s">
        <v>187</v>
      </c>
      <c r="N779" s="7" t="s">
        <v>188</v>
      </c>
    </row>
    <row r="780" spans="1:14" ht="18" customHeight="1">
      <c r="A780">
        <v>779</v>
      </c>
      <c r="B780" t="s">
        <v>865</v>
      </c>
      <c r="C780" t="s">
        <v>50</v>
      </c>
      <c r="D780" s="2">
        <v>0</v>
      </c>
      <c r="E780" s="2">
        <v>0</v>
      </c>
      <c r="F780" s="2">
        <v>0</v>
      </c>
      <c r="G780" s="2">
        <v>0</v>
      </c>
      <c r="H780" s="2">
        <v>1.0089359999999998</v>
      </c>
      <c r="I780" s="2">
        <v>0</v>
      </c>
      <c r="J780" s="5">
        <f t="shared" si="24"/>
        <v>1.0089359999999998</v>
      </c>
      <c r="K780" s="5">
        <f t="shared" si="25"/>
        <v>1.0089359999999998</v>
      </c>
      <c r="L780" s="6">
        <f>K780/'Quellen &amp; Annahmen'!$B$2</f>
        <v>9.1388393698637733E-6</v>
      </c>
      <c r="M780" s="7" t="s">
        <v>187</v>
      </c>
      <c r="N780" s="7" t="s">
        <v>188</v>
      </c>
    </row>
    <row r="781" spans="1:14" ht="18" customHeight="1">
      <c r="A781">
        <v>780</v>
      </c>
      <c r="B781" t="s">
        <v>866</v>
      </c>
      <c r="C781" t="s">
        <v>50</v>
      </c>
      <c r="D781" s="2">
        <v>0</v>
      </c>
      <c r="E781" s="2">
        <v>0</v>
      </c>
      <c r="F781" s="2">
        <v>0</v>
      </c>
      <c r="G781" s="2">
        <v>0</v>
      </c>
      <c r="H781" s="2">
        <v>1.0089359999999998</v>
      </c>
      <c r="I781" s="2">
        <v>0</v>
      </c>
      <c r="J781" s="5">
        <f t="shared" si="24"/>
        <v>1.0089359999999998</v>
      </c>
      <c r="K781" s="5">
        <f t="shared" si="25"/>
        <v>1.0089359999999998</v>
      </c>
      <c r="L781" s="6">
        <f>K781/'Quellen &amp; Annahmen'!$B$2</f>
        <v>9.1388393698637733E-6</v>
      </c>
      <c r="M781" s="7" t="s">
        <v>187</v>
      </c>
      <c r="N781" s="7" t="s">
        <v>188</v>
      </c>
    </row>
    <row r="782" spans="1:14" ht="18" customHeight="1">
      <c r="A782">
        <v>781</v>
      </c>
      <c r="B782" t="s">
        <v>867</v>
      </c>
      <c r="C782" t="s">
        <v>124</v>
      </c>
      <c r="D782" s="2">
        <v>0</v>
      </c>
      <c r="E782" s="2">
        <v>0</v>
      </c>
      <c r="F782" s="2">
        <v>0</v>
      </c>
      <c r="G782" s="2">
        <v>0</v>
      </c>
      <c r="H782" s="2">
        <v>1.0089359999999998</v>
      </c>
      <c r="I782" s="2">
        <v>0</v>
      </c>
      <c r="J782" s="5">
        <f t="shared" si="24"/>
        <v>1.0089359999999998</v>
      </c>
      <c r="K782" s="5">
        <f t="shared" si="25"/>
        <v>1.0089359999999998</v>
      </c>
      <c r="L782" s="6">
        <f>K782/'Quellen &amp; Annahmen'!$B$2</f>
        <v>9.1388393698637733E-6</v>
      </c>
      <c r="M782" s="7" t="s">
        <v>187</v>
      </c>
      <c r="N782" s="7" t="s">
        <v>188</v>
      </c>
    </row>
    <row r="783" spans="1:14" ht="18" customHeight="1">
      <c r="A783">
        <v>782</v>
      </c>
      <c r="B783" t="s">
        <v>868</v>
      </c>
      <c r="C783" t="s">
        <v>263</v>
      </c>
      <c r="D783" s="2">
        <v>0</v>
      </c>
      <c r="E783" s="2">
        <v>0</v>
      </c>
      <c r="F783" s="2">
        <v>0</v>
      </c>
      <c r="G783" s="2">
        <v>0</v>
      </c>
      <c r="H783" s="2">
        <v>1.0089359999999998</v>
      </c>
      <c r="I783" s="2">
        <v>0</v>
      </c>
      <c r="J783" s="5">
        <f t="shared" si="24"/>
        <v>1.0089359999999998</v>
      </c>
      <c r="K783" s="5">
        <f t="shared" si="25"/>
        <v>1.0089359999999998</v>
      </c>
      <c r="L783" s="6">
        <f>K783/'Quellen &amp; Annahmen'!$B$2</f>
        <v>9.1388393698637733E-6</v>
      </c>
      <c r="M783" s="7" t="s">
        <v>187</v>
      </c>
      <c r="N783" s="7" t="s">
        <v>188</v>
      </c>
    </row>
    <row r="784" spans="1:14" ht="18" customHeight="1">
      <c r="A784">
        <v>783</v>
      </c>
      <c r="B784" t="s">
        <v>869</v>
      </c>
      <c r="C784" t="s">
        <v>253</v>
      </c>
      <c r="D784" s="2">
        <v>0</v>
      </c>
      <c r="E784" s="2">
        <v>0</v>
      </c>
      <c r="F784" s="2">
        <v>0</v>
      </c>
      <c r="G784" s="2">
        <v>0</v>
      </c>
      <c r="H784" s="2">
        <v>1.0089359999999998</v>
      </c>
      <c r="I784" s="2">
        <v>0</v>
      </c>
      <c r="J784" s="5">
        <f t="shared" si="24"/>
        <v>1.0089359999999998</v>
      </c>
      <c r="K784" s="5">
        <f t="shared" si="25"/>
        <v>1.0089359999999998</v>
      </c>
      <c r="L784" s="6">
        <f>K784/'Quellen &amp; Annahmen'!$B$2</f>
        <v>9.1388393698637733E-6</v>
      </c>
      <c r="M784" s="7" t="s">
        <v>187</v>
      </c>
      <c r="N784" s="7" t="s">
        <v>188</v>
      </c>
    </row>
    <row r="785" spans="1:14" ht="18" customHeight="1">
      <c r="A785">
        <v>784</v>
      </c>
      <c r="B785" t="s">
        <v>870</v>
      </c>
      <c r="C785" t="s">
        <v>253</v>
      </c>
      <c r="D785" s="2">
        <v>0</v>
      </c>
      <c r="E785" s="2">
        <v>0</v>
      </c>
      <c r="F785" s="2">
        <v>0</v>
      </c>
      <c r="G785" s="2">
        <v>0</v>
      </c>
      <c r="H785" s="2">
        <v>1.0089359999999998</v>
      </c>
      <c r="I785" s="2">
        <v>0</v>
      </c>
      <c r="J785" s="5">
        <f t="shared" si="24"/>
        <v>1.0089359999999998</v>
      </c>
      <c r="K785" s="5">
        <f t="shared" si="25"/>
        <v>1.0089359999999998</v>
      </c>
      <c r="L785" s="6">
        <f>K785/'Quellen &amp; Annahmen'!$B$2</f>
        <v>9.1388393698637733E-6</v>
      </c>
      <c r="M785" s="7" t="s">
        <v>187</v>
      </c>
      <c r="N785" s="7" t="s">
        <v>188</v>
      </c>
    </row>
    <row r="786" spans="1:14" ht="18" customHeight="1">
      <c r="A786">
        <v>785</v>
      </c>
      <c r="B786" t="s">
        <v>871</v>
      </c>
      <c r="C786" t="s">
        <v>27</v>
      </c>
      <c r="D786" s="2">
        <v>0</v>
      </c>
      <c r="E786" s="2">
        <v>0</v>
      </c>
      <c r="F786" s="2">
        <v>0</v>
      </c>
      <c r="G786" s="2">
        <v>0</v>
      </c>
      <c r="H786" s="2">
        <v>1.0089359999999998</v>
      </c>
      <c r="I786" s="2">
        <v>0</v>
      </c>
      <c r="J786" s="5">
        <f t="shared" si="24"/>
        <v>1.0089359999999998</v>
      </c>
      <c r="K786" s="5">
        <f t="shared" si="25"/>
        <v>1.0089359999999998</v>
      </c>
      <c r="L786" s="6">
        <f>K786/'Quellen &amp; Annahmen'!$B$2</f>
        <v>9.1388393698637733E-6</v>
      </c>
      <c r="M786" s="7" t="s">
        <v>187</v>
      </c>
      <c r="N786" s="7" t="s">
        <v>188</v>
      </c>
    </row>
    <row r="787" spans="1:14" ht="18" customHeight="1">
      <c r="A787">
        <v>786</v>
      </c>
      <c r="B787" t="s">
        <v>872</v>
      </c>
      <c r="C787" t="s">
        <v>253</v>
      </c>
      <c r="D787" s="2">
        <v>0</v>
      </c>
      <c r="E787" s="2">
        <v>0</v>
      </c>
      <c r="F787" s="2">
        <v>0</v>
      </c>
      <c r="G787" s="2">
        <v>0</v>
      </c>
      <c r="H787" s="2">
        <v>1.0089359999999998</v>
      </c>
      <c r="I787" s="2">
        <v>0</v>
      </c>
      <c r="J787" s="5">
        <f t="shared" si="24"/>
        <v>1.0089359999999998</v>
      </c>
      <c r="K787" s="5">
        <f t="shared" si="25"/>
        <v>1.0089359999999998</v>
      </c>
      <c r="L787" s="6">
        <f>K787/'Quellen &amp; Annahmen'!$B$2</f>
        <v>9.1388393698637733E-6</v>
      </c>
      <c r="M787" s="7" t="s">
        <v>187</v>
      </c>
      <c r="N787" s="7" t="s">
        <v>188</v>
      </c>
    </row>
    <row r="788" spans="1:14" ht="18" customHeight="1">
      <c r="A788">
        <v>787</v>
      </c>
      <c r="B788" t="s">
        <v>873</v>
      </c>
      <c r="C788" t="s">
        <v>25</v>
      </c>
      <c r="D788" s="2">
        <v>0</v>
      </c>
      <c r="E788" s="2">
        <v>0</v>
      </c>
      <c r="F788" s="2">
        <v>0</v>
      </c>
      <c r="G788" s="2">
        <v>0</v>
      </c>
      <c r="H788" s="2">
        <v>1.0089359999999998</v>
      </c>
      <c r="I788" s="2">
        <v>0</v>
      </c>
      <c r="J788" s="5">
        <f t="shared" si="24"/>
        <v>1.0089359999999998</v>
      </c>
      <c r="K788" s="5">
        <f t="shared" si="25"/>
        <v>1.0089359999999998</v>
      </c>
      <c r="L788" s="6">
        <f>K788/'Quellen &amp; Annahmen'!$B$2</f>
        <v>9.1388393698637733E-6</v>
      </c>
      <c r="M788" s="7" t="s">
        <v>187</v>
      </c>
      <c r="N788" s="7" t="s">
        <v>188</v>
      </c>
    </row>
    <row r="789" spans="1:14" ht="18" customHeight="1">
      <c r="A789">
        <v>788</v>
      </c>
      <c r="B789" t="s">
        <v>874</v>
      </c>
      <c r="C789" t="s">
        <v>50</v>
      </c>
      <c r="D789" s="2">
        <v>0</v>
      </c>
      <c r="E789" s="2">
        <v>0</v>
      </c>
      <c r="F789" s="2">
        <v>0</v>
      </c>
      <c r="G789" s="2">
        <v>0</v>
      </c>
      <c r="H789" s="2">
        <v>1.0089359999999998</v>
      </c>
      <c r="I789" s="2">
        <v>0</v>
      </c>
      <c r="J789" s="5">
        <f t="shared" si="24"/>
        <v>1.0089359999999998</v>
      </c>
      <c r="K789" s="5">
        <f t="shared" si="25"/>
        <v>1.0089359999999998</v>
      </c>
      <c r="L789" s="6">
        <f>K789/'Quellen &amp; Annahmen'!$B$2</f>
        <v>9.1388393698637733E-6</v>
      </c>
      <c r="M789" s="7" t="s">
        <v>187</v>
      </c>
      <c r="N789" s="7" t="s">
        <v>188</v>
      </c>
    </row>
    <row r="790" spans="1:14" ht="18" customHeight="1">
      <c r="A790">
        <v>789</v>
      </c>
      <c r="B790" t="s">
        <v>875</v>
      </c>
      <c r="C790" t="s">
        <v>23</v>
      </c>
      <c r="D790" s="2">
        <v>0</v>
      </c>
      <c r="E790" s="2">
        <v>0</v>
      </c>
      <c r="F790" s="2">
        <v>0</v>
      </c>
      <c r="G790" s="2">
        <v>0</v>
      </c>
      <c r="H790" s="2">
        <v>1.0089359999999998</v>
      </c>
      <c r="I790" s="2">
        <v>0</v>
      </c>
      <c r="J790" s="5">
        <f t="shared" si="24"/>
        <v>1.0089359999999998</v>
      </c>
      <c r="K790" s="5">
        <f t="shared" si="25"/>
        <v>1.0089359999999998</v>
      </c>
      <c r="L790" s="6">
        <f>K790/'Quellen &amp; Annahmen'!$B$2</f>
        <v>9.1388393698637733E-6</v>
      </c>
      <c r="M790" s="7" t="s">
        <v>187</v>
      </c>
      <c r="N790" s="7" t="s">
        <v>188</v>
      </c>
    </row>
    <row r="791" spans="1:14" ht="18" customHeight="1">
      <c r="A791">
        <v>790</v>
      </c>
      <c r="B791" t="s">
        <v>876</v>
      </c>
      <c r="C791" t="s">
        <v>23</v>
      </c>
      <c r="D791" s="2">
        <v>0</v>
      </c>
      <c r="E791" s="2">
        <v>0</v>
      </c>
      <c r="F791" s="2">
        <v>0</v>
      </c>
      <c r="G791" s="2">
        <v>0</v>
      </c>
      <c r="H791" s="2">
        <v>1.0089359999999998</v>
      </c>
      <c r="I791" s="2">
        <v>0</v>
      </c>
      <c r="J791" s="5">
        <f t="shared" si="24"/>
        <v>1.0089359999999998</v>
      </c>
      <c r="K791" s="5">
        <f t="shared" si="25"/>
        <v>1.0089359999999998</v>
      </c>
      <c r="L791" s="6">
        <f>K791/'Quellen &amp; Annahmen'!$B$2</f>
        <v>9.1388393698637733E-6</v>
      </c>
      <c r="M791" s="7" t="s">
        <v>187</v>
      </c>
      <c r="N791" s="7" t="s">
        <v>188</v>
      </c>
    </row>
    <row r="792" spans="1:14" ht="18" customHeight="1">
      <c r="A792">
        <v>791</v>
      </c>
      <c r="B792" t="s">
        <v>877</v>
      </c>
      <c r="C792" t="s">
        <v>108</v>
      </c>
      <c r="D792" s="2">
        <v>0</v>
      </c>
      <c r="E792" s="2">
        <v>0</v>
      </c>
      <c r="F792" s="2">
        <v>0</v>
      </c>
      <c r="G792" s="2">
        <v>0</v>
      </c>
      <c r="H792" s="2">
        <v>1.0089359999999998</v>
      </c>
      <c r="I792" s="2">
        <v>0</v>
      </c>
      <c r="J792" s="5">
        <f t="shared" si="24"/>
        <v>1.0089359999999998</v>
      </c>
      <c r="K792" s="5">
        <f t="shared" si="25"/>
        <v>1.0089359999999998</v>
      </c>
      <c r="L792" s="6">
        <f>K792/'Quellen &amp; Annahmen'!$B$2</f>
        <v>9.1388393698637733E-6</v>
      </c>
      <c r="M792" s="7" t="s">
        <v>187</v>
      </c>
      <c r="N792" s="7" t="s">
        <v>188</v>
      </c>
    </row>
    <row r="793" spans="1:14" ht="18" customHeight="1">
      <c r="A793">
        <v>792</v>
      </c>
      <c r="B793" t="s">
        <v>878</v>
      </c>
      <c r="C793" t="s">
        <v>25</v>
      </c>
      <c r="D793" s="2">
        <v>0</v>
      </c>
      <c r="E793" s="2">
        <v>0</v>
      </c>
      <c r="F793" s="2">
        <v>0</v>
      </c>
      <c r="G793" s="2">
        <v>0</v>
      </c>
      <c r="H793" s="2">
        <v>1.0089359999999998</v>
      </c>
      <c r="I793" s="2">
        <v>0</v>
      </c>
      <c r="J793" s="5">
        <f t="shared" si="24"/>
        <v>1.0089359999999998</v>
      </c>
      <c r="K793" s="5">
        <f t="shared" si="25"/>
        <v>1.0089359999999998</v>
      </c>
      <c r="L793" s="6">
        <f>K793/'Quellen &amp; Annahmen'!$B$2</f>
        <v>9.1388393698637733E-6</v>
      </c>
      <c r="M793" s="7" t="s">
        <v>187</v>
      </c>
      <c r="N793" s="7" t="s">
        <v>188</v>
      </c>
    </row>
    <row r="794" spans="1:14" ht="18" customHeight="1">
      <c r="A794">
        <v>793</v>
      </c>
      <c r="B794" t="s">
        <v>879</v>
      </c>
      <c r="C794" t="s">
        <v>263</v>
      </c>
      <c r="D794" s="2">
        <v>0</v>
      </c>
      <c r="E794" s="2">
        <v>0</v>
      </c>
      <c r="F794" s="2">
        <v>0</v>
      </c>
      <c r="G794" s="2">
        <v>0</v>
      </c>
      <c r="H794" s="2">
        <v>1.0089359999999998</v>
      </c>
      <c r="I794" s="2">
        <v>0</v>
      </c>
      <c r="J794" s="5">
        <f t="shared" si="24"/>
        <v>1.0089359999999998</v>
      </c>
      <c r="K794" s="5">
        <f t="shared" si="25"/>
        <v>1.0089359999999998</v>
      </c>
      <c r="L794" s="6">
        <f>K794/'Quellen &amp; Annahmen'!$B$2</f>
        <v>9.1388393698637733E-6</v>
      </c>
      <c r="M794" s="7" t="s">
        <v>187</v>
      </c>
      <c r="N794" s="7" t="s">
        <v>188</v>
      </c>
    </row>
    <row r="795" spans="1:14" ht="18" customHeight="1">
      <c r="A795">
        <v>794</v>
      </c>
      <c r="B795" t="s">
        <v>880</v>
      </c>
      <c r="C795" t="s">
        <v>50</v>
      </c>
      <c r="D795" s="2">
        <v>0</v>
      </c>
      <c r="E795" s="2">
        <v>0</v>
      </c>
      <c r="F795" s="2">
        <v>0</v>
      </c>
      <c r="G795" s="2">
        <v>0</v>
      </c>
      <c r="H795" s="2">
        <v>1.0089359999999998</v>
      </c>
      <c r="I795" s="2">
        <v>0</v>
      </c>
      <c r="J795" s="5">
        <f t="shared" si="24"/>
        <v>1.0089359999999998</v>
      </c>
      <c r="K795" s="5">
        <f t="shared" si="25"/>
        <v>1.0089359999999998</v>
      </c>
      <c r="L795" s="6">
        <f>K795/'Quellen &amp; Annahmen'!$B$2</f>
        <v>9.1388393698637733E-6</v>
      </c>
      <c r="M795" s="7" t="s">
        <v>187</v>
      </c>
      <c r="N795" s="7" t="s">
        <v>188</v>
      </c>
    </row>
    <row r="796" spans="1:14" ht="18" customHeight="1">
      <c r="A796">
        <v>795</v>
      </c>
      <c r="B796" t="s">
        <v>881</v>
      </c>
      <c r="C796" t="s">
        <v>41</v>
      </c>
      <c r="D796" s="2">
        <v>0</v>
      </c>
      <c r="E796" s="2">
        <v>0</v>
      </c>
      <c r="F796" s="2">
        <v>0</v>
      </c>
      <c r="G796" s="2">
        <v>0</v>
      </c>
      <c r="H796" s="2">
        <v>1.0089359999999998</v>
      </c>
      <c r="I796" s="2">
        <v>0</v>
      </c>
      <c r="J796" s="5">
        <f t="shared" si="24"/>
        <v>1.0089359999999998</v>
      </c>
      <c r="K796" s="5">
        <f t="shared" si="25"/>
        <v>1.0089359999999998</v>
      </c>
      <c r="L796" s="6">
        <f>K796/'Quellen &amp; Annahmen'!$B$2</f>
        <v>9.1388393698637733E-6</v>
      </c>
      <c r="M796" s="7" t="s">
        <v>187</v>
      </c>
      <c r="N796" s="7" t="s">
        <v>188</v>
      </c>
    </row>
    <row r="797" spans="1:14" ht="18" customHeight="1">
      <c r="A797">
        <v>796</v>
      </c>
      <c r="B797" t="s">
        <v>882</v>
      </c>
      <c r="C797" t="s">
        <v>38</v>
      </c>
      <c r="D797" s="2">
        <v>0</v>
      </c>
      <c r="E797" s="2">
        <v>0</v>
      </c>
      <c r="F797" s="2">
        <v>0</v>
      </c>
      <c r="G797" s="2">
        <v>0</v>
      </c>
      <c r="H797" s="2">
        <v>1.0089359999999998</v>
      </c>
      <c r="I797" s="2">
        <v>0</v>
      </c>
      <c r="J797" s="5">
        <f t="shared" si="24"/>
        <v>1.0089359999999998</v>
      </c>
      <c r="K797" s="5">
        <f t="shared" si="25"/>
        <v>1.0089359999999998</v>
      </c>
      <c r="L797" s="6">
        <f>K797/'Quellen &amp; Annahmen'!$B$2</f>
        <v>9.1388393698637733E-6</v>
      </c>
      <c r="M797" s="7" t="s">
        <v>187</v>
      </c>
      <c r="N797" s="7" t="s">
        <v>188</v>
      </c>
    </row>
    <row r="798" spans="1:14" ht="18" customHeight="1">
      <c r="A798">
        <v>797</v>
      </c>
      <c r="B798" t="s">
        <v>883</v>
      </c>
      <c r="C798" t="s">
        <v>38</v>
      </c>
      <c r="D798" s="2">
        <v>0</v>
      </c>
      <c r="E798" s="2">
        <v>0</v>
      </c>
      <c r="F798" s="2">
        <v>0</v>
      </c>
      <c r="G798" s="2">
        <v>0</v>
      </c>
      <c r="H798" s="2">
        <v>1.0089359999999998</v>
      </c>
      <c r="I798" s="2">
        <v>0</v>
      </c>
      <c r="J798" s="5">
        <f t="shared" si="24"/>
        <v>1.0089359999999998</v>
      </c>
      <c r="K798" s="5">
        <f t="shared" si="25"/>
        <v>1.0089359999999998</v>
      </c>
      <c r="L798" s="6">
        <f>K798/'Quellen &amp; Annahmen'!$B$2</f>
        <v>9.1388393698637733E-6</v>
      </c>
      <c r="M798" s="7" t="s">
        <v>187</v>
      </c>
      <c r="N798" s="7" t="s">
        <v>188</v>
      </c>
    </row>
    <row r="799" spans="1:14" ht="18" customHeight="1">
      <c r="A799">
        <v>798</v>
      </c>
      <c r="B799" t="s">
        <v>884</v>
      </c>
      <c r="C799" t="s">
        <v>23</v>
      </c>
      <c r="D799" s="2">
        <v>0</v>
      </c>
      <c r="E799" s="2">
        <v>0</v>
      </c>
      <c r="F799" s="2">
        <v>0</v>
      </c>
      <c r="G799" s="2">
        <v>0</v>
      </c>
      <c r="H799" s="2">
        <v>1.0089359999999998</v>
      </c>
      <c r="I799" s="2">
        <v>0</v>
      </c>
      <c r="J799" s="5">
        <f t="shared" si="24"/>
        <v>1.0089359999999998</v>
      </c>
      <c r="K799" s="5">
        <f t="shared" si="25"/>
        <v>1.0089359999999998</v>
      </c>
      <c r="L799" s="6">
        <f>K799/'Quellen &amp; Annahmen'!$B$2</f>
        <v>9.1388393698637733E-6</v>
      </c>
      <c r="M799" s="7" t="s">
        <v>187</v>
      </c>
      <c r="N799" s="7" t="s">
        <v>188</v>
      </c>
    </row>
    <row r="800" spans="1:14" ht="18" customHeight="1">
      <c r="A800">
        <v>799</v>
      </c>
      <c r="B800" t="s">
        <v>885</v>
      </c>
      <c r="C800" t="s">
        <v>23</v>
      </c>
      <c r="D800" s="2">
        <v>0</v>
      </c>
      <c r="E800" s="2">
        <v>0</v>
      </c>
      <c r="F800" s="2">
        <v>0</v>
      </c>
      <c r="G800" s="2">
        <v>0</v>
      </c>
      <c r="H800" s="2">
        <v>1.0089359999999998</v>
      </c>
      <c r="I800" s="2">
        <v>0</v>
      </c>
      <c r="J800" s="5">
        <f t="shared" si="24"/>
        <v>1.0089359999999998</v>
      </c>
      <c r="K800" s="5">
        <f t="shared" si="25"/>
        <v>1.0089359999999998</v>
      </c>
      <c r="L800" s="6">
        <f>K800/'Quellen &amp; Annahmen'!$B$2</f>
        <v>9.1388393698637733E-6</v>
      </c>
      <c r="M800" s="7" t="s">
        <v>187</v>
      </c>
      <c r="N800" s="7" t="s">
        <v>188</v>
      </c>
    </row>
    <row r="801" spans="1:14" ht="18" customHeight="1">
      <c r="A801">
        <v>800</v>
      </c>
      <c r="B801" t="s">
        <v>886</v>
      </c>
      <c r="C801" t="s">
        <v>38</v>
      </c>
      <c r="D801" s="2">
        <v>0</v>
      </c>
      <c r="E801" s="2">
        <v>0</v>
      </c>
      <c r="F801" s="2">
        <v>0</v>
      </c>
      <c r="G801" s="2">
        <v>0</v>
      </c>
      <c r="H801" s="2">
        <v>1.0089359999999998</v>
      </c>
      <c r="I801" s="2">
        <v>0</v>
      </c>
      <c r="J801" s="5">
        <f t="shared" si="24"/>
        <v>1.0089359999999998</v>
      </c>
      <c r="K801" s="5">
        <f t="shared" si="25"/>
        <v>1.0089359999999998</v>
      </c>
      <c r="L801" s="6">
        <f>K801/'Quellen &amp; Annahmen'!$B$2</f>
        <v>9.1388393698637733E-6</v>
      </c>
      <c r="M801" s="7" t="s">
        <v>187</v>
      </c>
      <c r="N801" s="7" t="s">
        <v>188</v>
      </c>
    </row>
    <row r="802" spans="1:14" ht="18" customHeight="1">
      <c r="A802">
        <v>801</v>
      </c>
      <c r="B802" t="s">
        <v>887</v>
      </c>
      <c r="C802" t="s">
        <v>27</v>
      </c>
      <c r="D802" s="2">
        <v>0</v>
      </c>
      <c r="E802" s="2">
        <v>0</v>
      </c>
      <c r="F802" s="2">
        <v>0</v>
      </c>
      <c r="G802" s="2">
        <v>0</v>
      </c>
      <c r="H802" s="2">
        <v>1.0089359999999998</v>
      </c>
      <c r="I802" s="2">
        <v>0</v>
      </c>
      <c r="J802" s="5">
        <f t="shared" si="24"/>
        <v>1.0089359999999998</v>
      </c>
      <c r="K802" s="5">
        <f t="shared" si="25"/>
        <v>1.0089359999999998</v>
      </c>
      <c r="L802" s="6">
        <f>K802/'Quellen &amp; Annahmen'!$B$2</f>
        <v>9.1388393698637733E-6</v>
      </c>
      <c r="M802" s="7" t="s">
        <v>187</v>
      </c>
      <c r="N802" s="7" t="s">
        <v>188</v>
      </c>
    </row>
    <row r="803" spans="1:14" ht="18" customHeight="1">
      <c r="A803">
        <v>802</v>
      </c>
      <c r="B803" t="s">
        <v>888</v>
      </c>
      <c r="C803" t="s">
        <v>33</v>
      </c>
      <c r="D803" s="2">
        <v>0</v>
      </c>
      <c r="E803" s="2">
        <v>0</v>
      </c>
      <c r="F803" s="2">
        <v>0</v>
      </c>
      <c r="G803" s="2">
        <v>0</v>
      </c>
      <c r="H803" s="2">
        <v>1.0089359999999998</v>
      </c>
      <c r="I803" s="2">
        <v>0</v>
      </c>
      <c r="J803" s="5">
        <f t="shared" si="24"/>
        <v>1.0089359999999998</v>
      </c>
      <c r="K803" s="5">
        <f t="shared" si="25"/>
        <v>1.0089359999999998</v>
      </c>
      <c r="L803" s="6">
        <f>K803/'Quellen &amp; Annahmen'!$B$2</f>
        <v>9.1388393698637733E-6</v>
      </c>
      <c r="M803" s="7" t="s">
        <v>187</v>
      </c>
      <c r="N803" s="7" t="s">
        <v>188</v>
      </c>
    </row>
    <row r="804" spans="1:14" ht="18" customHeight="1">
      <c r="A804">
        <v>803</v>
      </c>
      <c r="B804" t="s">
        <v>889</v>
      </c>
      <c r="C804" t="s">
        <v>253</v>
      </c>
      <c r="D804" s="2">
        <v>0</v>
      </c>
      <c r="E804" s="2">
        <v>0</v>
      </c>
      <c r="F804" s="2">
        <v>0</v>
      </c>
      <c r="G804" s="2">
        <v>0</v>
      </c>
      <c r="H804" s="2">
        <v>1.0089359999999998</v>
      </c>
      <c r="I804" s="2">
        <v>0</v>
      </c>
      <c r="J804" s="5">
        <f t="shared" si="24"/>
        <v>1.0089359999999998</v>
      </c>
      <c r="K804" s="5">
        <f t="shared" si="25"/>
        <v>1.0089359999999998</v>
      </c>
      <c r="L804" s="6">
        <f>K804/'Quellen &amp; Annahmen'!$B$2</f>
        <v>9.1388393698637733E-6</v>
      </c>
      <c r="M804" s="7" t="s">
        <v>187</v>
      </c>
      <c r="N804" s="7" t="s">
        <v>188</v>
      </c>
    </row>
    <row r="805" spans="1:14" ht="18" customHeight="1">
      <c r="A805">
        <v>804</v>
      </c>
      <c r="B805" t="s">
        <v>890</v>
      </c>
      <c r="C805" t="s">
        <v>23</v>
      </c>
      <c r="D805" s="2">
        <v>0</v>
      </c>
      <c r="E805" s="2">
        <v>0</v>
      </c>
      <c r="F805" s="2">
        <v>0</v>
      </c>
      <c r="G805" s="2">
        <v>0</v>
      </c>
      <c r="H805" s="2">
        <v>1.0089359999999998</v>
      </c>
      <c r="I805" s="2">
        <v>0</v>
      </c>
      <c r="J805" s="5">
        <f t="shared" si="24"/>
        <v>1.0089359999999998</v>
      </c>
      <c r="K805" s="5">
        <f t="shared" si="25"/>
        <v>1.0089359999999998</v>
      </c>
      <c r="L805" s="6">
        <f>K805/'Quellen &amp; Annahmen'!$B$2</f>
        <v>9.1388393698637733E-6</v>
      </c>
      <c r="M805" s="7" t="s">
        <v>187</v>
      </c>
      <c r="N805" s="7" t="s">
        <v>188</v>
      </c>
    </row>
    <row r="806" spans="1:14" ht="18" customHeight="1">
      <c r="A806">
        <v>805</v>
      </c>
      <c r="B806" t="s">
        <v>891</v>
      </c>
      <c r="C806" t="s">
        <v>108</v>
      </c>
      <c r="D806" s="2">
        <v>0</v>
      </c>
      <c r="E806" s="2">
        <v>0</v>
      </c>
      <c r="F806" s="2">
        <v>0</v>
      </c>
      <c r="G806" s="2">
        <v>0</v>
      </c>
      <c r="H806" s="2">
        <v>1.0089359999999998</v>
      </c>
      <c r="I806" s="2">
        <v>0</v>
      </c>
      <c r="J806" s="5">
        <f t="shared" si="24"/>
        <v>1.0089359999999998</v>
      </c>
      <c r="K806" s="5">
        <f t="shared" si="25"/>
        <v>1.0089359999999998</v>
      </c>
      <c r="L806" s="6">
        <f>K806/'Quellen &amp; Annahmen'!$B$2</f>
        <v>9.1388393698637733E-6</v>
      </c>
      <c r="M806" s="7" t="s">
        <v>187</v>
      </c>
      <c r="N806" s="7" t="s">
        <v>188</v>
      </c>
    </row>
    <row r="807" spans="1:14" ht="18" customHeight="1">
      <c r="A807">
        <v>806</v>
      </c>
      <c r="B807" t="s">
        <v>892</v>
      </c>
      <c r="C807" t="s">
        <v>50</v>
      </c>
      <c r="D807" s="2">
        <v>0</v>
      </c>
      <c r="E807" s="2">
        <v>0</v>
      </c>
      <c r="F807" s="2">
        <v>0</v>
      </c>
      <c r="G807" s="2">
        <v>0</v>
      </c>
      <c r="H807" s="2">
        <v>1.0089359999999998</v>
      </c>
      <c r="I807" s="2">
        <v>0</v>
      </c>
      <c r="J807" s="5">
        <f t="shared" si="24"/>
        <v>1.0089359999999998</v>
      </c>
      <c r="K807" s="5">
        <f t="shared" si="25"/>
        <v>1.0089359999999998</v>
      </c>
      <c r="L807" s="6">
        <f>K807/'Quellen &amp; Annahmen'!$B$2</f>
        <v>9.1388393698637733E-6</v>
      </c>
      <c r="M807" s="7" t="s">
        <v>187</v>
      </c>
      <c r="N807" s="7" t="s">
        <v>188</v>
      </c>
    </row>
    <row r="808" spans="1:14" ht="18" customHeight="1">
      <c r="A808">
        <v>807</v>
      </c>
      <c r="B808" t="s">
        <v>893</v>
      </c>
      <c r="C808" t="s">
        <v>50</v>
      </c>
      <c r="D808" s="2">
        <v>0</v>
      </c>
      <c r="E808" s="2">
        <v>0</v>
      </c>
      <c r="F808" s="2">
        <v>0</v>
      </c>
      <c r="G808" s="2">
        <v>0</v>
      </c>
      <c r="H808" s="2">
        <v>1.0089359999999998</v>
      </c>
      <c r="I808" s="2">
        <v>0</v>
      </c>
      <c r="J808" s="5">
        <f t="shared" si="24"/>
        <v>1.0089359999999998</v>
      </c>
      <c r="K808" s="5">
        <f t="shared" si="25"/>
        <v>1.0089359999999998</v>
      </c>
      <c r="L808" s="6">
        <f>K808/'Quellen &amp; Annahmen'!$B$2</f>
        <v>9.1388393698637733E-6</v>
      </c>
      <c r="M808" s="7" t="s">
        <v>187</v>
      </c>
      <c r="N808" s="7" t="s">
        <v>188</v>
      </c>
    </row>
    <row r="809" spans="1:14" ht="18" customHeight="1">
      <c r="A809">
        <v>808</v>
      </c>
      <c r="B809" t="s">
        <v>894</v>
      </c>
      <c r="C809" t="s">
        <v>23</v>
      </c>
      <c r="D809" s="2">
        <v>0</v>
      </c>
      <c r="E809" s="2">
        <v>0</v>
      </c>
      <c r="F809" s="2">
        <v>0</v>
      </c>
      <c r="G809" s="2">
        <v>0</v>
      </c>
      <c r="H809" s="2">
        <v>1.0089359999999998</v>
      </c>
      <c r="I809" s="2">
        <v>0</v>
      </c>
      <c r="J809" s="5">
        <f t="shared" si="24"/>
        <v>1.0089359999999998</v>
      </c>
      <c r="K809" s="5">
        <f t="shared" si="25"/>
        <v>1.0089359999999998</v>
      </c>
      <c r="L809" s="6">
        <f>K809/'Quellen &amp; Annahmen'!$B$2</f>
        <v>9.1388393698637733E-6</v>
      </c>
      <c r="M809" s="7" t="s">
        <v>187</v>
      </c>
      <c r="N809" s="7" t="s">
        <v>188</v>
      </c>
    </row>
    <row r="810" spans="1:14" ht="18" customHeight="1">
      <c r="A810">
        <v>809</v>
      </c>
      <c r="B810" t="s">
        <v>895</v>
      </c>
      <c r="C810" t="s">
        <v>23</v>
      </c>
      <c r="D810" s="2">
        <v>0</v>
      </c>
      <c r="E810" s="2">
        <v>0</v>
      </c>
      <c r="F810" s="2">
        <v>0</v>
      </c>
      <c r="G810" s="2">
        <v>0</v>
      </c>
      <c r="H810" s="2">
        <v>1.0089359999999998</v>
      </c>
      <c r="I810" s="2">
        <v>0</v>
      </c>
      <c r="J810" s="5">
        <f t="shared" si="24"/>
        <v>1.0089359999999998</v>
      </c>
      <c r="K810" s="5">
        <f t="shared" si="25"/>
        <v>1.0089359999999998</v>
      </c>
      <c r="L810" s="6">
        <f>K810/'Quellen &amp; Annahmen'!$B$2</f>
        <v>9.1388393698637733E-6</v>
      </c>
      <c r="M810" s="7" t="s">
        <v>187</v>
      </c>
      <c r="N810" s="7" t="s">
        <v>188</v>
      </c>
    </row>
    <row r="811" spans="1:14" ht="18" customHeight="1">
      <c r="A811">
        <v>810</v>
      </c>
      <c r="B811" t="s">
        <v>896</v>
      </c>
      <c r="C811" t="s">
        <v>33</v>
      </c>
      <c r="D811" s="2">
        <v>0</v>
      </c>
      <c r="E811" s="2">
        <v>0</v>
      </c>
      <c r="F811" s="2">
        <v>0</v>
      </c>
      <c r="G811" s="2">
        <v>0</v>
      </c>
      <c r="H811" s="2">
        <v>1.0089359999999998</v>
      </c>
      <c r="I811" s="2">
        <v>0</v>
      </c>
      <c r="J811" s="5">
        <f t="shared" si="24"/>
        <v>1.0089359999999998</v>
      </c>
      <c r="K811" s="5">
        <f t="shared" si="25"/>
        <v>1.0089359999999998</v>
      </c>
      <c r="L811" s="6">
        <f>K811/'Quellen &amp; Annahmen'!$B$2</f>
        <v>9.1388393698637733E-6</v>
      </c>
      <c r="M811" s="7" t="s">
        <v>187</v>
      </c>
      <c r="N811" s="7" t="s">
        <v>188</v>
      </c>
    </row>
    <row r="812" spans="1:14" ht="18" customHeight="1">
      <c r="A812">
        <v>811</v>
      </c>
      <c r="B812" t="s">
        <v>897</v>
      </c>
      <c r="C812" t="s">
        <v>253</v>
      </c>
      <c r="D812" s="2">
        <v>0</v>
      </c>
      <c r="E812" s="2">
        <v>0</v>
      </c>
      <c r="F812" s="2">
        <v>0</v>
      </c>
      <c r="G812" s="2">
        <v>0</v>
      </c>
      <c r="H812" s="2">
        <v>1.0089359999999998</v>
      </c>
      <c r="I812" s="2">
        <v>0</v>
      </c>
      <c r="J812" s="5">
        <f t="shared" si="24"/>
        <v>1.0089359999999998</v>
      </c>
      <c r="K812" s="5">
        <f t="shared" si="25"/>
        <v>1.0089359999999998</v>
      </c>
      <c r="L812" s="6">
        <f>K812/'Quellen &amp; Annahmen'!$B$2</f>
        <v>9.1388393698637733E-6</v>
      </c>
      <c r="M812" s="7" t="s">
        <v>187</v>
      </c>
      <c r="N812" s="7" t="s">
        <v>188</v>
      </c>
    </row>
    <row r="813" spans="1:14" ht="18" customHeight="1">
      <c r="A813">
        <v>812</v>
      </c>
      <c r="B813" t="s">
        <v>898</v>
      </c>
      <c r="C813" t="s">
        <v>25</v>
      </c>
      <c r="D813" s="2">
        <v>0</v>
      </c>
      <c r="E813" s="2">
        <v>0</v>
      </c>
      <c r="F813" s="2">
        <v>0</v>
      </c>
      <c r="G813" s="2">
        <v>0</v>
      </c>
      <c r="H813" s="2">
        <v>1.0089359999999998</v>
      </c>
      <c r="I813" s="2">
        <v>0</v>
      </c>
      <c r="J813" s="5">
        <f t="shared" si="24"/>
        <v>1.0089359999999998</v>
      </c>
      <c r="K813" s="5">
        <f t="shared" si="25"/>
        <v>1.0089359999999998</v>
      </c>
      <c r="L813" s="6">
        <f>K813/'Quellen &amp; Annahmen'!$B$2</f>
        <v>9.1388393698637733E-6</v>
      </c>
      <c r="M813" s="7" t="s">
        <v>187</v>
      </c>
      <c r="N813" s="7" t="s">
        <v>188</v>
      </c>
    </row>
    <row r="814" spans="1:14" ht="18" customHeight="1">
      <c r="A814">
        <v>813</v>
      </c>
      <c r="B814" t="s">
        <v>899</v>
      </c>
      <c r="C814" t="s">
        <v>50</v>
      </c>
      <c r="D814" s="2">
        <v>0</v>
      </c>
      <c r="E814" s="2">
        <v>0</v>
      </c>
      <c r="F814" s="2">
        <v>0</v>
      </c>
      <c r="G814" s="2">
        <v>0</v>
      </c>
      <c r="H814" s="2">
        <v>1.0089359999999998</v>
      </c>
      <c r="I814" s="2">
        <v>0</v>
      </c>
      <c r="J814" s="5">
        <f t="shared" si="24"/>
        <v>1.0089359999999998</v>
      </c>
      <c r="K814" s="5">
        <f t="shared" si="25"/>
        <v>1.0089359999999998</v>
      </c>
      <c r="L814" s="6">
        <f>K814/'Quellen &amp; Annahmen'!$B$2</f>
        <v>9.1388393698637733E-6</v>
      </c>
      <c r="M814" s="7" t="s">
        <v>187</v>
      </c>
      <c r="N814" s="7" t="s">
        <v>188</v>
      </c>
    </row>
    <row r="815" spans="1:14" ht="18" customHeight="1">
      <c r="A815">
        <v>814</v>
      </c>
      <c r="B815" t="s">
        <v>900</v>
      </c>
      <c r="C815" t="s">
        <v>50</v>
      </c>
      <c r="D815" s="2">
        <v>0</v>
      </c>
      <c r="E815" s="2">
        <v>0</v>
      </c>
      <c r="F815" s="2">
        <v>0</v>
      </c>
      <c r="G815" s="2">
        <v>0</v>
      </c>
      <c r="H815" s="2">
        <v>1.0089359999999998</v>
      </c>
      <c r="I815" s="2">
        <v>0</v>
      </c>
      <c r="J815" s="5">
        <f t="shared" si="24"/>
        <v>1.0089359999999998</v>
      </c>
      <c r="K815" s="5">
        <f t="shared" si="25"/>
        <v>1.0089359999999998</v>
      </c>
      <c r="L815" s="6">
        <f>K815/'Quellen &amp; Annahmen'!$B$2</f>
        <v>9.1388393698637733E-6</v>
      </c>
      <c r="M815" s="7" t="s">
        <v>187</v>
      </c>
      <c r="N815" s="7" t="s">
        <v>188</v>
      </c>
    </row>
    <row r="816" spans="1:14" ht="18" customHeight="1">
      <c r="A816">
        <v>815</v>
      </c>
      <c r="B816" t="s">
        <v>901</v>
      </c>
      <c r="C816" t="s">
        <v>41</v>
      </c>
      <c r="D816" s="2">
        <v>0</v>
      </c>
      <c r="E816" s="2">
        <v>0</v>
      </c>
      <c r="F816" s="2">
        <v>0</v>
      </c>
      <c r="G816" s="2">
        <v>0</v>
      </c>
      <c r="H816" s="2">
        <v>1.0089359999999998</v>
      </c>
      <c r="I816" s="2">
        <v>0</v>
      </c>
      <c r="J816" s="5">
        <f t="shared" si="24"/>
        <v>1.0089359999999998</v>
      </c>
      <c r="K816" s="5">
        <f t="shared" si="25"/>
        <v>1.0089359999999998</v>
      </c>
      <c r="L816" s="6">
        <f>K816/'Quellen &amp; Annahmen'!$B$2</f>
        <v>9.1388393698637733E-6</v>
      </c>
      <c r="M816" s="7" t="s">
        <v>187</v>
      </c>
      <c r="N816" s="7" t="s">
        <v>188</v>
      </c>
    </row>
    <row r="817" spans="1:14" ht="18" customHeight="1">
      <c r="A817">
        <v>816</v>
      </c>
      <c r="B817" t="s">
        <v>902</v>
      </c>
      <c r="C817" t="s">
        <v>23</v>
      </c>
      <c r="D817" s="2">
        <v>0</v>
      </c>
      <c r="E817" s="2">
        <v>0</v>
      </c>
      <c r="F817" s="2">
        <v>0</v>
      </c>
      <c r="G817" s="2">
        <v>0</v>
      </c>
      <c r="H817" s="2">
        <v>1.0089359999999998</v>
      </c>
      <c r="I817" s="2">
        <v>0</v>
      </c>
      <c r="J817" s="5">
        <f t="shared" si="24"/>
        <v>1.0089359999999998</v>
      </c>
      <c r="K817" s="5">
        <f t="shared" si="25"/>
        <v>1.0089359999999998</v>
      </c>
      <c r="L817" s="6">
        <f>K817/'Quellen &amp; Annahmen'!$B$2</f>
        <v>9.1388393698637733E-6</v>
      </c>
      <c r="M817" s="7" t="s">
        <v>187</v>
      </c>
      <c r="N817" s="7" t="s">
        <v>188</v>
      </c>
    </row>
    <row r="818" spans="1:14" ht="18" customHeight="1">
      <c r="A818">
        <v>817</v>
      </c>
      <c r="B818" t="s">
        <v>903</v>
      </c>
      <c r="C818" t="s">
        <v>253</v>
      </c>
      <c r="D818" s="2">
        <v>0</v>
      </c>
      <c r="E818" s="2">
        <v>0</v>
      </c>
      <c r="F818" s="2">
        <v>0</v>
      </c>
      <c r="G818" s="2">
        <v>0</v>
      </c>
      <c r="H818" s="2">
        <v>1.0089359999999998</v>
      </c>
      <c r="I818" s="2">
        <v>0</v>
      </c>
      <c r="J818" s="5">
        <f t="shared" si="24"/>
        <v>1.0089359999999998</v>
      </c>
      <c r="K818" s="5">
        <f t="shared" si="25"/>
        <v>1.0089359999999998</v>
      </c>
      <c r="L818" s="6">
        <f>K818/'Quellen &amp; Annahmen'!$B$2</f>
        <v>9.1388393698637733E-6</v>
      </c>
      <c r="M818" s="7" t="s">
        <v>187</v>
      </c>
      <c r="N818" s="7" t="s">
        <v>188</v>
      </c>
    </row>
    <row r="819" spans="1:14" ht="18" customHeight="1">
      <c r="A819">
        <v>818</v>
      </c>
      <c r="B819" t="s">
        <v>904</v>
      </c>
      <c r="C819" t="s">
        <v>50</v>
      </c>
      <c r="D819" s="2">
        <v>0</v>
      </c>
      <c r="E819" s="2">
        <v>0</v>
      </c>
      <c r="F819" s="2">
        <v>0</v>
      </c>
      <c r="G819" s="2">
        <v>0</v>
      </c>
      <c r="H819" s="2">
        <v>1.0089359999999998</v>
      </c>
      <c r="I819" s="2">
        <v>0</v>
      </c>
      <c r="J819" s="5">
        <f t="shared" si="24"/>
        <v>1.0089359999999998</v>
      </c>
      <c r="K819" s="5">
        <f t="shared" si="25"/>
        <v>1.0089359999999998</v>
      </c>
      <c r="L819" s="6">
        <f>K819/'Quellen &amp; Annahmen'!$B$2</f>
        <v>9.1388393698637733E-6</v>
      </c>
      <c r="M819" s="7" t="s">
        <v>187</v>
      </c>
      <c r="N819" s="7" t="s">
        <v>188</v>
      </c>
    </row>
    <row r="820" spans="1:14" ht="18" customHeight="1">
      <c r="A820">
        <v>819</v>
      </c>
      <c r="B820" t="s">
        <v>905</v>
      </c>
      <c r="C820" t="s">
        <v>23</v>
      </c>
      <c r="D820" s="2">
        <v>0</v>
      </c>
      <c r="E820" s="2">
        <v>0</v>
      </c>
      <c r="F820" s="2">
        <v>0</v>
      </c>
      <c r="G820" s="2">
        <v>0</v>
      </c>
      <c r="H820" s="2">
        <v>1.0089359999999998</v>
      </c>
      <c r="I820" s="2">
        <v>0</v>
      </c>
      <c r="J820" s="5">
        <f t="shared" si="24"/>
        <v>1.0089359999999998</v>
      </c>
      <c r="K820" s="5">
        <f t="shared" si="25"/>
        <v>1.0089359999999998</v>
      </c>
      <c r="L820" s="6">
        <f>K820/'Quellen &amp; Annahmen'!$B$2</f>
        <v>9.1388393698637733E-6</v>
      </c>
      <c r="M820" s="7" t="s">
        <v>187</v>
      </c>
      <c r="N820" s="7" t="s">
        <v>188</v>
      </c>
    </row>
    <row r="821" spans="1:14" ht="18" customHeight="1">
      <c r="A821">
        <v>820</v>
      </c>
      <c r="B821" t="s">
        <v>906</v>
      </c>
      <c r="C821" t="s">
        <v>253</v>
      </c>
      <c r="D821" s="2">
        <v>0</v>
      </c>
      <c r="E821" s="2">
        <v>0</v>
      </c>
      <c r="F821" s="2">
        <v>0</v>
      </c>
      <c r="G821" s="2">
        <v>0</v>
      </c>
      <c r="H821" s="2">
        <v>1.0089359999999998</v>
      </c>
      <c r="I821" s="2">
        <v>0</v>
      </c>
      <c r="J821" s="5">
        <f t="shared" si="24"/>
        <v>1.0089359999999998</v>
      </c>
      <c r="K821" s="5">
        <f t="shared" si="25"/>
        <v>1.0089359999999998</v>
      </c>
      <c r="L821" s="6">
        <f>K821/'Quellen &amp; Annahmen'!$B$2</f>
        <v>9.1388393698637733E-6</v>
      </c>
      <c r="M821" s="7" t="s">
        <v>187</v>
      </c>
      <c r="N821" s="7" t="s">
        <v>188</v>
      </c>
    </row>
    <row r="822" spans="1:14" ht="18" customHeight="1">
      <c r="A822">
        <v>821</v>
      </c>
      <c r="B822" t="s">
        <v>907</v>
      </c>
      <c r="C822" t="s">
        <v>38</v>
      </c>
      <c r="D822" s="2">
        <v>0</v>
      </c>
      <c r="E822" s="2">
        <v>0</v>
      </c>
      <c r="F822" s="2">
        <v>0</v>
      </c>
      <c r="G822" s="2">
        <v>0</v>
      </c>
      <c r="H822" s="2">
        <v>1.0089359999999998</v>
      </c>
      <c r="I822" s="2">
        <v>0</v>
      </c>
      <c r="J822" s="5">
        <f t="shared" si="24"/>
        <v>1.0089359999999998</v>
      </c>
      <c r="K822" s="5">
        <f t="shared" si="25"/>
        <v>1.0089359999999998</v>
      </c>
      <c r="L822" s="6">
        <f>K822/'Quellen &amp; Annahmen'!$B$2</f>
        <v>9.1388393698637733E-6</v>
      </c>
      <c r="M822" s="7" t="s">
        <v>187</v>
      </c>
      <c r="N822" s="7" t="s">
        <v>188</v>
      </c>
    </row>
    <row r="823" spans="1:14" ht="18" customHeight="1">
      <c r="A823">
        <v>822</v>
      </c>
      <c r="B823" t="s">
        <v>908</v>
      </c>
      <c r="C823" t="s">
        <v>38</v>
      </c>
      <c r="D823" s="2">
        <v>0</v>
      </c>
      <c r="E823" s="2">
        <v>0</v>
      </c>
      <c r="F823" s="2">
        <v>0</v>
      </c>
      <c r="G823" s="2">
        <v>0</v>
      </c>
      <c r="H823" s="2">
        <v>1.0089359999999998</v>
      </c>
      <c r="I823" s="2">
        <v>0</v>
      </c>
      <c r="J823" s="5">
        <f t="shared" si="24"/>
        <v>1.0089359999999998</v>
      </c>
      <c r="K823" s="5">
        <f t="shared" si="25"/>
        <v>1.0089359999999998</v>
      </c>
      <c r="L823" s="6">
        <f>K823/'Quellen &amp; Annahmen'!$B$2</f>
        <v>9.1388393698637733E-6</v>
      </c>
      <c r="M823" s="7" t="s">
        <v>187</v>
      </c>
      <c r="N823" s="7" t="s">
        <v>188</v>
      </c>
    </row>
    <row r="824" spans="1:14" ht="18" customHeight="1">
      <c r="A824">
        <v>823</v>
      </c>
      <c r="B824" t="s">
        <v>909</v>
      </c>
      <c r="C824" t="s">
        <v>50</v>
      </c>
      <c r="D824" s="2">
        <v>0</v>
      </c>
      <c r="E824" s="2">
        <v>0</v>
      </c>
      <c r="F824" s="2">
        <v>0</v>
      </c>
      <c r="G824" s="2">
        <v>0</v>
      </c>
      <c r="H824" s="2">
        <v>1.0089359999999998</v>
      </c>
      <c r="I824" s="2">
        <v>0</v>
      </c>
      <c r="J824" s="5">
        <f t="shared" si="24"/>
        <v>1.0089359999999998</v>
      </c>
      <c r="K824" s="5">
        <f t="shared" si="25"/>
        <v>1.0089359999999998</v>
      </c>
      <c r="L824" s="6">
        <f>K824/'Quellen &amp; Annahmen'!$B$2</f>
        <v>9.1388393698637733E-6</v>
      </c>
      <c r="M824" s="7" t="s">
        <v>187</v>
      </c>
      <c r="N824" s="7" t="s">
        <v>188</v>
      </c>
    </row>
    <row r="825" spans="1:14" ht="18" customHeight="1">
      <c r="A825">
        <v>824</v>
      </c>
      <c r="B825" t="s">
        <v>910</v>
      </c>
      <c r="C825" t="s">
        <v>108</v>
      </c>
      <c r="D825" s="2">
        <v>0</v>
      </c>
      <c r="E825" s="2">
        <v>0</v>
      </c>
      <c r="F825" s="2">
        <v>0</v>
      </c>
      <c r="G825" s="2">
        <v>0</v>
      </c>
      <c r="H825" s="2">
        <v>1.0089359999999998</v>
      </c>
      <c r="I825" s="2">
        <v>0</v>
      </c>
      <c r="J825" s="5">
        <f t="shared" si="24"/>
        <v>1.0089359999999998</v>
      </c>
      <c r="K825" s="5">
        <f t="shared" si="25"/>
        <v>1.0089359999999998</v>
      </c>
      <c r="L825" s="6">
        <f>K825/'Quellen &amp; Annahmen'!$B$2</f>
        <v>9.1388393698637733E-6</v>
      </c>
      <c r="M825" s="7" t="s">
        <v>187</v>
      </c>
      <c r="N825" s="7" t="s">
        <v>188</v>
      </c>
    </row>
    <row r="826" spans="1:14" ht="18" customHeight="1">
      <c r="A826">
        <v>825</v>
      </c>
      <c r="B826" t="s">
        <v>911</v>
      </c>
      <c r="C826" t="s">
        <v>263</v>
      </c>
      <c r="D826" s="2">
        <v>0</v>
      </c>
      <c r="E826" s="2">
        <v>0</v>
      </c>
      <c r="F826" s="2">
        <v>0</v>
      </c>
      <c r="G826" s="2">
        <v>0</v>
      </c>
      <c r="H826" s="2">
        <v>1.0089359999999998</v>
      </c>
      <c r="I826" s="2">
        <v>0</v>
      </c>
      <c r="J826" s="5">
        <f t="shared" si="24"/>
        <v>1.0089359999999998</v>
      </c>
      <c r="K826" s="5">
        <f t="shared" si="25"/>
        <v>1.0089359999999998</v>
      </c>
      <c r="L826" s="6">
        <f>K826/'Quellen &amp; Annahmen'!$B$2</f>
        <v>9.1388393698637733E-6</v>
      </c>
      <c r="M826" s="7" t="s">
        <v>187</v>
      </c>
      <c r="N826" s="7" t="s">
        <v>188</v>
      </c>
    </row>
    <row r="827" spans="1:14" ht="18" customHeight="1">
      <c r="A827">
        <v>826</v>
      </c>
      <c r="B827" t="s">
        <v>912</v>
      </c>
      <c r="C827" t="s">
        <v>41</v>
      </c>
      <c r="D827" s="2">
        <v>0</v>
      </c>
      <c r="E827" s="2">
        <v>0</v>
      </c>
      <c r="F827" s="2">
        <v>0</v>
      </c>
      <c r="G827" s="2">
        <v>0</v>
      </c>
      <c r="H827" s="2">
        <v>1.0089359999999998</v>
      </c>
      <c r="I827" s="2">
        <v>0</v>
      </c>
      <c r="J827" s="5">
        <f t="shared" si="24"/>
        <v>1.0089359999999998</v>
      </c>
      <c r="K827" s="5">
        <f t="shared" si="25"/>
        <v>1.0089359999999998</v>
      </c>
      <c r="L827" s="6">
        <f>K827/'Quellen &amp; Annahmen'!$B$2</f>
        <v>9.1388393698637733E-6</v>
      </c>
      <c r="M827" s="7" t="s">
        <v>187</v>
      </c>
      <c r="N827" s="7" t="s">
        <v>188</v>
      </c>
    </row>
    <row r="828" spans="1:14" ht="18" customHeight="1">
      <c r="A828">
        <v>827</v>
      </c>
      <c r="B828" t="s">
        <v>913</v>
      </c>
      <c r="C828" t="s">
        <v>50</v>
      </c>
      <c r="D828" s="2">
        <v>0</v>
      </c>
      <c r="E828" s="2">
        <v>0</v>
      </c>
      <c r="F828" s="2">
        <v>0</v>
      </c>
      <c r="G828" s="2">
        <v>0</v>
      </c>
      <c r="H828" s="2">
        <v>1.0089359999999998</v>
      </c>
      <c r="I828" s="2">
        <v>0</v>
      </c>
      <c r="J828" s="5">
        <f t="shared" si="24"/>
        <v>1.0089359999999998</v>
      </c>
      <c r="K828" s="5">
        <f t="shared" si="25"/>
        <v>1.0089359999999998</v>
      </c>
      <c r="L828" s="6">
        <f>K828/'Quellen &amp; Annahmen'!$B$2</f>
        <v>9.1388393698637733E-6</v>
      </c>
      <c r="M828" s="7" t="s">
        <v>187</v>
      </c>
      <c r="N828" s="7" t="s">
        <v>188</v>
      </c>
    </row>
    <row r="829" spans="1:14" ht="18" customHeight="1">
      <c r="A829">
        <v>828</v>
      </c>
      <c r="B829" t="s">
        <v>914</v>
      </c>
      <c r="C829" t="s">
        <v>108</v>
      </c>
      <c r="D829" s="2">
        <v>0</v>
      </c>
      <c r="E829" s="2">
        <v>0</v>
      </c>
      <c r="F829" s="2">
        <v>0</v>
      </c>
      <c r="G829" s="2">
        <v>0</v>
      </c>
      <c r="H829" s="2">
        <v>1.0089359999999998</v>
      </c>
      <c r="I829" s="2">
        <v>0</v>
      </c>
      <c r="J829" s="5">
        <f t="shared" si="24"/>
        <v>1.0089359999999998</v>
      </c>
      <c r="K829" s="5">
        <f t="shared" si="25"/>
        <v>1.0089359999999998</v>
      </c>
      <c r="L829" s="6">
        <f>K829/'Quellen &amp; Annahmen'!$B$2</f>
        <v>9.1388393698637733E-6</v>
      </c>
      <c r="M829" s="7" t="s">
        <v>187</v>
      </c>
      <c r="N829" s="7" t="s">
        <v>188</v>
      </c>
    </row>
    <row r="830" spans="1:14" ht="18" customHeight="1">
      <c r="A830">
        <v>829</v>
      </c>
      <c r="B830" t="s">
        <v>915</v>
      </c>
      <c r="C830" t="s">
        <v>23</v>
      </c>
      <c r="D830" s="2">
        <v>0</v>
      </c>
      <c r="E830" s="2">
        <v>0</v>
      </c>
      <c r="F830" s="2">
        <v>0</v>
      </c>
      <c r="G830" s="2">
        <v>0</v>
      </c>
      <c r="H830" s="2">
        <v>1.0089359999999998</v>
      </c>
      <c r="I830" s="2">
        <v>0</v>
      </c>
      <c r="J830" s="5">
        <f t="shared" si="24"/>
        <v>1.0089359999999998</v>
      </c>
      <c r="K830" s="5">
        <f t="shared" si="25"/>
        <v>1.0089359999999998</v>
      </c>
      <c r="L830" s="6">
        <f>K830/'Quellen &amp; Annahmen'!$B$2</f>
        <v>9.1388393698637733E-6</v>
      </c>
      <c r="M830" s="7" t="s">
        <v>187</v>
      </c>
      <c r="N830" s="7" t="s">
        <v>188</v>
      </c>
    </row>
    <row r="831" spans="1:14" ht="18" customHeight="1">
      <c r="A831">
        <v>830</v>
      </c>
      <c r="B831" t="s">
        <v>916</v>
      </c>
      <c r="C831" t="s">
        <v>50</v>
      </c>
      <c r="D831" s="2">
        <v>0</v>
      </c>
      <c r="E831" s="2">
        <v>0</v>
      </c>
      <c r="F831" s="2">
        <v>0</v>
      </c>
      <c r="G831" s="2">
        <v>0</v>
      </c>
      <c r="H831" s="2">
        <v>1.0089359999999998</v>
      </c>
      <c r="I831" s="2">
        <v>0</v>
      </c>
      <c r="J831" s="5">
        <f t="shared" si="24"/>
        <v>1.0089359999999998</v>
      </c>
      <c r="K831" s="5">
        <f t="shared" si="25"/>
        <v>1.0089359999999998</v>
      </c>
      <c r="L831" s="6">
        <f>K831/'Quellen &amp; Annahmen'!$B$2</f>
        <v>9.1388393698637733E-6</v>
      </c>
      <c r="M831" s="7" t="s">
        <v>187</v>
      </c>
      <c r="N831" s="7" t="s">
        <v>188</v>
      </c>
    </row>
    <row r="832" spans="1:14" ht="18" customHeight="1">
      <c r="A832">
        <v>831</v>
      </c>
      <c r="B832" t="s">
        <v>917</v>
      </c>
      <c r="C832" t="s">
        <v>50</v>
      </c>
      <c r="D832" s="2">
        <v>0</v>
      </c>
      <c r="E832" s="2">
        <v>0</v>
      </c>
      <c r="F832" s="2">
        <v>0</v>
      </c>
      <c r="G832" s="2">
        <v>0</v>
      </c>
      <c r="H832" s="2">
        <v>1.0089359999999998</v>
      </c>
      <c r="I832" s="2">
        <v>0</v>
      </c>
      <c r="J832" s="5">
        <f t="shared" si="24"/>
        <v>1.0089359999999998</v>
      </c>
      <c r="K832" s="5">
        <f t="shared" si="25"/>
        <v>1.0089359999999998</v>
      </c>
      <c r="L832" s="6">
        <f>K832/'Quellen &amp; Annahmen'!$B$2</f>
        <v>9.1388393698637733E-6</v>
      </c>
      <c r="M832" s="7" t="s">
        <v>187</v>
      </c>
      <c r="N832" s="7" t="s">
        <v>188</v>
      </c>
    </row>
    <row r="833" spans="1:14" ht="18" customHeight="1">
      <c r="A833">
        <v>832</v>
      </c>
      <c r="B833" t="s">
        <v>918</v>
      </c>
      <c r="C833" t="s">
        <v>50</v>
      </c>
      <c r="D833" s="2">
        <v>0</v>
      </c>
      <c r="E833" s="2">
        <v>0</v>
      </c>
      <c r="F833" s="2">
        <v>0</v>
      </c>
      <c r="G833" s="2">
        <v>0</v>
      </c>
      <c r="H833" s="2">
        <v>1.0089359999999998</v>
      </c>
      <c r="I833" s="2">
        <v>0</v>
      </c>
      <c r="J833" s="5">
        <f t="shared" si="24"/>
        <v>1.0089359999999998</v>
      </c>
      <c r="K833" s="5">
        <f t="shared" si="25"/>
        <v>1.0089359999999998</v>
      </c>
      <c r="L833" s="6">
        <f>K833/'Quellen &amp; Annahmen'!$B$2</f>
        <v>9.1388393698637733E-6</v>
      </c>
      <c r="M833" s="7" t="s">
        <v>187</v>
      </c>
      <c r="N833" s="7" t="s">
        <v>188</v>
      </c>
    </row>
    <row r="834" spans="1:14" ht="18" customHeight="1">
      <c r="A834">
        <v>833</v>
      </c>
      <c r="B834" t="s">
        <v>919</v>
      </c>
      <c r="C834" t="s">
        <v>108</v>
      </c>
      <c r="D834" s="2">
        <v>0</v>
      </c>
      <c r="E834" s="2">
        <v>0</v>
      </c>
      <c r="F834" s="2">
        <v>0</v>
      </c>
      <c r="G834" s="2">
        <v>0</v>
      </c>
      <c r="H834" s="2">
        <v>1.0089359999999998</v>
      </c>
      <c r="I834" s="2">
        <v>0</v>
      </c>
      <c r="J834" s="5">
        <f t="shared" ref="J834:J897" si="26">SUM(E834:I834)</f>
        <v>1.0089359999999998</v>
      </c>
      <c r="K834" s="5">
        <f t="shared" ref="K834:K897" si="27">D834+J834</f>
        <v>1.0089359999999998</v>
      </c>
      <c r="L834" s="6">
        <f>K834/'Quellen &amp; Annahmen'!$B$2</f>
        <v>9.1388393698637733E-6</v>
      </c>
      <c r="M834" s="7" t="s">
        <v>187</v>
      </c>
      <c r="N834" s="7" t="s">
        <v>188</v>
      </c>
    </row>
    <row r="835" spans="1:14" ht="18" customHeight="1">
      <c r="A835">
        <v>834</v>
      </c>
      <c r="B835" t="s">
        <v>920</v>
      </c>
      <c r="C835" t="s">
        <v>108</v>
      </c>
      <c r="D835" s="2">
        <v>0</v>
      </c>
      <c r="E835" s="2">
        <v>0</v>
      </c>
      <c r="F835" s="2">
        <v>0</v>
      </c>
      <c r="G835" s="2">
        <v>0</v>
      </c>
      <c r="H835" s="2">
        <v>1.0089359999999998</v>
      </c>
      <c r="I835" s="2">
        <v>0</v>
      </c>
      <c r="J835" s="5">
        <f t="shared" si="26"/>
        <v>1.0089359999999998</v>
      </c>
      <c r="K835" s="5">
        <f t="shared" si="27"/>
        <v>1.0089359999999998</v>
      </c>
      <c r="L835" s="6">
        <f>K835/'Quellen &amp; Annahmen'!$B$2</f>
        <v>9.1388393698637733E-6</v>
      </c>
      <c r="M835" s="7" t="s">
        <v>187</v>
      </c>
      <c r="N835" s="7" t="s">
        <v>188</v>
      </c>
    </row>
    <row r="836" spans="1:14" ht="18" customHeight="1">
      <c r="A836">
        <v>835</v>
      </c>
      <c r="B836" t="s">
        <v>921</v>
      </c>
      <c r="C836" t="s">
        <v>124</v>
      </c>
      <c r="D836" s="2">
        <v>0</v>
      </c>
      <c r="E836" s="2">
        <v>0</v>
      </c>
      <c r="F836" s="2">
        <v>0</v>
      </c>
      <c r="G836" s="2">
        <v>0</v>
      </c>
      <c r="H836" s="2">
        <v>1.0089359999999998</v>
      </c>
      <c r="I836" s="2">
        <v>0</v>
      </c>
      <c r="J836" s="5">
        <f t="shared" si="26"/>
        <v>1.0089359999999998</v>
      </c>
      <c r="K836" s="5">
        <f t="shared" si="27"/>
        <v>1.0089359999999998</v>
      </c>
      <c r="L836" s="6">
        <f>K836/'Quellen &amp; Annahmen'!$B$2</f>
        <v>9.1388393698637733E-6</v>
      </c>
      <c r="M836" s="7" t="s">
        <v>187</v>
      </c>
      <c r="N836" s="7" t="s">
        <v>188</v>
      </c>
    </row>
    <row r="837" spans="1:14" ht="18" customHeight="1">
      <c r="A837">
        <v>836</v>
      </c>
      <c r="B837" t="s">
        <v>922</v>
      </c>
      <c r="C837" t="s">
        <v>33</v>
      </c>
      <c r="D837" s="2">
        <v>0</v>
      </c>
      <c r="E837" s="2">
        <v>0</v>
      </c>
      <c r="F837" s="2">
        <v>0</v>
      </c>
      <c r="G837" s="2">
        <v>0</v>
      </c>
      <c r="H837" s="2">
        <v>1.0089359999999998</v>
      </c>
      <c r="I837" s="2">
        <v>0</v>
      </c>
      <c r="J837" s="5">
        <f t="shared" si="26"/>
        <v>1.0089359999999998</v>
      </c>
      <c r="K837" s="5">
        <f t="shared" si="27"/>
        <v>1.0089359999999998</v>
      </c>
      <c r="L837" s="6">
        <f>K837/'Quellen &amp; Annahmen'!$B$2</f>
        <v>9.1388393698637733E-6</v>
      </c>
      <c r="M837" s="7" t="s">
        <v>187</v>
      </c>
      <c r="N837" s="7" t="s">
        <v>188</v>
      </c>
    </row>
    <row r="838" spans="1:14" ht="18" customHeight="1">
      <c r="A838">
        <v>837</v>
      </c>
      <c r="B838" t="s">
        <v>923</v>
      </c>
      <c r="C838" t="s">
        <v>38</v>
      </c>
      <c r="D838" s="2">
        <v>0</v>
      </c>
      <c r="E838" s="2">
        <v>0</v>
      </c>
      <c r="F838" s="2">
        <v>0</v>
      </c>
      <c r="G838" s="2">
        <v>0</v>
      </c>
      <c r="H838" s="2">
        <v>1.0089359999999998</v>
      </c>
      <c r="I838" s="2">
        <v>0</v>
      </c>
      <c r="J838" s="5">
        <f t="shared" si="26"/>
        <v>1.0089359999999998</v>
      </c>
      <c r="K838" s="5">
        <f t="shared" si="27"/>
        <v>1.0089359999999998</v>
      </c>
      <c r="L838" s="6">
        <f>K838/'Quellen &amp; Annahmen'!$B$2</f>
        <v>9.1388393698637733E-6</v>
      </c>
      <c r="M838" s="7" t="s">
        <v>187</v>
      </c>
      <c r="N838" s="7" t="s">
        <v>188</v>
      </c>
    </row>
    <row r="839" spans="1:14" ht="18" customHeight="1">
      <c r="A839">
        <v>838</v>
      </c>
      <c r="B839" t="s">
        <v>924</v>
      </c>
      <c r="C839" t="s">
        <v>50</v>
      </c>
      <c r="D839" s="2">
        <v>0</v>
      </c>
      <c r="E839" s="2">
        <v>0</v>
      </c>
      <c r="F839" s="2">
        <v>0</v>
      </c>
      <c r="G839" s="2">
        <v>0</v>
      </c>
      <c r="H839" s="2">
        <v>1.0089359999999998</v>
      </c>
      <c r="I839" s="2">
        <v>0</v>
      </c>
      <c r="J839" s="5">
        <f t="shared" si="26"/>
        <v>1.0089359999999998</v>
      </c>
      <c r="K839" s="5">
        <f t="shared" si="27"/>
        <v>1.0089359999999998</v>
      </c>
      <c r="L839" s="6">
        <f>K839/'Quellen &amp; Annahmen'!$B$2</f>
        <v>9.1388393698637733E-6</v>
      </c>
      <c r="M839" s="7" t="s">
        <v>187</v>
      </c>
      <c r="N839" s="7" t="s">
        <v>188</v>
      </c>
    </row>
    <row r="840" spans="1:14" ht="18" customHeight="1">
      <c r="A840">
        <v>839</v>
      </c>
      <c r="B840" t="s">
        <v>925</v>
      </c>
      <c r="C840" t="s">
        <v>25</v>
      </c>
      <c r="D840" s="2">
        <v>0</v>
      </c>
      <c r="E840" s="2">
        <v>0</v>
      </c>
      <c r="F840" s="2">
        <v>0</v>
      </c>
      <c r="G840" s="2">
        <v>0</v>
      </c>
      <c r="H840" s="2">
        <v>1.0089359999999998</v>
      </c>
      <c r="I840" s="2">
        <v>0</v>
      </c>
      <c r="J840" s="5">
        <f t="shared" si="26"/>
        <v>1.0089359999999998</v>
      </c>
      <c r="K840" s="5">
        <f t="shared" si="27"/>
        <v>1.0089359999999998</v>
      </c>
      <c r="L840" s="6">
        <f>K840/'Quellen &amp; Annahmen'!$B$2</f>
        <v>9.1388393698637733E-6</v>
      </c>
      <c r="M840" s="7" t="s">
        <v>187</v>
      </c>
      <c r="N840" s="7" t="s">
        <v>188</v>
      </c>
    </row>
    <row r="841" spans="1:14" ht="18" customHeight="1">
      <c r="A841">
        <v>840</v>
      </c>
      <c r="B841" t="s">
        <v>926</v>
      </c>
      <c r="C841" t="s">
        <v>27</v>
      </c>
      <c r="D841" s="2">
        <v>0</v>
      </c>
      <c r="E841" s="2">
        <v>0</v>
      </c>
      <c r="F841" s="2">
        <v>0</v>
      </c>
      <c r="G841" s="2">
        <v>0</v>
      </c>
      <c r="H841" s="2">
        <v>1.0089359999999998</v>
      </c>
      <c r="I841" s="2">
        <v>0</v>
      </c>
      <c r="J841" s="5">
        <f t="shared" si="26"/>
        <v>1.0089359999999998</v>
      </c>
      <c r="K841" s="5">
        <f t="shared" si="27"/>
        <v>1.0089359999999998</v>
      </c>
      <c r="L841" s="6">
        <f>K841/'Quellen &amp; Annahmen'!$B$2</f>
        <v>9.1388393698637733E-6</v>
      </c>
      <c r="M841" s="7" t="s">
        <v>187</v>
      </c>
      <c r="N841" s="7" t="s">
        <v>188</v>
      </c>
    </row>
    <row r="842" spans="1:14" ht="18" customHeight="1">
      <c r="A842">
        <v>841</v>
      </c>
      <c r="B842" t="s">
        <v>927</v>
      </c>
      <c r="C842" t="s">
        <v>33</v>
      </c>
      <c r="D842" s="2">
        <v>0</v>
      </c>
      <c r="E842" s="2">
        <v>0</v>
      </c>
      <c r="F842" s="2">
        <v>0</v>
      </c>
      <c r="G842" s="2">
        <v>0</v>
      </c>
      <c r="H842" s="2">
        <v>1.0089359999999998</v>
      </c>
      <c r="I842" s="2">
        <v>0</v>
      </c>
      <c r="J842" s="5">
        <f t="shared" si="26"/>
        <v>1.0089359999999998</v>
      </c>
      <c r="K842" s="5">
        <f t="shared" si="27"/>
        <v>1.0089359999999998</v>
      </c>
      <c r="L842" s="6">
        <f>K842/'Quellen &amp; Annahmen'!$B$2</f>
        <v>9.1388393698637733E-6</v>
      </c>
      <c r="M842" s="7" t="s">
        <v>187</v>
      </c>
      <c r="N842" s="7" t="s">
        <v>188</v>
      </c>
    </row>
    <row r="843" spans="1:14" ht="18" customHeight="1">
      <c r="A843">
        <v>842</v>
      </c>
      <c r="B843" t="s">
        <v>928</v>
      </c>
      <c r="C843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1.0089359999999998</v>
      </c>
      <c r="I843" s="2">
        <v>0</v>
      </c>
      <c r="J843" s="5">
        <f t="shared" si="26"/>
        <v>1.0089359999999998</v>
      </c>
      <c r="K843" s="5">
        <f t="shared" si="27"/>
        <v>1.0089359999999998</v>
      </c>
      <c r="L843" s="6">
        <f>K843/'Quellen &amp; Annahmen'!$B$2</f>
        <v>9.1388393698637733E-6</v>
      </c>
      <c r="M843" s="7" t="s">
        <v>187</v>
      </c>
      <c r="N843" s="7" t="s">
        <v>188</v>
      </c>
    </row>
    <row r="844" spans="1:14" ht="18" customHeight="1">
      <c r="A844">
        <v>843</v>
      </c>
      <c r="B844" t="s">
        <v>929</v>
      </c>
      <c r="C844" t="s">
        <v>23</v>
      </c>
      <c r="D844" s="2">
        <v>0</v>
      </c>
      <c r="E844" s="2">
        <v>0</v>
      </c>
      <c r="F844" s="2">
        <v>0</v>
      </c>
      <c r="G844" s="2">
        <v>0</v>
      </c>
      <c r="H844" s="2">
        <v>1.0089359999999998</v>
      </c>
      <c r="I844" s="2">
        <v>0</v>
      </c>
      <c r="J844" s="5">
        <f t="shared" si="26"/>
        <v>1.0089359999999998</v>
      </c>
      <c r="K844" s="5">
        <f t="shared" si="27"/>
        <v>1.0089359999999998</v>
      </c>
      <c r="L844" s="6">
        <f>K844/'Quellen &amp; Annahmen'!$B$2</f>
        <v>9.1388393698637733E-6</v>
      </c>
      <c r="M844" s="7" t="s">
        <v>187</v>
      </c>
      <c r="N844" s="7" t="s">
        <v>188</v>
      </c>
    </row>
    <row r="845" spans="1:14" ht="18" customHeight="1">
      <c r="A845">
        <v>844</v>
      </c>
      <c r="B845" t="s">
        <v>930</v>
      </c>
      <c r="C845" t="s">
        <v>124</v>
      </c>
      <c r="D845" s="2">
        <v>0</v>
      </c>
      <c r="E845" s="2">
        <v>0</v>
      </c>
      <c r="F845" s="2">
        <v>0</v>
      </c>
      <c r="G845" s="2">
        <v>0</v>
      </c>
      <c r="H845" s="2">
        <v>0.336312</v>
      </c>
      <c r="I845" s="2">
        <v>0.57052000000000003</v>
      </c>
      <c r="J845" s="5">
        <f t="shared" si="26"/>
        <v>0.90683200000000008</v>
      </c>
      <c r="K845" s="5">
        <f t="shared" si="27"/>
        <v>0.90683200000000008</v>
      </c>
      <c r="L845" s="6">
        <f>K845/'Quellen &amp; Annahmen'!$B$2</f>
        <v>8.2139917531461942E-6</v>
      </c>
      <c r="M845" s="7" t="s">
        <v>179</v>
      </c>
      <c r="N845" s="7" t="s">
        <v>180</v>
      </c>
    </row>
    <row r="846" spans="1:14" ht="18" customHeight="1">
      <c r="A846">
        <v>845</v>
      </c>
      <c r="B846" t="s">
        <v>931</v>
      </c>
      <c r="C846" t="s">
        <v>25</v>
      </c>
      <c r="D846" s="2">
        <v>0</v>
      </c>
      <c r="E846" s="2">
        <v>0</v>
      </c>
      <c r="F846" s="2">
        <v>0</v>
      </c>
      <c r="G846" s="2">
        <v>0</v>
      </c>
      <c r="H846" s="2">
        <v>0.336312</v>
      </c>
      <c r="I846" s="2">
        <v>0.57052000000000003</v>
      </c>
      <c r="J846" s="5">
        <f t="shared" si="26"/>
        <v>0.90683200000000008</v>
      </c>
      <c r="K846" s="5">
        <f t="shared" si="27"/>
        <v>0.90683200000000008</v>
      </c>
      <c r="L846" s="6">
        <f>K846/'Quellen &amp; Annahmen'!$B$2</f>
        <v>8.2139917531461942E-6</v>
      </c>
      <c r="M846" s="7" t="s">
        <v>179</v>
      </c>
      <c r="N846" s="7" t="s">
        <v>180</v>
      </c>
    </row>
    <row r="847" spans="1:14" ht="18" customHeight="1">
      <c r="A847">
        <v>846</v>
      </c>
      <c r="B847" t="s">
        <v>932</v>
      </c>
      <c r="C847" t="s">
        <v>253</v>
      </c>
      <c r="D847" s="2">
        <v>0</v>
      </c>
      <c r="E847" s="2">
        <v>0</v>
      </c>
      <c r="F847" s="2">
        <v>0</v>
      </c>
      <c r="G847" s="2">
        <v>0</v>
      </c>
      <c r="H847" s="2">
        <v>0.336312</v>
      </c>
      <c r="I847" s="2">
        <v>0.57052000000000003</v>
      </c>
      <c r="J847" s="5">
        <f t="shared" si="26"/>
        <v>0.90683200000000008</v>
      </c>
      <c r="K847" s="5">
        <f t="shared" si="27"/>
        <v>0.90683200000000008</v>
      </c>
      <c r="L847" s="6">
        <f>K847/'Quellen &amp; Annahmen'!$B$2</f>
        <v>8.2139917531461942E-6</v>
      </c>
      <c r="M847" s="7" t="s">
        <v>179</v>
      </c>
      <c r="N847" s="7" t="s">
        <v>180</v>
      </c>
    </row>
    <row r="848" spans="1:14" ht="18" customHeight="1">
      <c r="A848">
        <v>847</v>
      </c>
      <c r="B848" t="s">
        <v>933</v>
      </c>
      <c r="C848" t="s">
        <v>33</v>
      </c>
      <c r="D848" s="2">
        <v>0</v>
      </c>
      <c r="E848" s="2">
        <v>0</v>
      </c>
      <c r="F848" s="2">
        <v>0</v>
      </c>
      <c r="G848" s="2">
        <v>0</v>
      </c>
      <c r="H848" s="2">
        <v>0.336312</v>
      </c>
      <c r="I848" s="2">
        <v>0.57052000000000003</v>
      </c>
      <c r="J848" s="5">
        <f t="shared" si="26"/>
        <v>0.90683200000000008</v>
      </c>
      <c r="K848" s="5">
        <f t="shared" si="27"/>
        <v>0.90683200000000008</v>
      </c>
      <c r="L848" s="6">
        <f>K848/'Quellen &amp; Annahmen'!$B$2</f>
        <v>8.2139917531461942E-6</v>
      </c>
      <c r="M848" s="7" t="s">
        <v>179</v>
      </c>
      <c r="N848" s="7" t="s">
        <v>180</v>
      </c>
    </row>
    <row r="849" spans="1:14" ht="18" customHeight="1">
      <c r="A849">
        <v>848</v>
      </c>
      <c r="B849" t="s">
        <v>934</v>
      </c>
      <c r="C849" t="s">
        <v>108</v>
      </c>
      <c r="D849" s="2">
        <v>0</v>
      </c>
      <c r="E849" s="2">
        <v>0</v>
      </c>
      <c r="F849" s="2">
        <v>0</v>
      </c>
      <c r="G849" s="2">
        <v>0</v>
      </c>
      <c r="H849" s="2">
        <v>0.336312</v>
      </c>
      <c r="I849" s="2">
        <v>0.57052000000000003</v>
      </c>
      <c r="J849" s="5">
        <f t="shared" si="26"/>
        <v>0.90683200000000008</v>
      </c>
      <c r="K849" s="5">
        <f t="shared" si="27"/>
        <v>0.90683200000000008</v>
      </c>
      <c r="L849" s="6">
        <f>K849/'Quellen &amp; Annahmen'!$B$2</f>
        <v>8.2139917531461942E-6</v>
      </c>
      <c r="M849" s="7" t="s">
        <v>179</v>
      </c>
      <c r="N849" s="7" t="s">
        <v>180</v>
      </c>
    </row>
    <row r="850" spans="1:14" ht="18" customHeight="1">
      <c r="A850">
        <v>849</v>
      </c>
      <c r="B850" t="s">
        <v>935</v>
      </c>
      <c r="C850" t="s">
        <v>108</v>
      </c>
      <c r="D850" s="2">
        <v>0</v>
      </c>
      <c r="E850" s="2">
        <v>0</v>
      </c>
      <c r="F850" s="2">
        <v>0</v>
      </c>
      <c r="G850" s="2">
        <v>0</v>
      </c>
      <c r="H850" s="2">
        <v>0.336312</v>
      </c>
      <c r="I850" s="2">
        <v>0.57052000000000003</v>
      </c>
      <c r="J850" s="5">
        <f t="shared" si="26"/>
        <v>0.90683200000000008</v>
      </c>
      <c r="K850" s="5">
        <f t="shared" si="27"/>
        <v>0.90683200000000008</v>
      </c>
      <c r="L850" s="6">
        <f>K850/'Quellen &amp; Annahmen'!$B$2</f>
        <v>8.2139917531461942E-6</v>
      </c>
      <c r="M850" s="7" t="s">
        <v>179</v>
      </c>
      <c r="N850" s="7" t="s">
        <v>180</v>
      </c>
    </row>
    <row r="851" spans="1:14" ht="18" customHeight="1">
      <c r="A851">
        <v>850</v>
      </c>
      <c r="B851" t="s">
        <v>936</v>
      </c>
      <c r="C851" t="s">
        <v>41</v>
      </c>
      <c r="D851" s="2">
        <v>0</v>
      </c>
      <c r="E851" s="2">
        <v>0</v>
      </c>
      <c r="F851" s="2">
        <v>0</v>
      </c>
      <c r="G851" s="2">
        <v>0</v>
      </c>
      <c r="H851" s="2">
        <v>0.336312</v>
      </c>
      <c r="I851" s="2">
        <v>0.57052000000000003</v>
      </c>
      <c r="J851" s="5">
        <f t="shared" si="26"/>
        <v>0.90683200000000008</v>
      </c>
      <c r="K851" s="5">
        <f t="shared" si="27"/>
        <v>0.90683200000000008</v>
      </c>
      <c r="L851" s="6">
        <f>K851/'Quellen &amp; Annahmen'!$B$2</f>
        <v>8.2139917531461942E-6</v>
      </c>
      <c r="M851" s="7" t="s">
        <v>179</v>
      </c>
      <c r="N851" s="7" t="s">
        <v>180</v>
      </c>
    </row>
    <row r="852" spans="1:14" ht="18" customHeight="1">
      <c r="A852">
        <v>851</v>
      </c>
      <c r="B852" t="s">
        <v>937</v>
      </c>
      <c r="C852" t="s">
        <v>50</v>
      </c>
      <c r="D852" s="2">
        <v>0</v>
      </c>
      <c r="E852" s="2">
        <v>0</v>
      </c>
      <c r="F852" s="2">
        <v>0</v>
      </c>
      <c r="G852" s="2">
        <v>0</v>
      </c>
      <c r="H852" s="2">
        <v>0.336312</v>
      </c>
      <c r="I852" s="2">
        <v>0.57052000000000003</v>
      </c>
      <c r="J852" s="5">
        <f t="shared" si="26"/>
        <v>0.90683200000000008</v>
      </c>
      <c r="K852" s="5">
        <f t="shared" si="27"/>
        <v>0.90683200000000008</v>
      </c>
      <c r="L852" s="6">
        <f>K852/'Quellen &amp; Annahmen'!$B$2</f>
        <v>8.2139917531461942E-6</v>
      </c>
      <c r="M852" s="7" t="s">
        <v>179</v>
      </c>
      <c r="N852" s="7" t="s">
        <v>180</v>
      </c>
    </row>
    <row r="853" spans="1:14" ht="18" customHeight="1">
      <c r="A853">
        <v>852</v>
      </c>
      <c r="B853" t="s">
        <v>938</v>
      </c>
      <c r="C853" t="s">
        <v>23</v>
      </c>
      <c r="D853" s="2">
        <v>0</v>
      </c>
      <c r="E853" s="2">
        <v>0</v>
      </c>
      <c r="F853" s="2">
        <v>0</v>
      </c>
      <c r="G853" s="2">
        <v>0</v>
      </c>
      <c r="H853" s="2">
        <v>0.336312</v>
      </c>
      <c r="I853" s="2">
        <v>0.57052000000000003</v>
      </c>
      <c r="J853" s="5">
        <f t="shared" si="26"/>
        <v>0.90683200000000008</v>
      </c>
      <c r="K853" s="5">
        <f t="shared" si="27"/>
        <v>0.90683200000000008</v>
      </c>
      <c r="L853" s="6">
        <f>K853/'Quellen &amp; Annahmen'!$B$2</f>
        <v>8.2139917531461942E-6</v>
      </c>
      <c r="M853" s="7" t="s">
        <v>179</v>
      </c>
      <c r="N853" s="7" t="s">
        <v>180</v>
      </c>
    </row>
    <row r="854" spans="1:14" ht="18" customHeight="1">
      <c r="A854">
        <v>853</v>
      </c>
      <c r="B854" t="s">
        <v>939</v>
      </c>
      <c r="C854" t="s">
        <v>38</v>
      </c>
      <c r="D854" s="2">
        <v>0</v>
      </c>
      <c r="E854" s="2">
        <v>0</v>
      </c>
      <c r="F854" s="2">
        <v>0</v>
      </c>
      <c r="G854" s="2">
        <v>0</v>
      </c>
      <c r="H854" s="2">
        <v>0.336312</v>
      </c>
      <c r="I854" s="2">
        <v>0.57052000000000003</v>
      </c>
      <c r="J854" s="5">
        <f t="shared" si="26"/>
        <v>0.90683200000000008</v>
      </c>
      <c r="K854" s="5">
        <f t="shared" si="27"/>
        <v>0.90683200000000008</v>
      </c>
      <c r="L854" s="6">
        <f>K854/'Quellen &amp; Annahmen'!$B$2</f>
        <v>8.2139917531461942E-6</v>
      </c>
      <c r="M854" s="7" t="s">
        <v>179</v>
      </c>
      <c r="N854" s="7" t="s">
        <v>180</v>
      </c>
    </row>
    <row r="855" spans="1:14" ht="18" customHeight="1">
      <c r="A855">
        <v>854</v>
      </c>
      <c r="B855" t="s">
        <v>940</v>
      </c>
      <c r="C855" t="s">
        <v>38</v>
      </c>
      <c r="D855" s="2">
        <v>0</v>
      </c>
      <c r="E855" s="2">
        <v>0</v>
      </c>
      <c r="F855" s="2">
        <v>0</v>
      </c>
      <c r="G855" s="2">
        <v>0</v>
      </c>
      <c r="H855" s="2">
        <v>0.336312</v>
      </c>
      <c r="I855" s="2">
        <v>0.57052000000000003</v>
      </c>
      <c r="J855" s="5">
        <f t="shared" si="26"/>
        <v>0.90683200000000008</v>
      </c>
      <c r="K855" s="5">
        <f t="shared" si="27"/>
        <v>0.90683200000000008</v>
      </c>
      <c r="L855" s="6">
        <f>K855/'Quellen &amp; Annahmen'!$B$2</f>
        <v>8.2139917531461942E-6</v>
      </c>
      <c r="M855" s="7" t="s">
        <v>179</v>
      </c>
      <c r="N855" s="7" t="s">
        <v>180</v>
      </c>
    </row>
    <row r="856" spans="1:14" ht="18" customHeight="1">
      <c r="A856">
        <v>855</v>
      </c>
      <c r="B856" t="s">
        <v>941</v>
      </c>
      <c r="C856" t="s">
        <v>41</v>
      </c>
      <c r="D856" s="2">
        <v>0</v>
      </c>
      <c r="E856" s="2">
        <v>0</v>
      </c>
      <c r="F856" s="2">
        <v>0</v>
      </c>
      <c r="G856" s="2">
        <v>0</v>
      </c>
      <c r="H856" s="2">
        <v>0.336312</v>
      </c>
      <c r="I856" s="2">
        <v>0.57052000000000003</v>
      </c>
      <c r="J856" s="5">
        <f t="shared" si="26"/>
        <v>0.90683200000000008</v>
      </c>
      <c r="K856" s="5">
        <f t="shared" si="27"/>
        <v>0.90683200000000008</v>
      </c>
      <c r="L856" s="6">
        <f>K856/'Quellen &amp; Annahmen'!$B$2</f>
        <v>8.2139917531461942E-6</v>
      </c>
      <c r="M856" s="7" t="s">
        <v>179</v>
      </c>
      <c r="N856" s="7" t="s">
        <v>180</v>
      </c>
    </row>
    <row r="857" spans="1:14" ht="18" customHeight="1">
      <c r="A857">
        <v>856</v>
      </c>
      <c r="B857" t="s">
        <v>942</v>
      </c>
      <c r="C857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0.79872799999999999</v>
      </c>
      <c r="J857" s="5">
        <f t="shared" si="26"/>
        <v>0.79872799999999999</v>
      </c>
      <c r="K857" s="5">
        <f t="shared" si="27"/>
        <v>0.79872799999999999</v>
      </c>
      <c r="L857" s="6">
        <f>K857/'Quellen &amp; Annahmen'!$B$2</f>
        <v>7.2347967484682417E-6</v>
      </c>
      <c r="M857" s="7" t="s">
        <v>943</v>
      </c>
      <c r="N857" s="7" t="s">
        <v>944</v>
      </c>
    </row>
    <row r="858" spans="1:14" ht="18" customHeight="1">
      <c r="A858">
        <v>857</v>
      </c>
      <c r="B858" t="s">
        <v>945</v>
      </c>
      <c r="C858" t="s">
        <v>23</v>
      </c>
      <c r="D858" s="2">
        <v>0</v>
      </c>
      <c r="E858" s="2">
        <v>0</v>
      </c>
      <c r="F858" s="2">
        <v>0</v>
      </c>
      <c r="G858" s="2">
        <v>0</v>
      </c>
      <c r="H858" s="2">
        <v>0.336312</v>
      </c>
      <c r="I858" s="2">
        <v>0.45641599999999999</v>
      </c>
      <c r="J858" s="5">
        <f t="shared" si="26"/>
        <v>0.79272799999999999</v>
      </c>
      <c r="K858" s="5">
        <f t="shared" si="27"/>
        <v>0.79272799999999999</v>
      </c>
      <c r="L858" s="6">
        <f>K858/'Quellen &amp; Annahmen'!$B$2</f>
        <v>7.1804493605078727E-6</v>
      </c>
      <c r="M858" s="7" t="s">
        <v>179</v>
      </c>
      <c r="N858" s="7" t="s">
        <v>180</v>
      </c>
    </row>
    <row r="859" spans="1:14" ht="18" customHeight="1">
      <c r="A859">
        <v>858</v>
      </c>
      <c r="B859" t="s">
        <v>946</v>
      </c>
      <c r="C859" t="s">
        <v>253</v>
      </c>
      <c r="D859" s="2">
        <v>0</v>
      </c>
      <c r="E859" s="2">
        <v>0</v>
      </c>
      <c r="F859" s="2">
        <v>0</v>
      </c>
      <c r="G859" s="2">
        <v>0</v>
      </c>
      <c r="H859" s="2">
        <v>0.336312</v>
      </c>
      <c r="I859" s="2">
        <v>0.45641599999999999</v>
      </c>
      <c r="J859" s="5">
        <f t="shared" si="26"/>
        <v>0.79272799999999999</v>
      </c>
      <c r="K859" s="5">
        <f t="shared" si="27"/>
        <v>0.79272799999999999</v>
      </c>
      <c r="L859" s="6">
        <f>K859/'Quellen &amp; Annahmen'!$B$2</f>
        <v>7.1804493605078727E-6</v>
      </c>
      <c r="M859" s="7" t="s">
        <v>179</v>
      </c>
      <c r="N859" s="7" t="s">
        <v>180</v>
      </c>
    </row>
    <row r="860" spans="1:14" ht="18" customHeight="1">
      <c r="A860">
        <v>859</v>
      </c>
      <c r="B860" t="s">
        <v>947</v>
      </c>
      <c r="C860" t="s">
        <v>23</v>
      </c>
      <c r="D860" s="2">
        <v>0</v>
      </c>
      <c r="E860" s="2">
        <v>0</v>
      </c>
      <c r="F860" s="2">
        <v>0</v>
      </c>
      <c r="G860" s="2">
        <v>0</v>
      </c>
      <c r="H860" s="2">
        <v>0.336312</v>
      </c>
      <c r="I860" s="2">
        <v>0.45641599999999999</v>
      </c>
      <c r="J860" s="5">
        <f t="shared" si="26"/>
        <v>0.79272799999999999</v>
      </c>
      <c r="K860" s="5">
        <f t="shared" si="27"/>
        <v>0.79272799999999999</v>
      </c>
      <c r="L860" s="6">
        <f>K860/'Quellen &amp; Annahmen'!$B$2</f>
        <v>7.1804493605078727E-6</v>
      </c>
      <c r="M860" s="7" t="s">
        <v>179</v>
      </c>
      <c r="N860" s="7" t="s">
        <v>180</v>
      </c>
    </row>
    <row r="861" spans="1:14" ht="18" customHeight="1">
      <c r="A861">
        <v>860</v>
      </c>
      <c r="B861" t="s">
        <v>948</v>
      </c>
      <c r="C861" t="s">
        <v>253</v>
      </c>
      <c r="D861" s="2">
        <v>0</v>
      </c>
      <c r="E861" s="2">
        <v>0</v>
      </c>
      <c r="F861" s="2">
        <v>0</v>
      </c>
      <c r="G861" s="2">
        <v>0</v>
      </c>
      <c r="H861" s="2">
        <v>0.336312</v>
      </c>
      <c r="I861" s="2">
        <v>0.45641599999999999</v>
      </c>
      <c r="J861" s="5">
        <f t="shared" si="26"/>
        <v>0.79272799999999999</v>
      </c>
      <c r="K861" s="5">
        <f t="shared" si="27"/>
        <v>0.79272799999999999</v>
      </c>
      <c r="L861" s="6">
        <f>K861/'Quellen &amp; Annahmen'!$B$2</f>
        <v>7.1804493605078727E-6</v>
      </c>
      <c r="M861" s="7" t="s">
        <v>179</v>
      </c>
      <c r="N861" s="7" t="s">
        <v>180</v>
      </c>
    </row>
    <row r="862" spans="1:14" ht="18" customHeight="1">
      <c r="A862">
        <v>861</v>
      </c>
      <c r="B862" t="s">
        <v>949</v>
      </c>
      <c r="C862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0.336312</v>
      </c>
      <c r="I862" s="2">
        <v>0.45641599999999999</v>
      </c>
      <c r="J862" s="5">
        <f t="shared" si="26"/>
        <v>0.79272799999999999</v>
      </c>
      <c r="K862" s="5">
        <f t="shared" si="27"/>
        <v>0.79272799999999999</v>
      </c>
      <c r="L862" s="6">
        <f>K862/'Quellen &amp; Annahmen'!$B$2</f>
        <v>7.1804493605078727E-6</v>
      </c>
      <c r="M862" s="7" t="s">
        <v>179</v>
      </c>
      <c r="N862" s="7" t="s">
        <v>180</v>
      </c>
    </row>
    <row r="863" spans="1:14" ht="18" customHeight="1">
      <c r="A863">
        <v>862</v>
      </c>
      <c r="B863" t="s">
        <v>950</v>
      </c>
      <c r="C863" t="s">
        <v>33</v>
      </c>
      <c r="D863" s="2">
        <v>0</v>
      </c>
      <c r="E863" s="2">
        <v>0</v>
      </c>
      <c r="F863" s="2">
        <v>0</v>
      </c>
      <c r="G863" s="2">
        <v>0</v>
      </c>
      <c r="H863" s="2">
        <v>0.336312</v>
      </c>
      <c r="I863" s="2">
        <v>0.45641599999999999</v>
      </c>
      <c r="J863" s="5">
        <f t="shared" si="26"/>
        <v>0.79272799999999999</v>
      </c>
      <c r="K863" s="5">
        <f t="shared" si="27"/>
        <v>0.79272799999999999</v>
      </c>
      <c r="L863" s="6">
        <f>K863/'Quellen &amp; Annahmen'!$B$2</f>
        <v>7.1804493605078727E-6</v>
      </c>
      <c r="M863" s="7" t="s">
        <v>179</v>
      </c>
      <c r="N863" s="7" t="s">
        <v>180</v>
      </c>
    </row>
    <row r="864" spans="1:14" ht="18" customHeight="1">
      <c r="A864">
        <v>863</v>
      </c>
      <c r="B864" t="s">
        <v>951</v>
      </c>
      <c r="C864" t="s">
        <v>124</v>
      </c>
      <c r="D864" s="2">
        <v>0</v>
      </c>
      <c r="E864" s="2">
        <v>0</v>
      </c>
      <c r="F864" s="2">
        <v>0</v>
      </c>
      <c r="G864" s="2">
        <v>0</v>
      </c>
      <c r="H864" s="2">
        <v>0.336312</v>
      </c>
      <c r="I864" s="2">
        <v>0.45641599999999999</v>
      </c>
      <c r="J864" s="5">
        <f t="shared" si="26"/>
        <v>0.79272799999999999</v>
      </c>
      <c r="K864" s="5">
        <f t="shared" si="27"/>
        <v>0.79272799999999999</v>
      </c>
      <c r="L864" s="6">
        <f>K864/'Quellen &amp; Annahmen'!$B$2</f>
        <v>7.1804493605078727E-6</v>
      </c>
      <c r="M864" s="7" t="s">
        <v>179</v>
      </c>
      <c r="N864" s="7" t="s">
        <v>180</v>
      </c>
    </row>
    <row r="865" spans="1:14" ht="18" customHeight="1">
      <c r="A865">
        <v>864</v>
      </c>
      <c r="B865" t="s">
        <v>952</v>
      </c>
      <c r="C865" t="s">
        <v>27</v>
      </c>
      <c r="D865" s="2">
        <v>0</v>
      </c>
      <c r="E865" s="2">
        <v>0</v>
      </c>
      <c r="F865" s="2">
        <v>0</v>
      </c>
      <c r="G865" s="2">
        <v>0</v>
      </c>
      <c r="H865" s="2">
        <v>0.336312</v>
      </c>
      <c r="I865" s="2">
        <v>0.45641599999999999</v>
      </c>
      <c r="J865" s="5">
        <f t="shared" si="26"/>
        <v>0.79272799999999999</v>
      </c>
      <c r="K865" s="5">
        <f t="shared" si="27"/>
        <v>0.79272799999999999</v>
      </c>
      <c r="L865" s="6">
        <f>K865/'Quellen &amp; Annahmen'!$B$2</f>
        <v>7.1804493605078727E-6</v>
      </c>
      <c r="M865" s="7" t="s">
        <v>179</v>
      </c>
      <c r="N865" s="7" t="s">
        <v>180</v>
      </c>
    </row>
    <row r="866" spans="1:14" ht="18" customHeight="1">
      <c r="A866">
        <v>865</v>
      </c>
      <c r="B866" t="s">
        <v>953</v>
      </c>
      <c r="C866" t="s">
        <v>41</v>
      </c>
      <c r="D866" s="2">
        <v>0</v>
      </c>
      <c r="E866" s="2">
        <v>0</v>
      </c>
      <c r="F866" s="2">
        <v>0</v>
      </c>
      <c r="G866" s="2">
        <v>0</v>
      </c>
      <c r="H866" s="2">
        <v>0.336312</v>
      </c>
      <c r="I866" s="2">
        <v>0.45641599999999999</v>
      </c>
      <c r="J866" s="5">
        <f t="shared" si="26"/>
        <v>0.79272799999999999</v>
      </c>
      <c r="K866" s="5">
        <f t="shared" si="27"/>
        <v>0.79272799999999999</v>
      </c>
      <c r="L866" s="6">
        <f>K866/'Quellen &amp; Annahmen'!$B$2</f>
        <v>7.1804493605078727E-6</v>
      </c>
      <c r="M866" s="7" t="s">
        <v>179</v>
      </c>
      <c r="N866" s="7" t="s">
        <v>180</v>
      </c>
    </row>
    <row r="867" spans="1:14" ht="18" customHeight="1">
      <c r="A867">
        <v>866</v>
      </c>
      <c r="B867" t="s">
        <v>954</v>
      </c>
      <c r="C867" t="s">
        <v>263</v>
      </c>
      <c r="D867" s="2">
        <v>0</v>
      </c>
      <c r="E867" s="2">
        <v>0</v>
      </c>
      <c r="F867" s="2">
        <v>0</v>
      </c>
      <c r="G867" s="2">
        <v>0</v>
      </c>
      <c r="H867" s="2">
        <v>0.336312</v>
      </c>
      <c r="I867" s="2">
        <v>0.45641599999999999</v>
      </c>
      <c r="J867" s="5">
        <f t="shared" si="26"/>
        <v>0.79272799999999999</v>
      </c>
      <c r="K867" s="5">
        <f t="shared" si="27"/>
        <v>0.79272799999999999</v>
      </c>
      <c r="L867" s="6">
        <f>K867/'Quellen &amp; Annahmen'!$B$2</f>
        <v>7.1804493605078727E-6</v>
      </c>
      <c r="M867" s="7" t="s">
        <v>179</v>
      </c>
      <c r="N867" s="7" t="s">
        <v>180</v>
      </c>
    </row>
    <row r="868" spans="1:14" ht="18" customHeight="1">
      <c r="A868">
        <v>867</v>
      </c>
      <c r="B868" t="s">
        <v>955</v>
      </c>
      <c r="C868" t="s">
        <v>41</v>
      </c>
      <c r="D868" s="2">
        <v>0</v>
      </c>
      <c r="E868" s="2">
        <v>0</v>
      </c>
      <c r="F868" s="2">
        <v>0</v>
      </c>
      <c r="G868" s="2">
        <v>0</v>
      </c>
      <c r="H868" s="2">
        <v>0.336312</v>
      </c>
      <c r="I868" s="2">
        <v>0.45641599999999999</v>
      </c>
      <c r="J868" s="5">
        <f t="shared" si="26"/>
        <v>0.79272799999999999</v>
      </c>
      <c r="K868" s="5">
        <f t="shared" si="27"/>
        <v>0.79272799999999999</v>
      </c>
      <c r="L868" s="6">
        <f>K868/'Quellen &amp; Annahmen'!$B$2</f>
        <v>7.1804493605078727E-6</v>
      </c>
      <c r="M868" s="7" t="s">
        <v>179</v>
      </c>
      <c r="N868" s="7" t="s">
        <v>180</v>
      </c>
    </row>
    <row r="869" spans="1:14" ht="18" customHeight="1">
      <c r="A869">
        <v>868</v>
      </c>
      <c r="B869" t="s">
        <v>956</v>
      </c>
      <c r="C869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0.336312</v>
      </c>
      <c r="I869" s="2">
        <v>0.45641599999999999</v>
      </c>
      <c r="J869" s="5">
        <f t="shared" si="26"/>
        <v>0.79272799999999999</v>
      </c>
      <c r="K869" s="5">
        <f t="shared" si="27"/>
        <v>0.79272799999999999</v>
      </c>
      <c r="L869" s="6">
        <f>K869/'Quellen &amp; Annahmen'!$B$2</f>
        <v>7.1804493605078727E-6</v>
      </c>
      <c r="M869" s="7" t="s">
        <v>179</v>
      </c>
      <c r="N869" s="7" t="s">
        <v>180</v>
      </c>
    </row>
    <row r="870" spans="1:14" ht="18" customHeight="1">
      <c r="A870">
        <v>869</v>
      </c>
      <c r="B870" t="s">
        <v>957</v>
      </c>
      <c r="C870" t="s">
        <v>253</v>
      </c>
      <c r="D870" s="2">
        <v>0</v>
      </c>
      <c r="E870" s="2">
        <v>0</v>
      </c>
      <c r="F870" s="2">
        <v>0</v>
      </c>
      <c r="G870" s="2">
        <v>0</v>
      </c>
      <c r="H870" s="2">
        <v>0.336312</v>
      </c>
      <c r="I870" s="2">
        <v>0.34231200000000001</v>
      </c>
      <c r="J870" s="5">
        <f t="shared" si="26"/>
        <v>0.678624</v>
      </c>
      <c r="K870" s="5">
        <f t="shared" si="27"/>
        <v>0.678624</v>
      </c>
      <c r="L870" s="6">
        <f>K870/'Quellen &amp; Annahmen'!$B$2</f>
        <v>6.1469069678695529E-6</v>
      </c>
      <c r="M870" s="7" t="s">
        <v>179</v>
      </c>
      <c r="N870" s="7" t="s">
        <v>180</v>
      </c>
    </row>
    <row r="871" spans="1:14" ht="18" customHeight="1">
      <c r="A871">
        <v>870</v>
      </c>
      <c r="B871" t="s">
        <v>958</v>
      </c>
      <c r="C871" t="s">
        <v>23</v>
      </c>
      <c r="D871" s="2">
        <v>0</v>
      </c>
      <c r="E871" s="2">
        <v>0</v>
      </c>
      <c r="F871" s="2">
        <v>0</v>
      </c>
      <c r="G871" s="2">
        <v>0</v>
      </c>
      <c r="H871" s="2">
        <v>0.336312</v>
      </c>
      <c r="I871" s="2">
        <v>0.34231200000000001</v>
      </c>
      <c r="J871" s="5">
        <f t="shared" si="26"/>
        <v>0.678624</v>
      </c>
      <c r="K871" s="5">
        <f t="shared" si="27"/>
        <v>0.678624</v>
      </c>
      <c r="L871" s="6">
        <f>K871/'Quellen &amp; Annahmen'!$B$2</f>
        <v>6.1469069678695529E-6</v>
      </c>
      <c r="M871" s="7" t="s">
        <v>179</v>
      </c>
      <c r="N871" s="7" t="s">
        <v>180</v>
      </c>
    </row>
    <row r="872" spans="1:14" ht="18" customHeight="1">
      <c r="A872">
        <v>871</v>
      </c>
      <c r="B872" t="s">
        <v>959</v>
      </c>
      <c r="C872" t="s">
        <v>23</v>
      </c>
      <c r="D872" s="2">
        <v>0</v>
      </c>
      <c r="E872" s="2">
        <v>0</v>
      </c>
      <c r="F872" s="2">
        <v>0</v>
      </c>
      <c r="G872" s="2">
        <v>0</v>
      </c>
      <c r="H872" s="2">
        <v>0.336312</v>
      </c>
      <c r="I872" s="2">
        <v>0.34231200000000001</v>
      </c>
      <c r="J872" s="5">
        <f t="shared" si="26"/>
        <v>0.678624</v>
      </c>
      <c r="K872" s="5">
        <f t="shared" si="27"/>
        <v>0.678624</v>
      </c>
      <c r="L872" s="6">
        <f>K872/'Quellen &amp; Annahmen'!$B$2</f>
        <v>6.1469069678695529E-6</v>
      </c>
      <c r="M872" s="7" t="s">
        <v>179</v>
      </c>
      <c r="N872" s="7" t="s">
        <v>180</v>
      </c>
    </row>
    <row r="873" spans="1:14" ht="18" customHeight="1">
      <c r="A873">
        <v>872</v>
      </c>
      <c r="B873" t="s">
        <v>960</v>
      </c>
      <c r="C873" t="s">
        <v>23</v>
      </c>
      <c r="D873" s="2">
        <v>0</v>
      </c>
      <c r="E873" s="2">
        <v>0</v>
      </c>
      <c r="F873" s="2">
        <v>0</v>
      </c>
      <c r="G873" s="2">
        <v>0</v>
      </c>
      <c r="H873" s="2">
        <v>0.336312</v>
      </c>
      <c r="I873" s="2">
        <v>0.34231200000000001</v>
      </c>
      <c r="J873" s="5">
        <f t="shared" si="26"/>
        <v>0.678624</v>
      </c>
      <c r="K873" s="5">
        <f t="shared" si="27"/>
        <v>0.678624</v>
      </c>
      <c r="L873" s="6">
        <f>K873/'Quellen &amp; Annahmen'!$B$2</f>
        <v>6.1469069678695529E-6</v>
      </c>
      <c r="M873" s="7" t="s">
        <v>179</v>
      </c>
      <c r="N873" s="7" t="s">
        <v>180</v>
      </c>
    </row>
    <row r="874" spans="1:14" ht="18" customHeight="1">
      <c r="A874">
        <v>873</v>
      </c>
      <c r="B874" t="s">
        <v>961</v>
      </c>
      <c r="C874" t="s">
        <v>23</v>
      </c>
      <c r="D874" s="2">
        <v>0</v>
      </c>
      <c r="E874" s="2">
        <v>0</v>
      </c>
      <c r="F874" s="2">
        <v>0</v>
      </c>
      <c r="G874" s="2">
        <v>0</v>
      </c>
      <c r="H874" s="2">
        <v>0.336312</v>
      </c>
      <c r="I874" s="2">
        <v>0.34231200000000001</v>
      </c>
      <c r="J874" s="5">
        <f t="shared" si="26"/>
        <v>0.678624</v>
      </c>
      <c r="K874" s="5">
        <f t="shared" si="27"/>
        <v>0.678624</v>
      </c>
      <c r="L874" s="6">
        <f>K874/'Quellen &amp; Annahmen'!$B$2</f>
        <v>6.1469069678695529E-6</v>
      </c>
      <c r="M874" s="7" t="s">
        <v>179</v>
      </c>
      <c r="N874" s="7" t="s">
        <v>180</v>
      </c>
    </row>
    <row r="875" spans="1:14" ht="18" customHeight="1">
      <c r="A875">
        <v>874</v>
      </c>
      <c r="B875" t="s">
        <v>962</v>
      </c>
      <c r="C875" t="s">
        <v>124</v>
      </c>
      <c r="D875" s="2">
        <v>0</v>
      </c>
      <c r="E875" s="2">
        <v>0</v>
      </c>
      <c r="F875" s="2">
        <v>0</v>
      </c>
      <c r="G875" s="2">
        <v>0</v>
      </c>
      <c r="H875" s="2">
        <v>0.336312</v>
      </c>
      <c r="I875" s="2">
        <v>0.34231200000000001</v>
      </c>
      <c r="J875" s="5">
        <f t="shared" si="26"/>
        <v>0.678624</v>
      </c>
      <c r="K875" s="5">
        <f t="shared" si="27"/>
        <v>0.678624</v>
      </c>
      <c r="L875" s="6">
        <f>K875/'Quellen &amp; Annahmen'!$B$2</f>
        <v>6.1469069678695529E-6</v>
      </c>
      <c r="M875" s="7" t="s">
        <v>179</v>
      </c>
      <c r="N875" s="7" t="s">
        <v>180</v>
      </c>
    </row>
    <row r="876" spans="1:14" ht="18" customHeight="1">
      <c r="A876">
        <v>875</v>
      </c>
      <c r="B876" t="s">
        <v>963</v>
      </c>
      <c r="C876" t="s">
        <v>33</v>
      </c>
      <c r="D876" s="2">
        <v>0</v>
      </c>
      <c r="E876" s="2">
        <v>0</v>
      </c>
      <c r="F876" s="2">
        <v>0</v>
      </c>
      <c r="G876" s="2">
        <v>0</v>
      </c>
      <c r="H876" s="2">
        <v>0.336312</v>
      </c>
      <c r="I876" s="2">
        <v>0.34231200000000001</v>
      </c>
      <c r="J876" s="5">
        <f t="shared" si="26"/>
        <v>0.678624</v>
      </c>
      <c r="K876" s="5">
        <f t="shared" si="27"/>
        <v>0.678624</v>
      </c>
      <c r="L876" s="6">
        <f>K876/'Quellen &amp; Annahmen'!$B$2</f>
        <v>6.1469069678695529E-6</v>
      </c>
      <c r="M876" s="7" t="s">
        <v>179</v>
      </c>
      <c r="N876" s="7" t="s">
        <v>180</v>
      </c>
    </row>
    <row r="877" spans="1:14" ht="18" customHeight="1">
      <c r="A877">
        <v>876</v>
      </c>
      <c r="B877" t="s">
        <v>964</v>
      </c>
      <c r="C877" t="s">
        <v>23</v>
      </c>
      <c r="D877" s="2">
        <v>0</v>
      </c>
      <c r="E877" s="2">
        <v>0</v>
      </c>
      <c r="F877" s="2">
        <v>0</v>
      </c>
      <c r="G877" s="2">
        <v>0</v>
      </c>
      <c r="H877" s="2">
        <v>0.336312</v>
      </c>
      <c r="I877" s="2">
        <v>0.34231200000000001</v>
      </c>
      <c r="J877" s="5">
        <f t="shared" si="26"/>
        <v>0.678624</v>
      </c>
      <c r="K877" s="5">
        <f t="shared" si="27"/>
        <v>0.678624</v>
      </c>
      <c r="L877" s="6">
        <f>K877/'Quellen &amp; Annahmen'!$B$2</f>
        <v>6.1469069678695529E-6</v>
      </c>
      <c r="M877" s="7" t="s">
        <v>179</v>
      </c>
      <c r="N877" s="7" t="s">
        <v>180</v>
      </c>
    </row>
    <row r="878" spans="1:14" ht="18" customHeight="1">
      <c r="A878">
        <v>877</v>
      </c>
      <c r="B878" t="s">
        <v>965</v>
      </c>
      <c r="C878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0.336312</v>
      </c>
      <c r="I878" s="2">
        <v>0.34231200000000001</v>
      </c>
      <c r="J878" s="5">
        <f t="shared" si="26"/>
        <v>0.678624</v>
      </c>
      <c r="K878" s="5">
        <f t="shared" si="27"/>
        <v>0.678624</v>
      </c>
      <c r="L878" s="6">
        <f>K878/'Quellen &amp; Annahmen'!$B$2</f>
        <v>6.1469069678695529E-6</v>
      </c>
      <c r="M878" s="7" t="s">
        <v>179</v>
      </c>
      <c r="N878" s="7" t="s">
        <v>180</v>
      </c>
    </row>
    <row r="879" spans="1:14" ht="18" customHeight="1">
      <c r="A879">
        <v>878</v>
      </c>
      <c r="B879" t="s">
        <v>966</v>
      </c>
      <c r="C879" t="s">
        <v>23</v>
      </c>
      <c r="D879" s="2">
        <v>0</v>
      </c>
      <c r="E879" s="2">
        <v>0</v>
      </c>
      <c r="F879" s="2">
        <v>0</v>
      </c>
      <c r="G879" s="2">
        <v>0</v>
      </c>
      <c r="H879" s="2">
        <v>0.336312</v>
      </c>
      <c r="I879" s="2">
        <v>0.34231200000000001</v>
      </c>
      <c r="J879" s="5">
        <f t="shared" si="26"/>
        <v>0.678624</v>
      </c>
      <c r="K879" s="5">
        <f t="shared" si="27"/>
        <v>0.678624</v>
      </c>
      <c r="L879" s="6">
        <f>K879/'Quellen &amp; Annahmen'!$B$2</f>
        <v>6.1469069678695529E-6</v>
      </c>
      <c r="M879" s="7" t="s">
        <v>179</v>
      </c>
      <c r="N879" s="7" t="s">
        <v>180</v>
      </c>
    </row>
    <row r="880" spans="1:14" ht="18" customHeight="1">
      <c r="A880">
        <v>879</v>
      </c>
      <c r="B880" t="s">
        <v>967</v>
      </c>
      <c r="C880" t="s">
        <v>23</v>
      </c>
      <c r="D880" s="2">
        <v>0</v>
      </c>
      <c r="E880" s="2">
        <v>0</v>
      </c>
      <c r="F880" s="2">
        <v>0</v>
      </c>
      <c r="G880" s="2">
        <v>0</v>
      </c>
      <c r="H880" s="2">
        <v>0.336312</v>
      </c>
      <c r="I880" s="2">
        <v>0.34231200000000001</v>
      </c>
      <c r="J880" s="5">
        <f t="shared" si="26"/>
        <v>0.678624</v>
      </c>
      <c r="K880" s="5">
        <f t="shared" si="27"/>
        <v>0.678624</v>
      </c>
      <c r="L880" s="6">
        <f>K880/'Quellen &amp; Annahmen'!$B$2</f>
        <v>6.1469069678695529E-6</v>
      </c>
      <c r="M880" s="7" t="s">
        <v>179</v>
      </c>
      <c r="N880" s="7" t="s">
        <v>180</v>
      </c>
    </row>
    <row r="881" spans="1:14" ht="18" customHeight="1">
      <c r="A881">
        <v>880</v>
      </c>
      <c r="B881" t="s">
        <v>968</v>
      </c>
      <c r="C881" t="s">
        <v>23</v>
      </c>
      <c r="D881" s="2">
        <v>0</v>
      </c>
      <c r="E881" s="2">
        <v>0</v>
      </c>
      <c r="F881" s="2">
        <v>0</v>
      </c>
      <c r="G881" s="2">
        <v>0</v>
      </c>
      <c r="H881" s="2">
        <v>0.336312</v>
      </c>
      <c r="I881" s="2">
        <v>0.34231200000000001</v>
      </c>
      <c r="J881" s="5">
        <f t="shared" si="26"/>
        <v>0.678624</v>
      </c>
      <c r="K881" s="5">
        <f t="shared" si="27"/>
        <v>0.678624</v>
      </c>
      <c r="L881" s="6">
        <f>K881/'Quellen &amp; Annahmen'!$B$2</f>
        <v>6.1469069678695529E-6</v>
      </c>
      <c r="M881" s="7" t="s">
        <v>179</v>
      </c>
      <c r="N881" s="7" t="s">
        <v>180</v>
      </c>
    </row>
    <row r="882" spans="1:14" ht="18" customHeight="1">
      <c r="A882">
        <v>881</v>
      </c>
      <c r="B882" t="s">
        <v>969</v>
      </c>
      <c r="C882" t="s">
        <v>41</v>
      </c>
      <c r="D882" s="2">
        <v>0</v>
      </c>
      <c r="E882" s="2">
        <v>0</v>
      </c>
      <c r="F882" s="2">
        <v>0</v>
      </c>
      <c r="G882" s="2">
        <v>0</v>
      </c>
      <c r="H882" s="2">
        <v>0.336312</v>
      </c>
      <c r="I882" s="2">
        <v>0.34231200000000001</v>
      </c>
      <c r="J882" s="5">
        <f t="shared" si="26"/>
        <v>0.678624</v>
      </c>
      <c r="K882" s="5">
        <f t="shared" si="27"/>
        <v>0.678624</v>
      </c>
      <c r="L882" s="6">
        <f>K882/'Quellen &amp; Annahmen'!$B$2</f>
        <v>6.1469069678695529E-6</v>
      </c>
      <c r="M882" s="7" t="s">
        <v>179</v>
      </c>
      <c r="N882" s="7" t="s">
        <v>180</v>
      </c>
    </row>
    <row r="883" spans="1:14" ht="18" customHeight="1">
      <c r="A883">
        <v>882</v>
      </c>
      <c r="B883" t="s">
        <v>970</v>
      </c>
      <c r="C883" t="s">
        <v>38</v>
      </c>
      <c r="D883" s="2">
        <v>0</v>
      </c>
      <c r="E883" s="2">
        <v>0</v>
      </c>
      <c r="F883" s="2">
        <v>0</v>
      </c>
      <c r="G883" s="2">
        <v>0</v>
      </c>
      <c r="H883" s="2">
        <v>0.336312</v>
      </c>
      <c r="I883" s="2">
        <v>0.34231200000000001</v>
      </c>
      <c r="J883" s="5">
        <f t="shared" si="26"/>
        <v>0.678624</v>
      </c>
      <c r="K883" s="5">
        <f t="shared" si="27"/>
        <v>0.678624</v>
      </c>
      <c r="L883" s="6">
        <f>K883/'Quellen &amp; Annahmen'!$B$2</f>
        <v>6.1469069678695529E-6</v>
      </c>
      <c r="M883" s="7" t="s">
        <v>179</v>
      </c>
      <c r="N883" s="7" t="s">
        <v>180</v>
      </c>
    </row>
    <row r="884" spans="1:14" ht="18" customHeight="1">
      <c r="A884">
        <v>883</v>
      </c>
      <c r="B884" t="s">
        <v>971</v>
      </c>
      <c r="C884" t="s">
        <v>33</v>
      </c>
      <c r="D884" s="2">
        <v>0</v>
      </c>
      <c r="E884" s="2">
        <v>0</v>
      </c>
      <c r="F884" s="2">
        <v>0</v>
      </c>
      <c r="G884" s="2">
        <v>0</v>
      </c>
      <c r="H884" s="2">
        <v>0.336312</v>
      </c>
      <c r="I884" s="2">
        <v>0.34231200000000001</v>
      </c>
      <c r="J884" s="5">
        <f t="shared" si="26"/>
        <v>0.678624</v>
      </c>
      <c r="K884" s="5">
        <f t="shared" si="27"/>
        <v>0.678624</v>
      </c>
      <c r="L884" s="6">
        <f>K884/'Quellen &amp; Annahmen'!$B$2</f>
        <v>6.1469069678695529E-6</v>
      </c>
      <c r="M884" s="7" t="s">
        <v>179</v>
      </c>
      <c r="N884" s="7" t="s">
        <v>180</v>
      </c>
    </row>
    <row r="885" spans="1:14" ht="18" customHeight="1">
      <c r="A885">
        <v>884</v>
      </c>
      <c r="B885" t="s">
        <v>972</v>
      </c>
      <c r="C885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0.672624</v>
      </c>
      <c r="I885" s="2">
        <v>0</v>
      </c>
      <c r="J885" s="5">
        <f t="shared" si="26"/>
        <v>0.672624</v>
      </c>
      <c r="K885" s="5">
        <f t="shared" si="27"/>
        <v>0.672624</v>
      </c>
      <c r="L885" s="6">
        <f>K885/'Quellen &amp; Annahmen'!$B$2</f>
        <v>6.0925595799091839E-6</v>
      </c>
      <c r="M885" s="7" t="s">
        <v>187</v>
      </c>
      <c r="N885" s="7" t="s">
        <v>188</v>
      </c>
    </row>
    <row r="886" spans="1:14" ht="18" customHeight="1">
      <c r="A886">
        <v>885</v>
      </c>
      <c r="B886" t="s">
        <v>973</v>
      </c>
      <c r="C886" t="s">
        <v>253</v>
      </c>
      <c r="D886" s="2">
        <v>0</v>
      </c>
      <c r="E886" s="2">
        <v>0</v>
      </c>
      <c r="F886" s="2">
        <v>0</v>
      </c>
      <c r="G886" s="2">
        <v>0</v>
      </c>
      <c r="H886" s="2">
        <v>0.672624</v>
      </c>
      <c r="I886" s="2">
        <v>0</v>
      </c>
      <c r="J886" s="5">
        <f t="shared" si="26"/>
        <v>0.672624</v>
      </c>
      <c r="K886" s="5">
        <f t="shared" si="27"/>
        <v>0.672624</v>
      </c>
      <c r="L886" s="6">
        <f>K886/'Quellen &amp; Annahmen'!$B$2</f>
        <v>6.0925595799091839E-6</v>
      </c>
      <c r="M886" s="7" t="s">
        <v>187</v>
      </c>
      <c r="N886" s="7" t="s">
        <v>188</v>
      </c>
    </row>
    <row r="887" spans="1:14" ht="18" customHeight="1">
      <c r="A887">
        <v>886</v>
      </c>
      <c r="B887" t="s">
        <v>974</v>
      </c>
      <c r="C887" t="s">
        <v>38</v>
      </c>
      <c r="D887" s="2">
        <v>0</v>
      </c>
      <c r="E887" s="2">
        <v>0</v>
      </c>
      <c r="F887" s="2">
        <v>0</v>
      </c>
      <c r="G887" s="2">
        <v>0</v>
      </c>
      <c r="H887" s="2">
        <v>0.672624</v>
      </c>
      <c r="I887" s="2">
        <v>0</v>
      </c>
      <c r="J887" s="5">
        <f t="shared" si="26"/>
        <v>0.672624</v>
      </c>
      <c r="K887" s="5">
        <f t="shared" si="27"/>
        <v>0.672624</v>
      </c>
      <c r="L887" s="6">
        <f>K887/'Quellen &amp; Annahmen'!$B$2</f>
        <v>6.0925595799091839E-6</v>
      </c>
      <c r="M887" s="7" t="s">
        <v>187</v>
      </c>
      <c r="N887" s="7" t="s">
        <v>188</v>
      </c>
    </row>
    <row r="888" spans="1:14" ht="18" customHeight="1">
      <c r="A888">
        <v>887</v>
      </c>
      <c r="B888" t="s">
        <v>975</v>
      </c>
      <c r="C888" t="s">
        <v>38</v>
      </c>
      <c r="D888" s="2">
        <v>0</v>
      </c>
      <c r="E888" s="2">
        <v>0</v>
      </c>
      <c r="F888" s="2">
        <v>0</v>
      </c>
      <c r="G888" s="2">
        <v>0</v>
      </c>
      <c r="H888" s="2">
        <v>0.672624</v>
      </c>
      <c r="I888" s="2">
        <v>0</v>
      </c>
      <c r="J888" s="5">
        <f t="shared" si="26"/>
        <v>0.672624</v>
      </c>
      <c r="K888" s="5">
        <f t="shared" si="27"/>
        <v>0.672624</v>
      </c>
      <c r="L888" s="6">
        <f>K888/'Quellen &amp; Annahmen'!$B$2</f>
        <v>6.0925595799091839E-6</v>
      </c>
      <c r="M888" s="7" t="s">
        <v>187</v>
      </c>
      <c r="N888" s="7" t="s">
        <v>188</v>
      </c>
    </row>
    <row r="889" spans="1:14" ht="18" customHeight="1">
      <c r="A889">
        <v>888</v>
      </c>
      <c r="B889" t="s">
        <v>976</v>
      </c>
      <c r="C889" t="s">
        <v>33</v>
      </c>
      <c r="D889" s="2">
        <v>0</v>
      </c>
      <c r="E889" s="2">
        <v>0</v>
      </c>
      <c r="F889" s="2">
        <v>0</v>
      </c>
      <c r="G889" s="2">
        <v>0</v>
      </c>
      <c r="H889" s="2">
        <v>0.672624</v>
      </c>
      <c r="I889" s="2">
        <v>0</v>
      </c>
      <c r="J889" s="5">
        <f t="shared" si="26"/>
        <v>0.672624</v>
      </c>
      <c r="K889" s="5">
        <f t="shared" si="27"/>
        <v>0.672624</v>
      </c>
      <c r="L889" s="6">
        <f>K889/'Quellen &amp; Annahmen'!$B$2</f>
        <v>6.0925595799091839E-6</v>
      </c>
      <c r="M889" s="7" t="s">
        <v>187</v>
      </c>
      <c r="N889" s="7" t="s">
        <v>188</v>
      </c>
    </row>
    <row r="890" spans="1:14" ht="18" customHeight="1">
      <c r="A890">
        <v>889</v>
      </c>
      <c r="B890" t="s">
        <v>977</v>
      </c>
      <c r="C890" t="s">
        <v>50</v>
      </c>
      <c r="D890" s="2">
        <v>0</v>
      </c>
      <c r="E890" s="2">
        <v>0</v>
      </c>
      <c r="F890" s="2">
        <v>0</v>
      </c>
      <c r="G890" s="2">
        <v>0</v>
      </c>
      <c r="H890" s="2">
        <v>0.672624</v>
      </c>
      <c r="I890" s="2">
        <v>0</v>
      </c>
      <c r="J890" s="5">
        <f t="shared" si="26"/>
        <v>0.672624</v>
      </c>
      <c r="K890" s="5">
        <f t="shared" si="27"/>
        <v>0.672624</v>
      </c>
      <c r="L890" s="6">
        <f>K890/'Quellen &amp; Annahmen'!$B$2</f>
        <v>6.0925595799091839E-6</v>
      </c>
      <c r="M890" s="7" t="s">
        <v>187</v>
      </c>
      <c r="N890" s="7" t="s">
        <v>188</v>
      </c>
    </row>
    <row r="891" spans="1:14" ht="18" customHeight="1">
      <c r="A891">
        <v>890</v>
      </c>
      <c r="B891" t="s">
        <v>978</v>
      </c>
      <c r="C891" t="s">
        <v>108</v>
      </c>
      <c r="D891" s="2">
        <v>0</v>
      </c>
      <c r="E891" s="2">
        <v>0</v>
      </c>
      <c r="F891" s="2">
        <v>0</v>
      </c>
      <c r="G891" s="2">
        <v>0</v>
      </c>
      <c r="H891" s="2">
        <v>0.672624</v>
      </c>
      <c r="I891" s="2">
        <v>0</v>
      </c>
      <c r="J891" s="5">
        <f t="shared" si="26"/>
        <v>0.672624</v>
      </c>
      <c r="K891" s="5">
        <f t="shared" si="27"/>
        <v>0.672624</v>
      </c>
      <c r="L891" s="6">
        <f>K891/'Quellen &amp; Annahmen'!$B$2</f>
        <v>6.0925595799091839E-6</v>
      </c>
      <c r="M891" s="7" t="s">
        <v>187</v>
      </c>
      <c r="N891" s="7" t="s">
        <v>188</v>
      </c>
    </row>
    <row r="892" spans="1:14" ht="18" customHeight="1">
      <c r="A892">
        <v>891</v>
      </c>
      <c r="B892" t="s">
        <v>979</v>
      </c>
      <c r="C892" t="s">
        <v>50</v>
      </c>
      <c r="D892" s="2">
        <v>0</v>
      </c>
      <c r="E892" s="2">
        <v>0</v>
      </c>
      <c r="F892" s="2">
        <v>0</v>
      </c>
      <c r="G892" s="2">
        <v>0</v>
      </c>
      <c r="H892" s="2">
        <v>0.672624</v>
      </c>
      <c r="I892" s="2">
        <v>0</v>
      </c>
      <c r="J892" s="5">
        <f t="shared" si="26"/>
        <v>0.672624</v>
      </c>
      <c r="K892" s="5">
        <f t="shared" si="27"/>
        <v>0.672624</v>
      </c>
      <c r="L892" s="6">
        <f>K892/'Quellen &amp; Annahmen'!$B$2</f>
        <v>6.0925595799091839E-6</v>
      </c>
      <c r="M892" s="7" t="s">
        <v>187</v>
      </c>
      <c r="N892" s="7" t="s">
        <v>188</v>
      </c>
    </row>
    <row r="893" spans="1:14" ht="18" customHeight="1">
      <c r="A893">
        <v>892</v>
      </c>
      <c r="B893" t="s">
        <v>980</v>
      </c>
      <c r="C893" t="s">
        <v>50</v>
      </c>
      <c r="D893" s="2">
        <v>0</v>
      </c>
      <c r="E893" s="2">
        <v>0</v>
      </c>
      <c r="F893" s="2">
        <v>0</v>
      </c>
      <c r="G893" s="2">
        <v>0</v>
      </c>
      <c r="H893" s="2">
        <v>0.672624</v>
      </c>
      <c r="I893" s="2">
        <v>0</v>
      </c>
      <c r="J893" s="5">
        <f t="shared" si="26"/>
        <v>0.672624</v>
      </c>
      <c r="K893" s="5">
        <f t="shared" si="27"/>
        <v>0.672624</v>
      </c>
      <c r="L893" s="6">
        <f>K893/'Quellen &amp; Annahmen'!$B$2</f>
        <v>6.0925595799091839E-6</v>
      </c>
      <c r="M893" s="7" t="s">
        <v>187</v>
      </c>
      <c r="N893" s="7" t="s">
        <v>188</v>
      </c>
    </row>
    <row r="894" spans="1:14" ht="18" customHeight="1">
      <c r="A894">
        <v>893</v>
      </c>
      <c r="B894" t="s">
        <v>981</v>
      </c>
      <c r="C894" t="s">
        <v>38</v>
      </c>
      <c r="D894" s="2">
        <v>0</v>
      </c>
      <c r="E894" s="2">
        <v>0</v>
      </c>
      <c r="F894" s="2">
        <v>0</v>
      </c>
      <c r="G894" s="2">
        <v>0</v>
      </c>
      <c r="H894" s="2">
        <v>0.672624</v>
      </c>
      <c r="I894" s="2">
        <v>0</v>
      </c>
      <c r="J894" s="5">
        <f t="shared" si="26"/>
        <v>0.672624</v>
      </c>
      <c r="K894" s="5">
        <f t="shared" si="27"/>
        <v>0.672624</v>
      </c>
      <c r="L894" s="6">
        <f>K894/'Quellen &amp; Annahmen'!$B$2</f>
        <v>6.0925595799091839E-6</v>
      </c>
      <c r="M894" s="7" t="s">
        <v>187</v>
      </c>
      <c r="N894" s="7" t="s">
        <v>188</v>
      </c>
    </row>
    <row r="895" spans="1:14" ht="18" customHeight="1">
      <c r="A895">
        <v>894</v>
      </c>
      <c r="B895" t="s">
        <v>982</v>
      </c>
      <c r="C895" t="s">
        <v>50</v>
      </c>
      <c r="D895" s="2">
        <v>0</v>
      </c>
      <c r="E895" s="2">
        <v>0</v>
      </c>
      <c r="F895" s="2">
        <v>0</v>
      </c>
      <c r="G895" s="2">
        <v>0</v>
      </c>
      <c r="H895" s="2">
        <v>0.672624</v>
      </c>
      <c r="I895" s="2">
        <v>0</v>
      </c>
      <c r="J895" s="5">
        <f t="shared" si="26"/>
        <v>0.672624</v>
      </c>
      <c r="K895" s="5">
        <f t="shared" si="27"/>
        <v>0.672624</v>
      </c>
      <c r="L895" s="6">
        <f>K895/'Quellen &amp; Annahmen'!$B$2</f>
        <v>6.0925595799091839E-6</v>
      </c>
      <c r="M895" s="7" t="s">
        <v>187</v>
      </c>
      <c r="N895" s="7" t="s">
        <v>188</v>
      </c>
    </row>
    <row r="896" spans="1:14" ht="18" customHeight="1">
      <c r="A896">
        <v>895</v>
      </c>
      <c r="B896" t="s">
        <v>983</v>
      </c>
      <c r="C896" t="s">
        <v>41</v>
      </c>
      <c r="D896" s="2">
        <v>0</v>
      </c>
      <c r="E896" s="2">
        <v>0</v>
      </c>
      <c r="F896" s="2">
        <v>0</v>
      </c>
      <c r="G896" s="2">
        <v>0</v>
      </c>
      <c r="H896" s="2">
        <v>0.672624</v>
      </c>
      <c r="I896" s="2">
        <v>0</v>
      </c>
      <c r="J896" s="5">
        <f t="shared" si="26"/>
        <v>0.672624</v>
      </c>
      <c r="K896" s="5">
        <f t="shared" si="27"/>
        <v>0.672624</v>
      </c>
      <c r="L896" s="6">
        <f>K896/'Quellen &amp; Annahmen'!$B$2</f>
        <v>6.0925595799091839E-6</v>
      </c>
      <c r="M896" s="7" t="s">
        <v>187</v>
      </c>
      <c r="N896" s="7" t="s">
        <v>188</v>
      </c>
    </row>
    <row r="897" spans="1:14" ht="18" customHeight="1">
      <c r="A897">
        <v>896</v>
      </c>
      <c r="B897" t="s">
        <v>984</v>
      </c>
      <c r="C897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0.672624</v>
      </c>
      <c r="I897" s="2">
        <v>0</v>
      </c>
      <c r="J897" s="5">
        <f t="shared" si="26"/>
        <v>0.672624</v>
      </c>
      <c r="K897" s="5">
        <f t="shared" si="27"/>
        <v>0.672624</v>
      </c>
      <c r="L897" s="6">
        <f>K897/'Quellen &amp; Annahmen'!$B$2</f>
        <v>6.0925595799091839E-6</v>
      </c>
      <c r="M897" s="7" t="s">
        <v>187</v>
      </c>
      <c r="N897" s="7" t="s">
        <v>188</v>
      </c>
    </row>
    <row r="898" spans="1:14" ht="18" customHeight="1">
      <c r="A898">
        <v>897</v>
      </c>
      <c r="B898" t="s">
        <v>985</v>
      </c>
      <c r="C898" t="s">
        <v>50</v>
      </c>
      <c r="D898" s="2">
        <v>0</v>
      </c>
      <c r="E898" s="2">
        <v>0</v>
      </c>
      <c r="F898" s="2">
        <v>0</v>
      </c>
      <c r="G898" s="2">
        <v>0</v>
      </c>
      <c r="H898" s="2">
        <v>0.672624</v>
      </c>
      <c r="I898" s="2">
        <v>0</v>
      </c>
      <c r="J898" s="5">
        <f t="shared" ref="J898:J961" si="28">SUM(E898:I898)</f>
        <v>0.672624</v>
      </c>
      <c r="K898" s="5">
        <f t="shared" ref="K898:K961" si="29">D898+J898</f>
        <v>0.672624</v>
      </c>
      <c r="L898" s="6">
        <f>K898/'Quellen &amp; Annahmen'!$B$2</f>
        <v>6.0925595799091839E-6</v>
      </c>
      <c r="M898" s="7" t="s">
        <v>187</v>
      </c>
      <c r="N898" s="7" t="s">
        <v>188</v>
      </c>
    </row>
    <row r="899" spans="1:14" ht="18" customHeight="1">
      <c r="A899">
        <v>898</v>
      </c>
      <c r="B899" t="s">
        <v>986</v>
      </c>
      <c r="C899" t="s">
        <v>41</v>
      </c>
      <c r="D899" s="2">
        <v>0</v>
      </c>
      <c r="E899" s="2">
        <v>0</v>
      </c>
      <c r="F899" s="2">
        <v>0</v>
      </c>
      <c r="G899" s="2">
        <v>0</v>
      </c>
      <c r="H899" s="2">
        <v>0.672624</v>
      </c>
      <c r="I899" s="2">
        <v>0</v>
      </c>
      <c r="J899" s="5">
        <f t="shared" si="28"/>
        <v>0.672624</v>
      </c>
      <c r="K899" s="5">
        <f t="shared" si="29"/>
        <v>0.672624</v>
      </c>
      <c r="L899" s="6">
        <f>K899/'Quellen &amp; Annahmen'!$B$2</f>
        <v>6.0925595799091839E-6</v>
      </c>
      <c r="M899" s="7" t="s">
        <v>187</v>
      </c>
      <c r="N899" s="7" t="s">
        <v>188</v>
      </c>
    </row>
    <row r="900" spans="1:14" ht="18" customHeight="1">
      <c r="A900">
        <v>899</v>
      </c>
      <c r="B900" t="s">
        <v>987</v>
      </c>
      <c r="C900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0.672624</v>
      </c>
      <c r="I900" s="2">
        <v>0</v>
      </c>
      <c r="J900" s="5">
        <f t="shared" si="28"/>
        <v>0.672624</v>
      </c>
      <c r="K900" s="5">
        <f t="shared" si="29"/>
        <v>0.672624</v>
      </c>
      <c r="L900" s="6">
        <f>K900/'Quellen &amp; Annahmen'!$B$2</f>
        <v>6.0925595799091839E-6</v>
      </c>
      <c r="M900" s="7" t="s">
        <v>187</v>
      </c>
      <c r="N900" s="7" t="s">
        <v>188</v>
      </c>
    </row>
    <row r="901" spans="1:14" ht="18" customHeight="1">
      <c r="A901">
        <v>900</v>
      </c>
      <c r="B901" t="s">
        <v>988</v>
      </c>
      <c r="C901" t="s">
        <v>253</v>
      </c>
      <c r="D901" s="2">
        <v>0</v>
      </c>
      <c r="E901" s="2">
        <v>0</v>
      </c>
      <c r="F901" s="2">
        <v>0</v>
      </c>
      <c r="G901" s="2">
        <v>0</v>
      </c>
      <c r="H901" s="2">
        <v>0.672624</v>
      </c>
      <c r="I901" s="2">
        <v>0</v>
      </c>
      <c r="J901" s="5">
        <f t="shared" si="28"/>
        <v>0.672624</v>
      </c>
      <c r="K901" s="5">
        <f t="shared" si="29"/>
        <v>0.672624</v>
      </c>
      <c r="L901" s="6">
        <f>K901/'Quellen &amp; Annahmen'!$B$2</f>
        <v>6.0925595799091839E-6</v>
      </c>
      <c r="M901" s="7" t="s">
        <v>187</v>
      </c>
      <c r="N901" s="7" t="s">
        <v>188</v>
      </c>
    </row>
    <row r="902" spans="1:14" ht="18" customHeight="1">
      <c r="A902">
        <v>901</v>
      </c>
      <c r="B902" t="s">
        <v>989</v>
      </c>
      <c r="C902" t="s">
        <v>50</v>
      </c>
      <c r="D902" s="2">
        <v>0</v>
      </c>
      <c r="E902" s="2">
        <v>0</v>
      </c>
      <c r="F902" s="2">
        <v>0</v>
      </c>
      <c r="G902" s="2">
        <v>0</v>
      </c>
      <c r="H902" s="2">
        <v>0.672624</v>
      </c>
      <c r="I902" s="2">
        <v>0</v>
      </c>
      <c r="J902" s="5">
        <f t="shared" si="28"/>
        <v>0.672624</v>
      </c>
      <c r="K902" s="5">
        <f t="shared" si="29"/>
        <v>0.672624</v>
      </c>
      <c r="L902" s="6">
        <f>K902/'Quellen &amp; Annahmen'!$B$2</f>
        <v>6.0925595799091839E-6</v>
      </c>
      <c r="M902" s="7" t="s">
        <v>187</v>
      </c>
      <c r="N902" s="7" t="s">
        <v>188</v>
      </c>
    </row>
    <row r="903" spans="1:14" ht="18" customHeight="1">
      <c r="A903">
        <v>902</v>
      </c>
      <c r="B903" t="s">
        <v>990</v>
      </c>
      <c r="C903" t="s">
        <v>50</v>
      </c>
      <c r="D903" s="2">
        <v>0</v>
      </c>
      <c r="E903" s="2">
        <v>0</v>
      </c>
      <c r="F903" s="2">
        <v>0</v>
      </c>
      <c r="G903" s="2">
        <v>0</v>
      </c>
      <c r="H903" s="2">
        <v>0.672624</v>
      </c>
      <c r="I903" s="2">
        <v>0</v>
      </c>
      <c r="J903" s="5">
        <f t="shared" si="28"/>
        <v>0.672624</v>
      </c>
      <c r="K903" s="5">
        <f t="shared" si="29"/>
        <v>0.672624</v>
      </c>
      <c r="L903" s="6">
        <f>K903/'Quellen &amp; Annahmen'!$B$2</f>
        <v>6.0925595799091839E-6</v>
      </c>
      <c r="M903" s="7" t="s">
        <v>187</v>
      </c>
      <c r="N903" s="7" t="s">
        <v>188</v>
      </c>
    </row>
    <row r="904" spans="1:14" ht="18" customHeight="1">
      <c r="A904">
        <v>903</v>
      </c>
      <c r="B904" t="s">
        <v>991</v>
      </c>
      <c r="C904" t="s">
        <v>25</v>
      </c>
      <c r="D904" s="2">
        <v>0</v>
      </c>
      <c r="E904" s="2">
        <v>0</v>
      </c>
      <c r="F904" s="2">
        <v>0</v>
      </c>
      <c r="G904" s="2">
        <v>0</v>
      </c>
      <c r="H904" s="2">
        <v>0.672624</v>
      </c>
      <c r="I904" s="2">
        <v>0</v>
      </c>
      <c r="J904" s="5">
        <f t="shared" si="28"/>
        <v>0.672624</v>
      </c>
      <c r="K904" s="5">
        <f t="shared" si="29"/>
        <v>0.672624</v>
      </c>
      <c r="L904" s="6">
        <f>K904/'Quellen &amp; Annahmen'!$B$2</f>
        <v>6.0925595799091839E-6</v>
      </c>
      <c r="M904" s="7" t="s">
        <v>187</v>
      </c>
      <c r="N904" s="7" t="s">
        <v>188</v>
      </c>
    </row>
    <row r="905" spans="1:14" ht="18" customHeight="1">
      <c r="A905">
        <v>904</v>
      </c>
      <c r="B905" t="s">
        <v>992</v>
      </c>
      <c r="C905" t="s">
        <v>33</v>
      </c>
      <c r="D905" s="2">
        <v>0</v>
      </c>
      <c r="E905" s="2">
        <v>0</v>
      </c>
      <c r="F905" s="2">
        <v>0</v>
      </c>
      <c r="G905" s="2">
        <v>0</v>
      </c>
      <c r="H905" s="2">
        <v>0.672624</v>
      </c>
      <c r="I905" s="2">
        <v>0</v>
      </c>
      <c r="J905" s="5">
        <f t="shared" si="28"/>
        <v>0.672624</v>
      </c>
      <c r="K905" s="5">
        <f t="shared" si="29"/>
        <v>0.672624</v>
      </c>
      <c r="L905" s="6">
        <f>K905/'Quellen &amp; Annahmen'!$B$2</f>
        <v>6.0925595799091839E-6</v>
      </c>
      <c r="M905" s="7" t="s">
        <v>187</v>
      </c>
      <c r="N905" s="7" t="s">
        <v>188</v>
      </c>
    </row>
    <row r="906" spans="1:14" ht="18" customHeight="1">
      <c r="A906">
        <v>905</v>
      </c>
      <c r="B906" t="s">
        <v>993</v>
      </c>
      <c r="C906" t="s">
        <v>50</v>
      </c>
      <c r="D906" s="2">
        <v>0</v>
      </c>
      <c r="E906" s="2">
        <v>0</v>
      </c>
      <c r="F906" s="2">
        <v>0</v>
      </c>
      <c r="G906" s="2">
        <v>0</v>
      </c>
      <c r="H906" s="2">
        <v>0.672624</v>
      </c>
      <c r="I906" s="2">
        <v>0</v>
      </c>
      <c r="J906" s="5">
        <f t="shared" si="28"/>
        <v>0.672624</v>
      </c>
      <c r="K906" s="5">
        <f t="shared" si="29"/>
        <v>0.672624</v>
      </c>
      <c r="L906" s="6">
        <f>K906/'Quellen &amp; Annahmen'!$B$2</f>
        <v>6.0925595799091839E-6</v>
      </c>
      <c r="M906" s="7" t="s">
        <v>187</v>
      </c>
      <c r="N906" s="7" t="s">
        <v>188</v>
      </c>
    </row>
    <row r="907" spans="1:14" ht="18" customHeight="1">
      <c r="A907">
        <v>906</v>
      </c>
      <c r="B907" t="s">
        <v>994</v>
      </c>
      <c r="C907" t="s">
        <v>25</v>
      </c>
      <c r="D907" s="2">
        <v>0</v>
      </c>
      <c r="E907" s="2">
        <v>0</v>
      </c>
      <c r="F907" s="2">
        <v>0</v>
      </c>
      <c r="G907" s="2">
        <v>0</v>
      </c>
      <c r="H907" s="2">
        <v>0.672624</v>
      </c>
      <c r="I907" s="2">
        <v>0</v>
      </c>
      <c r="J907" s="5">
        <f t="shared" si="28"/>
        <v>0.672624</v>
      </c>
      <c r="K907" s="5">
        <f t="shared" si="29"/>
        <v>0.672624</v>
      </c>
      <c r="L907" s="6">
        <f>K907/'Quellen &amp; Annahmen'!$B$2</f>
        <v>6.0925595799091839E-6</v>
      </c>
      <c r="M907" s="7" t="s">
        <v>187</v>
      </c>
      <c r="N907" s="7" t="s">
        <v>188</v>
      </c>
    </row>
    <row r="908" spans="1:14" ht="18" customHeight="1">
      <c r="A908">
        <v>907</v>
      </c>
      <c r="B908" t="s">
        <v>995</v>
      </c>
      <c r="C908" t="s">
        <v>25</v>
      </c>
      <c r="D908" s="2">
        <v>0</v>
      </c>
      <c r="E908" s="2">
        <v>0</v>
      </c>
      <c r="F908" s="2">
        <v>0</v>
      </c>
      <c r="G908" s="2">
        <v>0</v>
      </c>
      <c r="H908" s="2">
        <v>0.672624</v>
      </c>
      <c r="I908" s="2">
        <v>0</v>
      </c>
      <c r="J908" s="5">
        <f t="shared" si="28"/>
        <v>0.672624</v>
      </c>
      <c r="K908" s="5">
        <f t="shared" si="29"/>
        <v>0.672624</v>
      </c>
      <c r="L908" s="6">
        <f>K908/'Quellen &amp; Annahmen'!$B$2</f>
        <v>6.0925595799091839E-6</v>
      </c>
      <c r="M908" s="7" t="s">
        <v>187</v>
      </c>
      <c r="N908" s="7" t="s">
        <v>188</v>
      </c>
    </row>
    <row r="909" spans="1:14" ht="18" customHeight="1">
      <c r="A909">
        <v>908</v>
      </c>
      <c r="B909" t="s">
        <v>996</v>
      </c>
      <c r="C909" t="s">
        <v>124</v>
      </c>
      <c r="D909" s="2">
        <v>0</v>
      </c>
      <c r="E909" s="2">
        <v>0</v>
      </c>
      <c r="F909" s="2">
        <v>0</v>
      </c>
      <c r="G909" s="2">
        <v>0</v>
      </c>
      <c r="H909" s="2">
        <v>0.672624</v>
      </c>
      <c r="I909" s="2">
        <v>0</v>
      </c>
      <c r="J909" s="5">
        <f t="shared" si="28"/>
        <v>0.672624</v>
      </c>
      <c r="K909" s="5">
        <f t="shared" si="29"/>
        <v>0.672624</v>
      </c>
      <c r="L909" s="6">
        <f>K909/'Quellen &amp; Annahmen'!$B$2</f>
        <v>6.0925595799091839E-6</v>
      </c>
      <c r="M909" s="7" t="s">
        <v>187</v>
      </c>
      <c r="N909" s="7" t="s">
        <v>188</v>
      </c>
    </row>
    <row r="910" spans="1:14" ht="18" customHeight="1">
      <c r="A910">
        <v>909</v>
      </c>
      <c r="B910" t="s">
        <v>997</v>
      </c>
      <c r="C910" t="s">
        <v>50</v>
      </c>
      <c r="D910" s="2">
        <v>0</v>
      </c>
      <c r="E910" s="2">
        <v>0</v>
      </c>
      <c r="F910" s="2">
        <v>0</v>
      </c>
      <c r="G910" s="2">
        <v>0</v>
      </c>
      <c r="H910" s="2">
        <v>0.672624</v>
      </c>
      <c r="I910" s="2">
        <v>0</v>
      </c>
      <c r="J910" s="5">
        <f t="shared" si="28"/>
        <v>0.672624</v>
      </c>
      <c r="K910" s="5">
        <f t="shared" si="29"/>
        <v>0.672624</v>
      </c>
      <c r="L910" s="6">
        <f>K910/'Quellen &amp; Annahmen'!$B$2</f>
        <v>6.0925595799091839E-6</v>
      </c>
      <c r="M910" s="7" t="s">
        <v>187</v>
      </c>
      <c r="N910" s="7" t="s">
        <v>188</v>
      </c>
    </row>
    <row r="911" spans="1:14" ht="18" customHeight="1">
      <c r="A911">
        <v>910</v>
      </c>
      <c r="B911" t="s">
        <v>998</v>
      </c>
      <c r="C911" t="s">
        <v>41</v>
      </c>
      <c r="D911" s="2">
        <v>0</v>
      </c>
      <c r="E911" s="2">
        <v>0</v>
      </c>
      <c r="F911" s="2">
        <v>0</v>
      </c>
      <c r="G911" s="2">
        <v>0</v>
      </c>
      <c r="H911" s="2">
        <v>0.672624</v>
      </c>
      <c r="I911" s="2">
        <v>0</v>
      </c>
      <c r="J911" s="5">
        <f t="shared" si="28"/>
        <v>0.672624</v>
      </c>
      <c r="K911" s="5">
        <f t="shared" si="29"/>
        <v>0.672624</v>
      </c>
      <c r="L911" s="6">
        <f>K911/'Quellen &amp; Annahmen'!$B$2</f>
        <v>6.0925595799091839E-6</v>
      </c>
      <c r="M911" s="7" t="s">
        <v>187</v>
      </c>
      <c r="N911" s="7" t="s">
        <v>188</v>
      </c>
    </row>
    <row r="912" spans="1:14" ht="18" customHeight="1">
      <c r="A912">
        <v>911</v>
      </c>
      <c r="B912" t="s">
        <v>999</v>
      </c>
      <c r="C912" t="s">
        <v>50</v>
      </c>
      <c r="D912" s="2">
        <v>0</v>
      </c>
      <c r="E912" s="2">
        <v>0</v>
      </c>
      <c r="F912" s="2">
        <v>0</v>
      </c>
      <c r="G912" s="2">
        <v>0</v>
      </c>
      <c r="H912" s="2">
        <v>0.672624</v>
      </c>
      <c r="I912" s="2">
        <v>0</v>
      </c>
      <c r="J912" s="5">
        <f t="shared" si="28"/>
        <v>0.672624</v>
      </c>
      <c r="K912" s="5">
        <f t="shared" si="29"/>
        <v>0.672624</v>
      </c>
      <c r="L912" s="6">
        <f>K912/'Quellen &amp; Annahmen'!$B$2</f>
        <v>6.0925595799091839E-6</v>
      </c>
      <c r="M912" s="7" t="s">
        <v>187</v>
      </c>
      <c r="N912" s="7" t="s">
        <v>188</v>
      </c>
    </row>
    <row r="913" spans="1:14" ht="18" customHeight="1">
      <c r="A913">
        <v>912</v>
      </c>
      <c r="B913" t="s">
        <v>1000</v>
      </c>
      <c r="C913" t="s">
        <v>50</v>
      </c>
      <c r="D913" s="2">
        <v>0</v>
      </c>
      <c r="E913" s="2">
        <v>0</v>
      </c>
      <c r="F913" s="2">
        <v>0</v>
      </c>
      <c r="G913" s="2">
        <v>0</v>
      </c>
      <c r="H913" s="2">
        <v>0.672624</v>
      </c>
      <c r="I913" s="2">
        <v>0</v>
      </c>
      <c r="J913" s="5">
        <f t="shared" si="28"/>
        <v>0.672624</v>
      </c>
      <c r="K913" s="5">
        <f t="shared" si="29"/>
        <v>0.672624</v>
      </c>
      <c r="L913" s="6">
        <f>K913/'Quellen &amp; Annahmen'!$B$2</f>
        <v>6.0925595799091839E-6</v>
      </c>
      <c r="M913" s="7" t="s">
        <v>187</v>
      </c>
      <c r="N913" s="7" t="s">
        <v>188</v>
      </c>
    </row>
    <row r="914" spans="1:14" ht="18" customHeight="1">
      <c r="A914">
        <v>913</v>
      </c>
      <c r="B914" t="s">
        <v>1001</v>
      </c>
      <c r="C914" t="s">
        <v>38</v>
      </c>
      <c r="D914" s="2">
        <v>0</v>
      </c>
      <c r="E914" s="2">
        <v>0</v>
      </c>
      <c r="F914" s="2">
        <v>0</v>
      </c>
      <c r="G914" s="2">
        <v>0</v>
      </c>
      <c r="H914" s="2">
        <v>0.672624</v>
      </c>
      <c r="I914" s="2">
        <v>0</v>
      </c>
      <c r="J914" s="5">
        <f t="shared" si="28"/>
        <v>0.672624</v>
      </c>
      <c r="K914" s="5">
        <f t="shared" si="29"/>
        <v>0.672624</v>
      </c>
      <c r="L914" s="6">
        <f>K914/'Quellen &amp; Annahmen'!$B$2</f>
        <v>6.0925595799091839E-6</v>
      </c>
      <c r="M914" s="7" t="s">
        <v>187</v>
      </c>
      <c r="N914" s="7" t="s">
        <v>188</v>
      </c>
    </row>
    <row r="915" spans="1:14" ht="18" customHeight="1">
      <c r="A915">
        <v>914</v>
      </c>
      <c r="B915" t="s">
        <v>1002</v>
      </c>
      <c r="C915" t="s">
        <v>41</v>
      </c>
      <c r="D915" s="2">
        <v>0</v>
      </c>
      <c r="E915" s="2">
        <v>0</v>
      </c>
      <c r="F915" s="2">
        <v>0</v>
      </c>
      <c r="G915" s="2">
        <v>0</v>
      </c>
      <c r="H915" s="2">
        <v>0.672624</v>
      </c>
      <c r="I915" s="2">
        <v>0</v>
      </c>
      <c r="J915" s="5">
        <f t="shared" si="28"/>
        <v>0.672624</v>
      </c>
      <c r="K915" s="5">
        <f t="shared" si="29"/>
        <v>0.672624</v>
      </c>
      <c r="L915" s="6">
        <f>K915/'Quellen &amp; Annahmen'!$B$2</f>
        <v>6.0925595799091839E-6</v>
      </c>
      <c r="M915" s="7" t="s">
        <v>187</v>
      </c>
      <c r="N915" s="7" t="s">
        <v>188</v>
      </c>
    </row>
    <row r="916" spans="1:14" ht="18" customHeight="1">
      <c r="A916">
        <v>915</v>
      </c>
      <c r="B916" t="s">
        <v>1003</v>
      </c>
      <c r="C916" t="s">
        <v>253</v>
      </c>
      <c r="D916" s="2">
        <v>0</v>
      </c>
      <c r="E916" s="2">
        <v>0</v>
      </c>
      <c r="F916" s="2">
        <v>0</v>
      </c>
      <c r="G916" s="2">
        <v>0</v>
      </c>
      <c r="H916" s="2">
        <v>0.672624</v>
      </c>
      <c r="I916" s="2">
        <v>0</v>
      </c>
      <c r="J916" s="5">
        <f t="shared" si="28"/>
        <v>0.672624</v>
      </c>
      <c r="K916" s="5">
        <f t="shared" si="29"/>
        <v>0.672624</v>
      </c>
      <c r="L916" s="6">
        <f>K916/'Quellen &amp; Annahmen'!$B$2</f>
        <v>6.0925595799091839E-6</v>
      </c>
      <c r="M916" s="7" t="s">
        <v>187</v>
      </c>
      <c r="N916" s="7" t="s">
        <v>188</v>
      </c>
    </row>
    <row r="917" spans="1:14" ht="18" customHeight="1">
      <c r="A917">
        <v>916</v>
      </c>
      <c r="B917" t="s">
        <v>1004</v>
      </c>
      <c r="C917" t="s">
        <v>23</v>
      </c>
      <c r="D917" s="2">
        <v>0</v>
      </c>
      <c r="E917" s="2">
        <v>0</v>
      </c>
      <c r="F917" s="2">
        <v>0</v>
      </c>
      <c r="G917" s="2">
        <v>0</v>
      </c>
      <c r="H917" s="2">
        <v>0.672624</v>
      </c>
      <c r="I917" s="2">
        <v>0</v>
      </c>
      <c r="J917" s="5">
        <f t="shared" si="28"/>
        <v>0.672624</v>
      </c>
      <c r="K917" s="5">
        <f t="shared" si="29"/>
        <v>0.672624</v>
      </c>
      <c r="L917" s="6">
        <f>K917/'Quellen &amp; Annahmen'!$B$2</f>
        <v>6.0925595799091839E-6</v>
      </c>
      <c r="M917" s="7" t="s">
        <v>187</v>
      </c>
      <c r="N917" s="7" t="s">
        <v>188</v>
      </c>
    </row>
    <row r="918" spans="1:14" ht="18" customHeight="1">
      <c r="A918">
        <v>917</v>
      </c>
      <c r="B918" t="s">
        <v>1005</v>
      </c>
      <c r="C918" t="s">
        <v>41</v>
      </c>
      <c r="D918" s="2">
        <v>0</v>
      </c>
      <c r="E918" s="2">
        <v>0</v>
      </c>
      <c r="F918" s="2">
        <v>0</v>
      </c>
      <c r="G918" s="2">
        <v>0</v>
      </c>
      <c r="H918" s="2">
        <v>0.672624</v>
      </c>
      <c r="I918" s="2">
        <v>0</v>
      </c>
      <c r="J918" s="5">
        <f t="shared" si="28"/>
        <v>0.672624</v>
      </c>
      <c r="K918" s="5">
        <f t="shared" si="29"/>
        <v>0.672624</v>
      </c>
      <c r="L918" s="6">
        <f>K918/'Quellen &amp; Annahmen'!$B$2</f>
        <v>6.0925595799091839E-6</v>
      </c>
      <c r="M918" s="7" t="s">
        <v>187</v>
      </c>
      <c r="N918" s="7" t="s">
        <v>188</v>
      </c>
    </row>
    <row r="919" spans="1:14" ht="18" customHeight="1">
      <c r="A919">
        <v>918</v>
      </c>
      <c r="B919" t="s">
        <v>1006</v>
      </c>
      <c r="C919" t="s">
        <v>23</v>
      </c>
      <c r="D919" s="2">
        <v>0</v>
      </c>
      <c r="E919" s="2">
        <v>0</v>
      </c>
      <c r="F919" s="2">
        <v>0</v>
      </c>
      <c r="G919" s="2">
        <v>0</v>
      </c>
      <c r="H919" s="2">
        <v>0.672624</v>
      </c>
      <c r="I919" s="2">
        <v>0</v>
      </c>
      <c r="J919" s="5">
        <f t="shared" si="28"/>
        <v>0.672624</v>
      </c>
      <c r="K919" s="5">
        <f t="shared" si="29"/>
        <v>0.672624</v>
      </c>
      <c r="L919" s="6">
        <f>K919/'Quellen &amp; Annahmen'!$B$2</f>
        <v>6.0925595799091839E-6</v>
      </c>
      <c r="M919" s="7" t="s">
        <v>187</v>
      </c>
      <c r="N919" s="7" t="s">
        <v>188</v>
      </c>
    </row>
    <row r="920" spans="1:14" ht="18" customHeight="1">
      <c r="A920">
        <v>919</v>
      </c>
      <c r="B920" t="s">
        <v>1007</v>
      </c>
      <c r="C920" t="s">
        <v>41</v>
      </c>
      <c r="D920" s="2">
        <v>0</v>
      </c>
      <c r="E920" s="2">
        <v>0</v>
      </c>
      <c r="F920" s="2">
        <v>0</v>
      </c>
      <c r="G920" s="2">
        <v>0</v>
      </c>
      <c r="H920" s="2">
        <v>0.672624</v>
      </c>
      <c r="I920" s="2">
        <v>0</v>
      </c>
      <c r="J920" s="5">
        <f t="shared" si="28"/>
        <v>0.672624</v>
      </c>
      <c r="K920" s="5">
        <f t="shared" si="29"/>
        <v>0.672624</v>
      </c>
      <c r="L920" s="6">
        <f>K920/'Quellen &amp; Annahmen'!$B$2</f>
        <v>6.0925595799091839E-6</v>
      </c>
      <c r="M920" s="7" t="s">
        <v>187</v>
      </c>
      <c r="N920" s="7" t="s">
        <v>188</v>
      </c>
    </row>
    <row r="921" spans="1:14" ht="18" customHeight="1">
      <c r="A921">
        <v>920</v>
      </c>
      <c r="B921" t="s">
        <v>1008</v>
      </c>
      <c r="C921" t="s">
        <v>25</v>
      </c>
      <c r="D921" s="2">
        <v>0</v>
      </c>
      <c r="E921" s="2">
        <v>0</v>
      </c>
      <c r="F921" s="2">
        <v>0</v>
      </c>
      <c r="G921" s="2">
        <v>0</v>
      </c>
      <c r="H921" s="2">
        <v>0.672624</v>
      </c>
      <c r="I921" s="2">
        <v>0</v>
      </c>
      <c r="J921" s="5">
        <f t="shared" si="28"/>
        <v>0.672624</v>
      </c>
      <c r="K921" s="5">
        <f t="shared" si="29"/>
        <v>0.672624</v>
      </c>
      <c r="L921" s="6">
        <f>K921/'Quellen &amp; Annahmen'!$B$2</f>
        <v>6.0925595799091839E-6</v>
      </c>
      <c r="M921" s="7" t="s">
        <v>187</v>
      </c>
      <c r="N921" s="7" t="s">
        <v>188</v>
      </c>
    </row>
    <row r="922" spans="1:14" ht="18" customHeight="1">
      <c r="A922">
        <v>921</v>
      </c>
      <c r="B922" t="s">
        <v>1009</v>
      </c>
      <c r="C922" t="s">
        <v>23</v>
      </c>
      <c r="D922" s="2">
        <v>0</v>
      </c>
      <c r="E922" s="2">
        <v>0</v>
      </c>
      <c r="F922" s="2">
        <v>0</v>
      </c>
      <c r="G922" s="2">
        <v>0</v>
      </c>
      <c r="H922" s="2">
        <v>0.672624</v>
      </c>
      <c r="I922" s="2">
        <v>0</v>
      </c>
      <c r="J922" s="5">
        <f t="shared" si="28"/>
        <v>0.672624</v>
      </c>
      <c r="K922" s="5">
        <f t="shared" si="29"/>
        <v>0.672624</v>
      </c>
      <c r="L922" s="6">
        <f>K922/'Quellen &amp; Annahmen'!$B$2</f>
        <v>6.0925595799091839E-6</v>
      </c>
      <c r="M922" s="7" t="s">
        <v>187</v>
      </c>
      <c r="N922" s="7" t="s">
        <v>188</v>
      </c>
    </row>
    <row r="923" spans="1:14" ht="18" customHeight="1">
      <c r="A923">
        <v>922</v>
      </c>
      <c r="B923" t="s">
        <v>1010</v>
      </c>
      <c r="C923" t="s">
        <v>108</v>
      </c>
      <c r="D923" s="2">
        <v>0</v>
      </c>
      <c r="E923" s="2">
        <v>0</v>
      </c>
      <c r="F923" s="2">
        <v>0</v>
      </c>
      <c r="G923" s="2">
        <v>0</v>
      </c>
      <c r="H923" s="2">
        <v>0.672624</v>
      </c>
      <c r="I923" s="2">
        <v>0</v>
      </c>
      <c r="J923" s="5">
        <f t="shared" si="28"/>
        <v>0.672624</v>
      </c>
      <c r="K923" s="5">
        <f t="shared" si="29"/>
        <v>0.672624</v>
      </c>
      <c r="L923" s="6">
        <f>K923/'Quellen &amp; Annahmen'!$B$2</f>
        <v>6.0925595799091839E-6</v>
      </c>
      <c r="M923" s="7" t="s">
        <v>187</v>
      </c>
      <c r="N923" s="7" t="s">
        <v>188</v>
      </c>
    </row>
    <row r="924" spans="1:14" ht="18" customHeight="1">
      <c r="A924">
        <v>923</v>
      </c>
      <c r="B924" t="s">
        <v>1011</v>
      </c>
      <c r="C924" t="s">
        <v>23</v>
      </c>
      <c r="D924" s="2">
        <v>0</v>
      </c>
      <c r="E924" s="2">
        <v>0</v>
      </c>
      <c r="F924" s="2">
        <v>0</v>
      </c>
      <c r="G924" s="2">
        <v>0</v>
      </c>
      <c r="H924" s="2">
        <v>0.672624</v>
      </c>
      <c r="I924" s="2">
        <v>0</v>
      </c>
      <c r="J924" s="5">
        <f t="shared" si="28"/>
        <v>0.672624</v>
      </c>
      <c r="K924" s="5">
        <f t="shared" si="29"/>
        <v>0.672624</v>
      </c>
      <c r="L924" s="6">
        <f>K924/'Quellen &amp; Annahmen'!$B$2</f>
        <v>6.0925595799091839E-6</v>
      </c>
      <c r="M924" s="7" t="s">
        <v>187</v>
      </c>
      <c r="N924" s="7" t="s">
        <v>188</v>
      </c>
    </row>
    <row r="925" spans="1:14" ht="18" customHeight="1">
      <c r="A925">
        <v>924</v>
      </c>
      <c r="B925" t="s">
        <v>1012</v>
      </c>
      <c r="C925" t="s">
        <v>23</v>
      </c>
      <c r="D925" s="2">
        <v>0</v>
      </c>
      <c r="E925" s="2">
        <v>0</v>
      </c>
      <c r="F925" s="2">
        <v>0</v>
      </c>
      <c r="G925" s="2">
        <v>0</v>
      </c>
      <c r="H925" s="2">
        <v>0.672624</v>
      </c>
      <c r="I925" s="2">
        <v>0</v>
      </c>
      <c r="J925" s="5">
        <f t="shared" si="28"/>
        <v>0.672624</v>
      </c>
      <c r="K925" s="5">
        <f t="shared" si="29"/>
        <v>0.672624</v>
      </c>
      <c r="L925" s="6">
        <f>K925/'Quellen &amp; Annahmen'!$B$2</f>
        <v>6.0925595799091839E-6</v>
      </c>
      <c r="M925" s="7" t="s">
        <v>187</v>
      </c>
      <c r="N925" s="7" t="s">
        <v>188</v>
      </c>
    </row>
    <row r="926" spans="1:14" ht="18" customHeight="1">
      <c r="A926">
        <v>925</v>
      </c>
      <c r="B926" t="s">
        <v>1013</v>
      </c>
      <c r="C926" t="s">
        <v>50</v>
      </c>
      <c r="D926" s="2">
        <v>0</v>
      </c>
      <c r="E926" s="2">
        <v>0</v>
      </c>
      <c r="F926" s="2">
        <v>0</v>
      </c>
      <c r="G926" s="2">
        <v>0</v>
      </c>
      <c r="H926" s="2">
        <v>0.672624</v>
      </c>
      <c r="I926" s="2">
        <v>0</v>
      </c>
      <c r="J926" s="5">
        <f t="shared" si="28"/>
        <v>0.672624</v>
      </c>
      <c r="K926" s="5">
        <f t="shared" si="29"/>
        <v>0.672624</v>
      </c>
      <c r="L926" s="6">
        <f>K926/'Quellen &amp; Annahmen'!$B$2</f>
        <v>6.0925595799091839E-6</v>
      </c>
      <c r="M926" s="7" t="s">
        <v>187</v>
      </c>
      <c r="N926" s="7" t="s">
        <v>188</v>
      </c>
    </row>
    <row r="927" spans="1:14" ht="18" customHeight="1">
      <c r="A927">
        <v>926</v>
      </c>
      <c r="B927" t="s">
        <v>1014</v>
      </c>
      <c r="C927" t="s">
        <v>50</v>
      </c>
      <c r="D927" s="2">
        <v>0</v>
      </c>
      <c r="E927" s="2">
        <v>0</v>
      </c>
      <c r="F927" s="2">
        <v>0</v>
      </c>
      <c r="G927" s="2">
        <v>0</v>
      </c>
      <c r="H927" s="2">
        <v>0.672624</v>
      </c>
      <c r="I927" s="2">
        <v>0</v>
      </c>
      <c r="J927" s="5">
        <f t="shared" si="28"/>
        <v>0.672624</v>
      </c>
      <c r="K927" s="5">
        <f t="shared" si="29"/>
        <v>0.672624</v>
      </c>
      <c r="L927" s="6">
        <f>K927/'Quellen &amp; Annahmen'!$B$2</f>
        <v>6.0925595799091839E-6</v>
      </c>
      <c r="M927" s="7" t="s">
        <v>187</v>
      </c>
      <c r="N927" s="7" t="s">
        <v>188</v>
      </c>
    </row>
    <row r="928" spans="1:14" ht="18" customHeight="1">
      <c r="A928">
        <v>927</v>
      </c>
      <c r="B928" t="s">
        <v>1015</v>
      </c>
      <c r="C928" t="s">
        <v>38</v>
      </c>
      <c r="D928" s="2">
        <v>0</v>
      </c>
      <c r="E928" s="2">
        <v>0</v>
      </c>
      <c r="F928" s="2">
        <v>0</v>
      </c>
      <c r="G928" s="2">
        <v>0</v>
      </c>
      <c r="H928" s="2">
        <v>0.672624</v>
      </c>
      <c r="I928" s="2">
        <v>0</v>
      </c>
      <c r="J928" s="5">
        <f t="shared" si="28"/>
        <v>0.672624</v>
      </c>
      <c r="K928" s="5">
        <f t="shared" si="29"/>
        <v>0.672624</v>
      </c>
      <c r="L928" s="6">
        <f>K928/'Quellen &amp; Annahmen'!$B$2</f>
        <v>6.0925595799091839E-6</v>
      </c>
      <c r="M928" s="7" t="s">
        <v>187</v>
      </c>
      <c r="N928" s="7" t="s">
        <v>188</v>
      </c>
    </row>
    <row r="929" spans="1:14" ht="18" customHeight="1">
      <c r="A929">
        <v>928</v>
      </c>
      <c r="B929" t="s">
        <v>1016</v>
      </c>
      <c r="C929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0.672624</v>
      </c>
      <c r="I929" s="2">
        <v>0</v>
      </c>
      <c r="J929" s="5">
        <f t="shared" si="28"/>
        <v>0.672624</v>
      </c>
      <c r="K929" s="5">
        <f t="shared" si="29"/>
        <v>0.672624</v>
      </c>
      <c r="L929" s="6">
        <f>K929/'Quellen &amp; Annahmen'!$B$2</f>
        <v>6.0925595799091839E-6</v>
      </c>
      <c r="M929" s="7" t="s">
        <v>187</v>
      </c>
      <c r="N929" s="7" t="s">
        <v>188</v>
      </c>
    </row>
    <row r="930" spans="1:14" ht="18" customHeight="1">
      <c r="A930">
        <v>929</v>
      </c>
      <c r="B930" t="s">
        <v>1017</v>
      </c>
      <c r="C930" t="s">
        <v>25</v>
      </c>
      <c r="D930" s="2">
        <v>0</v>
      </c>
      <c r="E930" s="2">
        <v>0</v>
      </c>
      <c r="F930" s="2">
        <v>0</v>
      </c>
      <c r="G930" s="2">
        <v>0</v>
      </c>
      <c r="H930" s="2">
        <v>0.672624</v>
      </c>
      <c r="I930" s="2">
        <v>0</v>
      </c>
      <c r="J930" s="5">
        <f t="shared" si="28"/>
        <v>0.672624</v>
      </c>
      <c r="K930" s="5">
        <f t="shared" si="29"/>
        <v>0.672624</v>
      </c>
      <c r="L930" s="6">
        <f>K930/'Quellen &amp; Annahmen'!$B$2</f>
        <v>6.0925595799091839E-6</v>
      </c>
      <c r="M930" s="7" t="s">
        <v>187</v>
      </c>
      <c r="N930" s="7" t="s">
        <v>188</v>
      </c>
    </row>
    <row r="931" spans="1:14" ht="18" customHeight="1">
      <c r="A931">
        <v>930</v>
      </c>
      <c r="B931" t="s">
        <v>1018</v>
      </c>
      <c r="C931" t="s">
        <v>41</v>
      </c>
      <c r="D931" s="2">
        <v>0</v>
      </c>
      <c r="E931" s="2">
        <v>0</v>
      </c>
      <c r="F931" s="2">
        <v>0</v>
      </c>
      <c r="G931" s="2">
        <v>0</v>
      </c>
      <c r="H931" s="2">
        <v>0.672624</v>
      </c>
      <c r="I931" s="2">
        <v>0</v>
      </c>
      <c r="J931" s="5">
        <f t="shared" si="28"/>
        <v>0.672624</v>
      </c>
      <c r="K931" s="5">
        <f t="shared" si="29"/>
        <v>0.672624</v>
      </c>
      <c r="L931" s="6">
        <f>K931/'Quellen &amp; Annahmen'!$B$2</f>
        <v>6.0925595799091839E-6</v>
      </c>
      <c r="M931" s="7" t="s">
        <v>187</v>
      </c>
      <c r="N931" s="7" t="s">
        <v>188</v>
      </c>
    </row>
    <row r="932" spans="1:14" ht="18" customHeight="1">
      <c r="A932">
        <v>931</v>
      </c>
      <c r="B932" t="s">
        <v>1019</v>
      </c>
      <c r="C932" t="s">
        <v>27</v>
      </c>
      <c r="D932" s="2">
        <v>0</v>
      </c>
      <c r="E932" s="2">
        <v>0</v>
      </c>
      <c r="F932" s="2">
        <v>0</v>
      </c>
      <c r="G932" s="2">
        <v>0</v>
      </c>
      <c r="H932" s="2">
        <v>0.672624</v>
      </c>
      <c r="I932" s="2">
        <v>0</v>
      </c>
      <c r="J932" s="5">
        <f t="shared" si="28"/>
        <v>0.672624</v>
      </c>
      <c r="K932" s="5">
        <f t="shared" si="29"/>
        <v>0.672624</v>
      </c>
      <c r="L932" s="6">
        <f>K932/'Quellen &amp; Annahmen'!$B$2</f>
        <v>6.0925595799091839E-6</v>
      </c>
      <c r="M932" s="7" t="s">
        <v>187</v>
      </c>
      <c r="N932" s="7" t="s">
        <v>188</v>
      </c>
    </row>
    <row r="933" spans="1:14" ht="18" customHeight="1">
      <c r="A933">
        <v>932</v>
      </c>
      <c r="B933" t="s">
        <v>1020</v>
      </c>
      <c r="C933" t="s">
        <v>263</v>
      </c>
      <c r="D933" s="2">
        <v>0</v>
      </c>
      <c r="E933" s="2">
        <v>0</v>
      </c>
      <c r="F933" s="2">
        <v>0</v>
      </c>
      <c r="G933" s="2">
        <v>0</v>
      </c>
      <c r="H933" s="2">
        <v>0.672624</v>
      </c>
      <c r="I933" s="2">
        <v>0</v>
      </c>
      <c r="J933" s="5">
        <f t="shared" si="28"/>
        <v>0.672624</v>
      </c>
      <c r="K933" s="5">
        <f t="shared" si="29"/>
        <v>0.672624</v>
      </c>
      <c r="L933" s="6">
        <f>K933/'Quellen &amp; Annahmen'!$B$2</f>
        <v>6.0925595799091839E-6</v>
      </c>
      <c r="M933" s="7" t="s">
        <v>187</v>
      </c>
      <c r="N933" s="7" t="s">
        <v>188</v>
      </c>
    </row>
    <row r="934" spans="1:14" ht="18" customHeight="1">
      <c r="A934">
        <v>933</v>
      </c>
      <c r="B934" t="s">
        <v>1021</v>
      </c>
      <c r="C934" t="s">
        <v>50</v>
      </c>
      <c r="D934" s="2">
        <v>0</v>
      </c>
      <c r="E934" s="2">
        <v>0</v>
      </c>
      <c r="F934" s="2">
        <v>0</v>
      </c>
      <c r="G934" s="2">
        <v>0</v>
      </c>
      <c r="H934" s="2">
        <v>0.672624</v>
      </c>
      <c r="I934" s="2">
        <v>0</v>
      </c>
      <c r="J934" s="5">
        <f t="shared" si="28"/>
        <v>0.672624</v>
      </c>
      <c r="K934" s="5">
        <f t="shared" si="29"/>
        <v>0.672624</v>
      </c>
      <c r="L934" s="6">
        <f>K934/'Quellen &amp; Annahmen'!$B$2</f>
        <v>6.0925595799091839E-6</v>
      </c>
      <c r="M934" s="7" t="s">
        <v>187</v>
      </c>
      <c r="N934" s="7" t="s">
        <v>188</v>
      </c>
    </row>
    <row r="935" spans="1:14" ht="18" customHeight="1">
      <c r="A935">
        <v>934</v>
      </c>
      <c r="B935" t="s">
        <v>1022</v>
      </c>
      <c r="C935" t="s">
        <v>27</v>
      </c>
      <c r="D935" s="2">
        <v>0</v>
      </c>
      <c r="E935" s="2">
        <v>0</v>
      </c>
      <c r="F935" s="2">
        <v>0</v>
      </c>
      <c r="G935" s="2">
        <v>0</v>
      </c>
      <c r="H935" s="2">
        <v>0.672624</v>
      </c>
      <c r="I935" s="2">
        <v>0</v>
      </c>
      <c r="J935" s="5">
        <f t="shared" si="28"/>
        <v>0.672624</v>
      </c>
      <c r="K935" s="5">
        <f t="shared" si="29"/>
        <v>0.672624</v>
      </c>
      <c r="L935" s="6">
        <f>K935/'Quellen &amp; Annahmen'!$B$2</f>
        <v>6.0925595799091839E-6</v>
      </c>
      <c r="M935" s="7" t="s">
        <v>187</v>
      </c>
      <c r="N935" s="7" t="s">
        <v>188</v>
      </c>
    </row>
    <row r="936" spans="1:14" ht="18" customHeight="1">
      <c r="A936">
        <v>935</v>
      </c>
      <c r="B936" t="s">
        <v>1023</v>
      </c>
      <c r="C936" t="s">
        <v>38</v>
      </c>
      <c r="D936" s="2">
        <v>0</v>
      </c>
      <c r="E936" s="2">
        <v>0</v>
      </c>
      <c r="F936" s="2">
        <v>0</v>
      </c>
      <c r="G936" s="2">
        <v>0</v>
      </c>
      <c r="H936" s="2">
        <v>0.672624</v>
      </c>
      <c r="I936" s="2">
        <v>0</v>
      </c>
      <c r="J936" s="5">
        <f t="shared" si="28"/>
        <v>0.672624</v>
      </c>
      <c r="K936" s="5">
        <f t="shared" si="29"/>
        <v>0.672624</v>
      </c>
      <c r="L936" s="6">
        <f>K936/'Quellen &amp; Annahmen'!$B$2</f>
        <v>6.0925595799091839E-6</v>
      </c>
      <c r="M936" s="7" t="s">
        <v>187</v>
      </c>
      <c r="N936" s="7" t="s">
        <v>188</v>
      </c>
    </row>
    <row r="937" spans="1:14" ht="18" customHeight="1">
      <c r="A937">
        <v>936</v>
      </c>
      <c r="B937" t="s">
        <v>1024</v>
      </c>
      <c r="C937" t="s">
        <v>23</v>
      </c>
      <c r="D937" s="2">
        <v>0</v>
      </c>
      <c r="E937" s="2">
        <v>0</v>
      </c>
      <c r="F937" s="2">
        <v>0</v>
      </c>
      <c r="G937" s="2">
        <v>0</v>
      </c>
      <c r="H937" s="2">
        <v>0.672624</v>
      </c>
      <c r="I937" s="2">
        <v>0</v>
      </c>
      <c r="J937" s="5">
        <f t="shared" si="28"/>
        <v>0.672624</v>
      </c>
      <c r="K937" s="5">
        <f t="shared" si="29"/>
        <v>0.672624</v>
      </c>
      <c r="L937" s="6">
        <f>K937/'Quellen &amp; Annahmen'!$B$2</f>
        <v>6.0925595799091839E-6</v>
      </c>
      <c r="M937" s="7" t="s">
        <v>187</v>
      </c>
      <c r="N937" s="7" t="s">
        <v>188</v>
      </c>
    </row>
    <row r="938" spans="1:14" ht="18" customHeight="1">
      <c r="A938">
        <v>937</v>
      </c>
      <c r="B938" t="s">
        <v>1025</v>
      </c>
      <c r="C938" t="s">
        <v>253</v>
      </c>
      <c r="D938" s="2">
        <v>0</v>
      </c>
      <c r="E938" s="2">
        <v>0</v>
      </c>
      <c r="F938" s="2">
        <v>0</v>
      </c>
      <c r="G938" s="2">
        <v>0</v>
      </c>
      <c r="H938" s="2">
        <v>0.672624</v>
      </c>
      <c r="I938" s="2">
        <v>0</v>
      </c>
      <c r="J938" s="5">
        <f t="shared" si="28"/>
        <v>0.672624</v>
      </c>
      <c r="K938" s="5">
        <f t="shared" si="29"/>
        <v>0.672624</v>
      </c>
      <c r="L938" s="6">
        <f>K938/'Quellen &amp; Annahmen'!$B$2</f>
        <v>6.0925595799091839E-6</v>
      </c>
      <c r="M938" s="7" t="s">
        <v>187</v>
      </c>
      <c r="N938" s="7" t="s">
        <v>188</v>
      </c>
    </row>
    <row r="939" spans="1:14" ht="18" customHeight="1">
      <c r="A939">
        <v>938</v>
      </c>
      <c r="B939" t="s">
        <v>1026</v>
      </c>
      <c r="C939" t="s">
        <v>33</v>
      </c>
      <c r="D939" s="2">
        <v>0</v>
      </c>
      <c r="E939" s="2">
        <v>0</v>
      </c>
      <c r="F939" s="2">
        <v>0</v>
      </c>
      <c r="G939" s="2">
        <v>0</v>
      </c>
      <c r="H939" s="2">
        <v>0.672624</v>
      </c>
      <c r="I939" s="2">
        <v>0</v>
      </c>
      <c r="J939" s="5">
        <f t="shared" si="28"/>
        <v>0.672624</v>
      </c>
      <c r="K939" s="5">
        <f t="shared" si="29"/>
        <v>0.672624</v>
      </c>
      <c r="L939" s="6">
        <f>K939/'Quellen &amp; Annahmen'!$B$2</f>
        <v>6.0925595799091839E-6</v>
      </c>
      <c r="M939" s="7" t="s">
        <v>187</v>
      </c>
      <c r="N939" s="7" t="s">
        <v>188</v>
      </c>
    </row>
    <row r="940" spans="1:14" ht="18" customHeight="1">
      <c r="A940">
        <v>939</v>
      </c>
      <c r="B940" t="s">
        <v>1027</v>
      </c>
      <c r="C940" t="s">
        <v>23</v>
      </c>
      <c r="D940" s="2">
        <v>0</v>
      </c>
      <c r="E940" s="2">
        <v>0</v>
      </c>
      <c r="F940" s="2">
        <v>0</v>
      </c>
      <c r="G940" s="2">
        <v>0</v>
      </c>
      <c r="H940" s="2">
        <v>0.672624</v>
      </c>
      <c r="I940" s="2">
        <v>0</v>
      </c>
      <c r="J940" s="5">
        <f t="shared" si="28"/>
        <v>0.672624</v>
      </c>
      <c r="K940" s="5">
        <f t="shared" si="29"/>
        <v>0.672624</v>
      </c>
      <c r="L940" s="6">
        <f>K940/'Quellen &amp; Annahmen'!$B$2</f>
        <v>6.0925595799091839E-6</v>
      </c>
      <c r="M940" s="7" t="s">
        <v>187</v>
      </c>
      <c r="N940" s="7" t="s">
        <v>188</v>
      </c>
    </row>
    <row r="941" spans="1:14" ht="18" customHeight="1">
      <c r="A941">
        <v>940</v>
      </c>
      <c r="B941" t="s">
        <v>1028</v>
      </c>
      <c r="C941" t="s">
        <v>33</v>
      </c>
      <c r="D941" s="2">
        <v>0</v>
      </c>
      <c r="E941" s="2">
        <v>0</v>
      </c>
      <c r="F941" s="2">
        <v>0</v>
      </c>
      <c r="G941" s="2">
        <v>0</v>
      </c>
      <c r="H941" s="2">
        <v>0.672624</v>
      </c>
      <c r="I941" s="2">
        <v>0</v>
      </c>
      <c r="J941" s="5">
        <f t="shared" si="28"/>
        <v>0.672624</v>
      </c>
      <c r="K941" s="5">
        <f t="shared" si="29"/>
        <v>0.672624</v>
      </c>
      <c r="L941" s="6">
        <f>K941/'Quellen &amp; Annahmen'!$B$2</f>
        <v>6.0925595799091839E-6</v>
      </c>
      <c r="M941" s="7" t="s">
        <v>187</v>
      </c>
      <c r="N941" s="7" t="s">
        <v>188</v>
      </c>
    </row>
    <row r="942" spans="1:14" ht="18" customHeight="1">
      <c r="A942">
        <v>941</v>
      </c>
      <c r="B942" t="s">
        <v>1029</v>
      </c>
      <c r="C942" t="s">
        <v>41</v>
      </c>
      <c r="D942" s="2">
        <v>0</v>
      </c>
      <c r="E942" s="2">
        <v>0</v>
      </c>
      <c r="F942" s="2">
        <v>0</v>
      </c>
      <c r="G942" s="2">
        <v>0</v>
      </c>
      <c r="H942" s="2">
        <v>0.672624</v>
      </c>
      <c r="I942" s="2">
        <v>0</v>
      </c>
      <c r="J942" s="5">
        <f t="shared" si="28"/>
        <v>0.672624</v>
      </c>
      <c r="K942" s="5">
        <f t="shared" si="29"/>
        <v>0.672624</v>
      </c>
      <c r="L942" s="6">
        <f>K942/'Quellen &amp; Annahmen'!$B$2</f>
        <v>6.0925595799091839E-6</v>
      </c>
      <c r="M942" s="7" t="s">
        <v>187</v>
      </c>
      <c r="N942" s="7" t="s">
        <v>188</v>
      </c>
    </row>
    <row r="943" spans="1:14" ht="18" customHeight="1">
      <c r="A943">
        <v>942</v>
      </c>
      <c r="B943" t="s">
        <v>1030</v>
      </c>
      <c r="C943" t="s">
        <v>41</v>
      </c>
      <c r="D943" s="2">
        <v>0</v>
      </c>
      <c r="E943" s="2">
        <v>0</v>
      </c>
      <c r="F943" s="2">
        <v>0</v>
      </c>
      <c r="G943" s="2">
        <v>0</v>
      </c>
      <c r="H943" s="2">
        <v>0.672624</v>
      </c>
      <c r="I943" s="2">
        <v>0</v>
      </c>
      <c r="J943" s="5">
        <f t="shared" si="28"/>
        <v>0.672624</v>
      </c>
      <c r="K943" s="5">
        <f t="shared" si="29"/>
        <v>0.672624</v>
      </c>
      <c r="L943" s="6">
        <f>K943/'Quellen &amp; Annahmen'!$B$2</f>
        <v>6.0925595799091839E-6</v>
      </c>
      <c r="M943" s="7" t="s">
        <v>187</v>
      </c>
      <c r="N943" s="7" t="s">
        <v>188</v>
      </c>
    </row>
    <row r="944" spans="1:14" ht="18" customHeight="1">
      <c r="A944">
        <v>943</v>
      </c>
      <c r="B944" t="s">
        <v>1031</v>
      </c>
      <c r="C944" t="s">
        <v>41</v>
      </c>
      <c r="D944" s="2">
        <v>0</v>
      </c>
      <c r="E944" s="2">
        <v>0</v>
      </c>
      <c r="F944" s="2">
        <v>0</v>
      </c>
      <c r="G944" s="2">
        <v>0</v>
      </c>
      <c r="H944" s="2">
        <v>0.672624</v>
      </c>
      <c r="I944" s="2">
        <v>0</v>
      </c>
      <c r="J944" s="5">
        <f t="shared" si="28"/>
        <v>0.672624</v>
      </c>
      <c r="K944" s="5">
        <f t="shared" si="29"/>
        <v>0.672624</v>
      </c>
      <c r="L944" s="6">
        <f>K944/'Quellen &amp; Annahmen'!$B$2</f>
        <v>6.0925595799091839E-6</v>
      </c>
      <c r="M944" s="7" t="s">
        <v>187</v>
      </c>
      <c r="N944" s="7" t="s">
        <v>188</v>
      </c>
    </row>
    <row r="945" spans="1:14" ht="18" customHeight="1">
      <c r="A945">
        <v>944</v>
      </c>
      <c r="B945" t="s">
        <v>1032</v>
      </c>
      <c r="C945" t="s">
        <v>50</v>
      </c>
      <c r="D945" s="2">
        <v>0</v>
      </c>
      <c r="E945" s="2">
        <v>0</v>
      </c>
      <c r="F945" s="2">
        <v>0</v>
      </c>
      <c r="G945" s="2">
        <v>0</v>
      </c>
      <c r="H945" s="2">
        <v>0.672624</v>
      </c>
      <c r="I945" s="2">
        <v>0</v>
      </c>
      <c r="J945" s="5">
        <f t="shared" si="28"/>
        <v>0.672624</v>
      </c>
      <c r="K945" s="5">
        <f t="shared" si="29"/>
        <v>0.672624</v>
      </c>
      <c r="L945" s="6">
        <f>K945/'Quellen &amp; Annahmen'!$B$2</f>
        <v>6.0925595799091839E-6</v>
      </c>
      <c r="M945" s="7" t="s">
        <v>187</v>
      </c>
      <c r="N945" s="7" t="s">
        <v>188</v>
      </c>
    </row>
    <row r="946" spans="1:14" ht="18" customHeight="1">
      <c r="A946">
        <v>945</v>
      </c>
      <c r="B946" t="s">
        <v>1033</v>
      </c>
      <c r="C946" t="s">
        <v>108</v>
      </c>
      <c r="D946" s="2">
        <v>0</v>
      </c>
      <c r="E946" s="2">
        <v>0</v>
      </c>
      <c r="F946" s="2">
        <v>0</v>
      </c>
      <c r="G946" s="2">
        <v>0</v>
      </c>
      <c r="H946" s="2">
        <v>0.672624</v>
      </c>
      <c r="I946" s="2">
        <v>0</v>
      </c>
      <c r="J946" s="5">
        <f t="shared" si="28"/>
        <v>0.672624</v>
      </c>
      <c r="K946" s="5">
        <f t="shared" si="29"/>
        <v>0.672624</v>
      </c>
      <c r="L946" s="6">
        <f>K946/'Quellen &amp; Annahmen'!$B$2</f>
        <v>6.0925595799091839E-6</v>
      </c>
      <c r="M946" s="7" t="s">
        <v>187</v>
      </c>
      <c r="N946" s="7" t="s">
        <v>188</v>
      </c>
    </row>
    <row r="947" spans="1:14" ht="18" customHeight="1">
      <c r="A947">
        <v>946</v>
      </c>
      <c r="B947" t="s">
        <v>1034</v>
      </c>
      <c r="C947" t="s">
        <v>41</v>
      </c>
      <c r="D947" s="2">
        <v>0</v>
      </c>
      <c r="E947" s="2">
        <v>0</v>
      </c>
      <c r="F947" s="2">
        <v>0</v>
      </c>
      <c r="G947" s="2">
        <v>0</v>
      </c>
      <c r="H947" s="2">
        <v>0.672624</v>
      </c>
      <c r="I947" s="2">
        <v>0</v>
      </c>
      <c r="J947" s="5">
        <f t="shared" si="28"/>
        <v>0.672624</v>
      </c>
      <c r="K947" s="5">
        <f t="shared" si="29"/>
        <v>0.672624</v>
      </c>
      <c r="L947" s="6">
        <f>K947/'Quellen &amp; Annahmen'!$B$2</f>
        <v>6.0925595799091839E-6</v>
      </c>
      <c r="M947" s="7" t="s">
        <v>187</v>
      </c>
      <c r="N947" s="7" t="s">
        <v>188</v>
      </c>
    </row>
    <row r="948" spans="1:14" ht="18" customHeight="1">
      <c r="A948">
        <v>947</v>
      </c>
      <c r="B948" t="s">
        <v>1035</v>
      </c>
      <c r="C948" t="s">
        <v>108</v>
      </c>
      <c r="D948" s="2">
        <v>0</v>
      </c>
      <c r="E948" s="2">
        <v>0</v>
      </c>
      <c r="F948" s="2">
        <v>0</v>
      </c>
      <c r="G948" s="2">
        <v>0</v>
      </c>
      <c r="H948" s="2">
        <v>0.672624</v>
      </c>
      <c r="I948" s="2">
        <v>0</v>
      </c>
      <c r="J948" s="5">
        <f t="shared" si="28"/>
        <v>0.672624</v>
      </c>
      <c r="K948" s="5">
        <f t="shared" si="29"/>
        <v>0.672624</v>
      </c>
      <c r="L948" s="6">
        <f>K948/'Quellen &amp; Annahmen'!$B$2</f>
        <v>6.0925595799091839E-6</v>
      </c>
      <c r="M948" s="7" t="s">
        <v>187</v>
      </c>
      <c r="N948" s="7" t="s">
        <v>188</v>
      </c>
    </row>
    <row r="949" spans="1:14" ht="18" customHeight="1">
      <c r="A949">
        <v>948</v>
      </c>
      <c r="B949" t="s">
        <v>1036</v>
      </c>
      <c r="C949" t="s">
        <v>108</v>
      </c>
      <c r="D949" s="2">
        <v>0</v>
      </c>
      <c r="E949" s="2">
        <v>0</v>
      </c>
      <c r="F949" s="2">
        <v>0</v>
      </c>
      <c r="G949" s="2">
        <v>0</v>
      </c>
      <c r="H949" s="2">
        <v>0.672624</v>
      </c>
      <c r="I949" s="2">
        <v>0</v>
      </c>
      <c r="J949" s="5">
        <f t="shared" si="28"/>
        <v>0.672624</v>
      </c>
      <c r="K949" s="5">
        <f t="shared" si="29"/>
        <v>0.672624</v>
      </c>
      <c r="L949" s="6">
        <f>K949/'Quellen &amp; Annahmen'!$B$2</f>
        <v>6.0925595799091839E-6</v>
      </c>
      <c r="M949" s="7" t="s">
        <v>187</v>
      </c>
      <c r="N949" s="7" t="s">
        <v>188</v>
      </c>
    </row>
    <row r="950" spans="1:14" ht="18" customHeight="1">
      <c r="A950">
        <v>949</v>
      </c>
      <c r="B950" t="s">
        <v>1037</v>
      </c>
      <c r="C950" t="s">
        <v>263</v>
      </c>
      <c r="D950" s="2">
        <v>0</v>
      </c>
      <c r="E950" s="2">
        <v>0</v>
      </c>
      <c r="F950" s="2">
        <v>0</v>
      </c>
      <c r="G950" s="2">
        <v>0</v>
      </c>
      <c r="H950" s="2">
        <v>0.672624</v>
      </c>
      <c r="I950" s="2">
        <v>0</v>
      </c>
      <c r="J950" s="5">
        <f t="shared" si="28"/>
        <v>0.672624</v>
      </c>
      <c r="K950" s="5">
        <f t="shared" si="29"/>
        <v>0.672624</v>
      </c>
      <c r="L950" s="6">
        <f>K950/'Quellen &amp; Annahmen'!$B$2</f>
        <v>6.0925595799091839E-6</v>
      </c>
      <c r="M950" s="7" t="s">
        <v>187</v>
      </c>
      <c r="N950" s="7" t="s">
        <v>188</v>
      </c>
    </row>
    <row r="951" spans="1:14" ht="18" customHeight="1">
      <c r="A951">
        <v>950</v>
      </c>
      <c r="B951" t="s">
        <v>1038</v>
      </c>
      <c r="C951" t="s">
        <v>38</v>
      </c>
      <c r="D951" s="2">
        <v>0</v>
      </c>
      <c r="E951" s="2">
        <v>0</v>
      </c>
      <c r="F951" s="2">
        <v>0</v>
      </c>
      <c r="G951" s="2">
        <v>0</v>
      </c>
      <c r="H951" s="2">
        <v>0.672624</v>
      </c>
      <c r="I951" s="2">
        <v>0</v>
      </c>
      <c r="J951" s="5">
        <f t="shared" si="28"/>
        <v>0.672624</v>
      </c>
      <c r="K951" s="5">
        <f t="shared" si="29"/>
        <v>0.672624</v>
      </c>
      <c r="L951" s="6">
        <f>K951/'Quellen &amp; Annahmen'!$B$2</f>
        <v>6.0925595799091839E-6</v>
      </c>
      <c r="M951" s="7" t="s">
        <v>187</v>
      </c>
      <c r="N951" s="7" t="s">
        <v>188</v>
      </c>
    </row>
    <row r="952" spans="1:14" ht="18" customHeight="1">
      <c r="A952">
        <v>951</v>
      </c>
      <c r="B952" t="s">
        <v>1039</v>
      </c>
      <c r="C952" t="s">
        <v>50</v>
      </c>
      <c r="D952" s="2">
        <v>0</v>
      </c>
      <c r="E952" s="2">
        <v>0</v>
      </c>
      <c r="F952" s="2">
        <v>0</v>
      </c>
      <c r="G952" s="2">
        <v>0</v>
      </c>
      <c r="H952" s="2">
        <v>0.672624</v>
      </c>
      <c r="I952" s="2">
        <v>0</v>
      </c>
      <c r="J952" s="5">
        <f t="shared" si="28"/>
        <v>0.672624</v>
      </c>
      <c r="K952" s="5">
        <f t="shared" si="29"/>
        <v>0.672624</v>
      </c>
      <c r="L952" s="6">
        <f>K952/'Quellen &amp; Annahmen'!$B$2</f>
        <v>6.0925595799091839E-6</v>
      </c>
      <c r="M952" s="7" t="s">
        <v>187</v>
      </c>
      <c r="N952" s="7" t="s">
        <v>188</v>
      </c>
    </row>
    <row r="953" spans="1:14" ht="18" customHeight="1">
      <c r="A953">
        <v>952</v>
      </c>
      <c r="B953" t="s">
        <v>1040</v>
      </c>
      <c r="C953" t="s">
        <v>23</v>
      </c>
      <c r="D953" s="2">
        <v>0</v>
      </c>
      <c r="E953" s="2">
        <v>0</v>
      </c>
      <c r="F953" s="2">
        <v>0</v>
      </c>
      <c r="G953" s="2">
        <v>0</v>
      </c>
      <c r="H953" s="2">
        <v>0.672624</v>
      </c>
      <c r="I953" s="2">
        <v>0</v>
      </c>
      <c r="J953" s="5">
        <f t="shared" si="28"/>
        <v>0.672624</v>
      </c>
      <c r="K953" s="5">
        <f t="shared" si="29"/>
        <v>0.672624</v>
      </c>
      <c r="L953" s="6">
        <f>K953/'Quellen &amp; Annahmen'!$B$2</f>
        <v>6.0925595799091839E-6</v>
      </c>
      <c r="M953" s="7" t="s">
        <v>187</v>
      </c>
      <c r="N953" s="7" t="s">
        <v>188</v>
      </c>
    </row>
    <row r="954" spans="1:14" ht="18" customHeight="1">
      <c r="A954">
        <v>953</v>
      </c>
      <c r="B954" t="s">
        <v>1041</v>
      </c>
      <c r="C954" t="s">
        <v>25</v>
      </c>
      <c r="D954" s="2">
        <v>0</v>
      </c>
      <c r="E954" s="2">
        <v>0</v>
      </c>
      <c r="F954" s="2">
        <v>0</v>
      </c>
      <c r="G954" s="2">
        <v>0</v>
      </c>
      <c r="H954" s="2">
        <v>0.672624</v>
      </c>
      <c r="I954" s="2">
        <v>0</v>
      </c>
      <c r="J954" s="5">
        <f t="shared" si="28"/>
        <v>0.672624</v>
      </c>
      <c r="K954" s="5">
        <f t="shared" si="29"/>
        <v>0.672624</v>
      </c>
      <c r="L954" s="6">
        <f>K954/'Quellen &amp; Annahmen'!$B$2</f>
        <v>6.0925595799091839E-6</v>
      </c>
      <c r="M954" s="7" t="s">
        <v>187</v>
      </c>
      <c r="N954" s="7" t="s">
        <v>188</v>
      </c>
    </row>
    <row r="955" spans="1:14" ht="18" customHeight="1">
      <c r="A955">
        <v>954</v>
      </c>
      <c r="B955" t="s">
        <v>1042</v>
      </c>
      <c r="C955" t="s">
        <v>263</v>
      </c>
      <c r="D955" s="2">
        <v>0</v>
      </c>
      <c r="E955" s="2">
        <v>0</v>
      </c>
      <c r="F955" s="2">
        <v>0</v>
      </c>
      <c r="G955" s="2">
        <v>0</v>
      </c>
      <c r="H955" s="2">
        <v>0.672624</v>
      </c>
      <c r="I955" s="2">
        <v>0</v>
      </c>
      <c r="J955" s="5">
        <f t="shared" si="28"/>
        <v>0.672624</v>
      </c>
      <c r="K955" s="5">
        <f t="shared" si="29"/>
        <v>0.672624</v>
      </c>
      <c r="L955" s="6">
        <f>K955/'Quellen &amp; Annahmen'!$B$2</f>
        <v>6.0925595799091839E-6</v>
      </c>
      <c r="M955" s="7" t="s">
        <v>187</v>
      </c>
      <c r="N955" s="7" t="s">
        <v>188</v>
      </c>
    </row>
    <row r="956" spans="1:14" ht="18" customHeight="1">
      <c r="A956">
        <v>955</v>
      </c>
      <c r="B956" t="s">
        <v>1043</v>
      </c>
      <c r="C956" t="s">
        <v>27</v>
      </c>
      <c r="D956" s="2">
        <v>0</v>
      </c>
      <c r="E956" s="2">
        <v>0</v>
      </c>
      <c r="F956" s="2">
        <v>0</v>
      </c>
      <c r="G956" s="2">
        <v>0</v>
      </c>
      <c r="H956" s="2">
        <v>0.672624</v>
      </c>
      <c r="I956" s="2">
        <v>0</v>
      </c>
      <c r="J956" s="5">
        <f t="shared" si="28"/>
        <v>0.672624</v>
      </c>
      <c r="K956" s="5">
        <f t="shared" si="29"/>
        <v>0.672624</v>
      </c>
      <c r="L956" s="6">
        <f>K956/'Quellen &amp; Annahmen'!$B$2</f>
        <v>6.0925595799091839E-6</v>
      </c>
      <c r="M956" s="7" t="s">
        <v>187</v>
      </c>
      <c r="N956" s="7" t="s">
        <v>188</v>
      </c>
    </row>
    <row r="957" spans="1:14" ht="18" customHeight="1">
      <c r="A957">
        <v>956</v>
      </c>
      <c r="B957" t="s">
        <v>1044</v>
      </c>
      <c r="C957" t="s">
        <v>50</v>
      </c>
      <c r="D957" s="2">
        <v>0</v>
      </c>
      <c r="E957" s="2">
        <v>0</v>
      </c>
      <c r="F957" s="2">
        <v>0</v>
      </c>
      <c r="G957" s="2">
        <v>0</v>
      </c>
      <c r="H957" s="2">
        <v>0.672624</v>
      </c>
      <c r="I957" s="2">
        <v>0</v>
      </c>
      <c r="J957" s="5">
        <f t="shared" si="28"/>
        <v>0.672624</v>
      </c>
      <c r="K957" s="5">
        <f t="shared" si="29"/>
        <v>0.672624</v>
      </c>
      <c r="L957" s="6">
        <f>K957/'Quellen &amp; Annahmen'!$B$2</f>
        <v>6.0925595799091839E-6</v>
      </c>
      <c r="M957" s="7" t="s">
        <v>187</v>
      </c>
      <c r="N957" s="7" t="s">
        <v>188</v>
      </c>
    </row>
    <row r="958" spans="1:14" ht="18" customHeight="1">
      <c r="A958">
        <v>957</v>
      </c>
      <c r="B958" t="s">
        <v>1045</v>
      </c>
      <c r="C958" t="s">
        <v>263</v>
      </c>
      <c r="D958" s="2">
        <v>0</v>
      </c>
      <c r="E958" s="2">
        <v>0</v>
      </c>
      <c r="F958" s="2">
        <v>0</v>
      </c>
      <c r="G958" s="2">
        <v>0</v>
      </c>
      <c r="H958" s="2">
        <v>0.672624</v>
      </c>
      <c r="I958" s="2">
        <v>0</v>
      </c>
      <c r="J958" s="5">
        <f t="shared" si="28"/>
        <v>0.672624</v>
      </c>
      <c r="K958" s="5">
        <f t="shared" si="29"/>
        <v>0.672624</v>
      </c>
      <c r="L958" s="6">
        <f>K958/'Quellen &amp; Annahmen'!$B$2</f>
        <v>6.0925595799091839E-6</v>
      </c>
      <c r="M958" s="7" t="s">
        <v>187</v>
      </c>
      <c r="N958" s="7" t="s">
        <v>188</v>
      </c>
    </row>
    <row r="959" spans="1:14" ht="18" customHeight="1">
      <c r="A959">
        <v>958</v>
      </c>
      <c r="B959" t="s">
        <v>1046</v>
      </c>
      <c r="C959" t="s">
        <v>33</v>
      </c>
      <c r="D959" s="2">
        <v>0</v>
      </c>
      <c r="E959" s="2">
        <v>0</v>
      </c>
      <c r="F959" s="2">
        <v>0</v>
      </c>
      <c r="G959" s="2">
        <v>0</v>
      </c>
      <c r="H959" s="2">
        <v>0.672624</v>
      </c>
      <c r="I959" s="2">
        <v>0</v>
      </c>
      <c r="J959" s="5">
        <f t="shared" si="28"/>
        <v>0.672624</v>
      </c>
      <c r="K959" s="5">
        <f t="shared" si="29"/>
        <v>0.672624</v>
      </c>
      <c r="L959" s="6">
        <f>K959/'Quellen &amp; Annahmen'!$B$2</f>
        <v>6.0925595799091839E-6</v>
      </c>
      <c r="M959" s="7" t="s">
        <v>187</v>
      </c>
      <c r="N959" s="7" t="s">
        <v>188</v>
      </c>
    </row>
    <row r="960" spans="1:14" ht="18" customHeight="1">
      <c r="A960">
        <v>959</v>
      </c>
      <c r="B960" t="s">
        <v>1047</v>
      </c>
      <c r="C960" t="s">
        <v>253</v>
      </c>
      <c r="D960" s="2">
        <v>0</v>
      </c>
      <c r="E960" s="2">
        <v>0</v>
      </c>
      <c r="F960" s="2">
        <v>0</v>
      </c>
      <c r="G960" s="2">
        <v>0</v>
      </c>
      <c r="H960" s="2">
        <v>0.672624</v>
      </c>
      <c r="I960" s="2">
        <v>0</v>
      </c>
      <c r="J960" s="5">
        <f t="shared" si="28"/>
        <v>0.672624</v>
      </c>
      <c r="K960" s="5">
        <f t="shared" si="29"/>
        <v>0.672624</v>
      </c>
      <c r="L960" s="6">
        <f>K960/'Quellen &amp; Annahmen'!$B$2</f>
        <v>6.0925595799091839E-6</v>
      </c>
      <c r="M960" s="7" t="s">
        <v>187</v>
      </c>
      <c r="N960" s="7" t="s">
        <v>188</v>
      </c>
    </row>
    <row r="961" spans="1:14" ht="18" customHeight="1">
      <c r="A961">
        <v>960</v>
      </c>
      <c r="B961" t="s">
        <v>1048</v>
      </c>
      <c r="C961" t="s">
        <v>108</v>
      </c>
      <c r="D961" s="2">
        <v>0</v>
      </c>
      <c r="E961" s="2">
        <v>0</v>
      </c>
      <c r="F961" s="2">
        <v>0</v>
      </c>
      <c r="G961" s="2">
        <v>0</v>
      </c>
      <c r="H961" s="2">
        <v>0.672624</v>
      </c>
      <c r="I961" s="2">
        <v>0</v>
      </c>
      <c r="J961" s="5">
        <f t="shared" si="28"/>
        <v>0.672624</v>
      </c>
      <c r="K961" s="5">
        <f t="shared" si="29"/>
        <v>0.672624</v>
      </c>
      <c r="L961" s="6">
        <f>K961/'Quellen &amp; Annahmen'!$B$2</f>
        <v>6.0925595799091839E-6</v>
      </c>
      <c r="M961" s="7" t="s">
        <v>187</v>
      </c>
      <c r="N961" s="7" t="s">
        <v>188</v>
      </c>
    </row>
    <row r="962" spans="1:14" ht="18" customHeight="1">
      <c r="A962">
        <v>961</v>
      </c>
      <c r="B962" t="s">
        <v>1049</v>
      </c>
      <c r="C962" t="s">
        <v>38</v>
      </c>
      <c r="D962" s="2">
        <v>0</v>
      </c>
      <c r="E962" s="2">
        <v>0</v>
      </c>
      <c r="F962" s="2">
        <v>0</v>
      </c>
      <c r="G962" s="2">
        <v>0</v>
      </c>
      <c r="H962" s="2">
        <v>0.672624</v>
      </c>
      <c r="I962" s="2">
        <v>0</v>
      </c>
      <c r="J962" s="5">
        <f t="shared" ref="J962:J1025" si="30">SUM(E962:I962)</f>
        <v>0.672624</v>
      </c>
      <c r="K962" s="5">
        <f t="shared" ref="K962:K1025" si="31">D962+J962</f>
        <v>0.672624</v>
      </c>
      <c r="L962" s="6">
        <f>K962/'Quellen &amp; Annahmen'!$B$2</f>
        <v>6.0925595799091839E-6</v>
      </c>
      <c r="M962" s="7" t="s">
        <v>187</v>
      </c>
      <c r="N962" s="7" t="s">
        <v>188</v>
      </c>
    </row>
    <row r="963" spans="1:14" ht="18" customHeight="1">
      <c r="A963">
        <v>962</v>
      </c>
      <c r="B963" t="s">
        <v>1050</v>
      </c>
      <c r="C963" t="s">
        <v>263</v>
      </c>
      <c r="D963" s="2">
        <v>0</v>
      </c>
      <c r="E963" s="2">
        <v>0</v>
      </c>
      <c r="F963" s="2">
        <v>0</v>
      </c>
      <c r="G963" s="2">
        <v>0</v>
      </c>
      <c r="H963" s="2">
        <v>0.672624</v>
      </c>
      <c r="I963" s="2">
        <v>0</v>
      </c>
      <c r="J963" s="5">
        <f t="shared" si="30"/>
        <v>0.672624</v>
      </c>
      <c r="K963" s="5">
        <f t="shared" si="31"/>
        <v>0.672624</v>
      </c>
      <c r="L963" s="6">
        <f>K963/'Quellen &amp; Annahmen'!$B$2</f>
        <v>6.0925595799091839E-6</v>
      </c>
      <c r="M963" s="7" t="s">
        <v>187</v>
      </c>
      <c r="N963" s="7" t="s">
        <v>188</v>
      </c>
    </row>
    <row r="964" spans="1:14" ht="18" customHeight="1">
      <c r="A964">
        <v>963</v>
      </c>
      <c r="B964" t="s">
        <v>1051</v>
      </c>
      <c r="C964" t="s">
        <v>50</v>
      </c>
      <c r="D964" s="2">
        <v>0</v>
      </c>
      <c r="E964" s="2">
        <v>0</v>
      </c>
      <c r="F964" s="2">
        <v>0</v>
      </c>
      <c r="G964" s="2">
        <v>0</v>
      </c>
      <c r="H964" s="2">
        <v>0.672624</v>
      </c>
      <c r="I964" s="2">
        <v>0</v>
      </c>
      <c r="J964" s="5">
        <f t="shared" si="30"/>
        <v>0.672624</v>
      </c>
      <c r="K964" s="5">
        <f t="shared" si="31"/>
        <v>0.672624</v>
      </c>
      <c r="L964" s="6">
        <f>K964/'Quellen &amp; Annahmen'!$B$2</f>
        <v>6.0925595799091839E-6</v>
      </c>
      <c r="M964" s="7" t="s">
        <v>187</v>
      </c>
      <c r="N964" s="7" t="s">
        <v>188</v>
      </c>
    </row>
    <row r="965" spans="1:14" ht="18" customHeight="1">
      <c r="A965">
        <v>964</v>
      </c>
      <c r="B965" t="s">
        <v>1052</v>
      </c>
      <c r="C965" t="s">
        <v>50</v>
      </c>
      <c r="D965" s="2">
        <v>0</v>
      </c>
      <c r="E965" s="2">
        <v>0</v>
      </c>
      <c r="F965" s="2">
        <v>0</v>
      </c>
      <c r="G965" s="2">
        <v>0</v>
      </c>
      <c r="H965" s="2">
        <v>0.672624</v>
      </c>
      <c r="I965" s="2">
        <v>0</v>
      </c>
      <c r="J965" s="5">
        <f t="shared" si="30"/>
        <v>0.672624</v>
      </c>
      <c r="K965" s="5">
        <f t="shared" si="31"/>
        <v>0.672624</v>
      </c>
      <c r="L965" s="6">
        <f>K965/'Quellen &amp; Annahmen'!$B$2</f>
        <v>6.0925595799091839E-6</v>
      </c>
      <c r="M965" s="7" t="s">
        <v>187</v>
      </c>
      <c r="N965" s="7" t="s">
        <v>188</v>
      </c>
    </row>
    <row r="966" spans="1:14" ht="18" customHeight="1">
      <c r="A966">
        <v>965</v>
      </c>
      <c r="B966" t="s">
        <v>1053</v>
      </c>
      <c r="C966" t="s">
        <v>50</v>
      </c>
      <c r="D966" s="2">
        <v>0</v>
      </c>
      <c r="E966" s="2">
        <v>0</v>
      </c>
      <c r="F966" s="2">
        <v>0</v>
      </c>
      <c r="G966" s="2">
        <v>0</v>
      </c>
      <c r="H966" s="2">
        <v>0.672624</v>
      </c>
      <c r="I966" s="2">
        <v>0</v>
      </c>
      <c r="J966" s="5">
        <f t="shared" si="30"/>
        <v>0.672624</v>
      </c>
      <c r="K966" s="5">
        <f t="shared" si="31"/>
        <v>0.672624</v>
      </c>
      <c r="L966" s="6">
        <f>K966/'Quellen &amp; Annahmen'!$B$2</f>
        <v>6.0925595799091839E-6</v>
      </c>
      <c r="M966" s="7" t="s">
        <v>187</v>
      </c>
      <c r="N966" s="7" t="s">
        <v>188</v>
      </c>
    </row>
    <row r="967" spans="1:14" ht="18" customHeight="1">
      <c r="A967">
        <v>966</v>
      </c>
      <c r="B967" t="s">
        <v>1054</v>
      </c>
      <c r="C967" t="s">
        <v>50</v>
      </c>
      <c r="D967" s="2">
        <v>0</v>
      </c>
      <c r="E967" s="2">
        <v>0</v>
      </c>
      <c r="F967" s="2">
        <v>0</v>
      </c>
      <c r="G967" s="2">
        <v>0</v>
      </c>
      <c r="H967" s="2">
        <v>0.672624</v>
      </c>
      <c r="I967" s="2">
        <v>0</v>
      </c>
      <c r="J967" s="5">
        <f t="shared" si="30"/>
        <v>0.672624</v>
      </c>
      <c r="K967" s="5">
        <f t="shared" si="31"/>
        <v>0.672624</v>
      </c>
      <c r="L967" s="6">
        <f>K967/'Quellen &amp; Annahmen'!$B$2</f>
        <v>6.0925595799091839E-6</v>
      </c>
      <c r="M967" s="7" t="s">
        <v>187</v>
      </c>
      <c r="N967" s="7" t="s">
        <v>188</v>
      </c>
    </row>
    <row r="968" spans="1:14" ht="18" customHeight="1">
      <c r="A968">
        <v>967</v>
      </c>
      <c r="B968" t="s">
        <v>1055</v>
      </c>
      <c r="C968" t="s">
        <v>124</v>
      </c>
      <c r="D968" s="2">
        <v>0</v>
      </c>
      <c r="E968" s="2">
        <v>0</v>
      </c>
      <c r="F968" s="2">
        <v>0</v>
      </c>
      <c r="G968" s="2">
        <v>0</v>
      </c>
      <c r="H968" s="2">
        <v>0.672624</v>
      </c>
      <c r="I968" s="2">
        <v>0</v>
      </c>
      <c r="J968" s="5">
        <f t="shared" si="30"/>
        <v>0.672624</v>
      </c>
      <c r="K968" s="5">
        <f t="shared" si="31"/>
        <v>0.672624</v>
      </c>
      <c r="L968" s="6">
        <f>K968/'Quellen &amp; Annahmen'!$B$2</f>
        <v>6.0925595799091839E-6</v>
      </c>
      <c r="M968" s="7" t="s">
        <v>187</v>
      </c>
      <c r="N968" s="7" t="s">
        <v>188</v>
      </c>
    </row>
    <row r="969" spans="1:14" ht="18" customHeight="1">
      <c r="A969">
        <v>968</v>
      </c>
      <c r="B969" t="s">
        <v>1056</v>
      </c>
      <c r="C969" t="s">
        <v>41</v>
      </c>
      <c r="D969" s="2">
        <v>0</v>
      </c>
      <c r="E969" s="2">
        <v>0</v>
      </c>
      <c r="F969" s="2">
        <v>0</v>
      </c>
      <c r="G969" s="2">
        <v>0</v>
      </c>
      <c r="H969" s="2">
        <v>0.672624</v>
      </c>
      <c r="I969" s="2">
        <v>0</v>
      </c>
      <c r="J969" s="5">
        <f t="shared" si="30"/>
        <v>0.672624</v>
      </c>
      <c r="K969" s="5">
        <f t="shared" si="31"/>
        <v>0.672624</v>
      </c>
      <c r="L969" s="6">
        <f>K969/'Quellen &amp; Annahmen'!$B$2</f>
        <v>6.0925595799091839E-6</v>
      </c>
      <c r="M969" s="7" t="s">
        <v>187</v>
      </c>
      <c r="N969" s="7" t="s">
        <v>188</v>
      </c>
    </row>
    <row r="970" spans="1:14" ht="18" customHeight="1">
      <c r="A970">
        <v>969</v>
      </c>
      <c r="B970" t="s">
        <v>1057</v>
      </c>
      <c r="C970" t="s">
        <v>50</v>
      </c>
      <c r="D970" s="2">
        <v>0</v>
      </c>
      <c r="E970" s="2">
        <v>0</v>
      </c>
      <c r="F970" s="2">
        <v>0</v>
      </c>
      <c r="G970" s="2">
        <v>0</v>
      </c>
      <c r="H970" s="2">
        <v>0.672624</v>
      </c>
      <c r="I970" s="2">
        <v>0</v>
      </c>
      <c r="J970" s="5">
        <f t="shared" si="30"/>
        <v>0.672624</v>
      </c>
      <c r="K970" s="5">
        <f t="shared" si="31"/>
        <v>0.672624</v>
      </c>
      <c r="L970" s="6">
        <f>K970/'Quellen &amp; Annahmen'!$B$2</f>
        <v>6.0925595799091839E-6</v>
      </c>
      <c r="M970" s="7" t="s">
        <v>187</v>
      </c>
      <c r="N970" s="7" t="s">
        <v>188</v>
      </c>
    </row>
    <row r="971" spans="1:14" ht="18" customHeight="1">
      <c r="A971">
        <v>970</v>
      </c>
      <c r="B971" t="s">
        <v>1058</v>
      </c>
      <c r="C971" t="s">
        <v>23</v>
      </c>
      <c r="D971" s="2">
        <v>0</v>
      </c>
      <c r="E971" s="2">
        <v>0</v>
      </c>
      <c r="F971" s="2">
        <v>0</v>
      </c>
      <c r="G971" s="2">
        <v>0</v>
      </c>
      <c r="H971" s="2">
        <v>0.672624</v>
      </c>
      <c r="I971" s="2">
        <v>0</v>
      </c>
      <c r="J971" s="5">
        <f t="shared" si="30"/>
        <v>0.672624</v>
      </c>
      <c r="K971" s="5">
        <f t="shared" si="31"/>
        <v>0.672624</v>
      </c>
      <c r="L971" s="6">
        <f>K971/'Quellen &amp; Annahmen'!$B$2</f>
        <v>6.0925595799091839E-6</v>
      </c>
      <c r="M971" s="7" t="s">
        <v>187</v>
      </c>
      <c r="N971" s="7" t="s">
        <v>188</v>
      </c>
    </row>
    <row r="972" spans="1:14" ht="18" customHeight="1">
      <c r="A972">
        <v>971</v>
      </c>
      <c r="B972" t="s">
        <v>1059</v>
      </c>
      <c r="C972" t="s">
        <v>38</v>
      </c>
      <c r="D972" s="2">
        <v>0</v>
      </c>
      <c r="E972" s="2">
        <v>0</v>
      </c>
      <c r="F972" s="2">
        <v>0</v>
      </c>
      <c r="G972" s="2">
        <v>0</v>
      </c>
      <c r="H972" s="2">
        <v>0.672624</v>
      </c>
      <c r="I972" s="2">
        <v>0</v>
      </c>
      <c r="J972" s="5">
        <f t="shared" si="30"/>
        <v>0.672624</v>
      </c>
      <c r="K972" s="5">
        <f t="shared" si="31"/>
        <v>0.672624</v>
      </c>
      <c r="L972" s="6">
        <f>K972/'Quellen &amp; Annahmen'!$B$2</f>
        <v>6.0925595799091839E-6</v>
      </c>
      <c r="M972" s="7" t="s">
        <v>187</v>
      </c>
      <c r="N972" s="7" t="s">
        <v>188</v>
      </c>
    </row>
    <row r="973" spans="1:14" ht="18" customHeight="1">
      <c r="A973">
        <v>972</v>
      </c>
      <c r="B973" t="s">
        <v>1060</v>
      </c>
      <c r="C973" t="s">
        <v>25</v>
      </c>
      <c r="D973" s="2">
        <v>0</v>
      </c>
      <c r="E973" s="2">
        <v>0</v>
      </c>
      <c r="F973" s="2">
        <v>0</v>
      </c>
      <c r="G973" s="2">
        <v>0</v>
      </c>
      <c r="H973" s="2">
        <v>0.672624</v>
      </c>
      <c r="I973" s="2">
        <v>0</v>
      </c>
      <c r="J973" s="5">
        <f t="shared" si="30"/>
        <v>0.672624</v>
      </c>
      <c r="K973" s="5">
        <f t="shared" si="31"/>
        <v>0.672624</v>
      </c>
      <c r="L973" s="6">
        <f>K973/'Quellen &amp; Annahmen'!$B$2</f>
        <v>6.0925595799091839E-6</v>
      </c>
      <c r="M973" s="7" t="s">
        <v>187</v>
      </c>
      <c r="N973" s="7" t="s">
        <v>188</v>
      </c>
    </row>
    <row r="974" spans="1:14" ht="18" customHeight="1">
      <c r="A974">
        <v>973</v>
      </c>
      <c r="B974" t="s">
        <v>1061</v>
      </c>
      <c r="C974" t="s">
        <v>50</v>
      </c>
      <c r="D974" s="2">
        <v>0</v>
      </c>
      <c r="E974" s="2">
        <v>0</v>
      </c>
      <c r="F974" s="2">
        <v>0</v>
      </c>
      <c r="G974" s="2">
        <v>0</v>
      </c>
      <c r="H974" s="2">
        <v>0.672624</v>
      </c>
      <c r="I974" s="2">
        <v>0</v>
      </c>
      <c r="J974" s="5">
        <f t="shared" si="30"/>
        <v>0.672624</v>
      </c>
      <c r="K974" s="5">
        <f t="shared" si="31"/>
        <v>0.672624</v>
      </c>
      <c r="L974" s="6">
        <f>K974/'Quellen &amp; Annahmen'!$B$2</f>
        <v>6.0925595799091839E-6</v>
      </c>
      <c r="M974" s="7" t="s">
        <v>187</v>
      </c>
      <c r="N974" s="7" t="s">
        <v>188</v>
      </c>
    </row>
    <row r="975" spans="1:14" ht="18" customHeight="1">
      <c r="A975">
        <v>974</v>
      </c>
      <c r="B975" t="s">
        <v>1062</v>
      </c>
      <c r="C975" t="s">
        <v>50</v>
      </c>
      <c r="D975" s="2">
        <v>0</v>
      </c>
      <c r="E975" s="2">
        <v>0</v>
      </c>
      <c r="F975" s="2">
        <v>0</v>
      </c>
      <c r="G975" s="2">
        <v>0</v>
      </c>
      <c r="H975" s="2">
        <v>0.672624</v>
      </c>
      <c r="I975" s="2">
        <v>0</v>
      </c>
      <c r="J975" s="5">
        <f t="shared" si="30"/>
        <v>0.672624</v>
      </c>
      <c r="K975" s="5">
        <f t="shared" si="31"/>
        <v>0.672624</v>
      </c>
      <c r="L975" s="6">
        <f>K975/'Quellen &amp; Annahmen'!$B$2</f>
        <v>6.0925595799091839E-6</v>
      </c>
      <c r="M975" s="7" t="s">
        <v>187</v>
      </c>
      <c r="N975" s="7" t="s">
        <v>188</v>
      </c>
    </row>
    <row r="976" spans="1:14" ht="18" customHeight="1">
      <c r="A976">
        <v>975</v>
      </c>
      <c r="B976" t="s">
        <v>1063</v>
      </c>
      <c r="C976" t="s">
        <v>38</v>
      </c>
      <c r="D976" s="2">
        <v>0</v>
      </c>
      <c r="E976" s="2">
        <v>0</v>
      </c>
      <c r="F976" s="2">
        <v>0</v>
      </c>
      <c r="G976" s="2">
        <v>0</v>
      </c>
      <c r="H976" s="2">
        <v>0.672624</v>
      </c>
      <c r="I976" s="2">
        <v>0</v>
      </c>
      <c r="J976" s="5">
        <f t="shared" si="30"/>
        <v>0.672624</v>
      </c>
      <c r="K976" s="5">
        <f t="shared" si="31"/>
        <v>0.672624</v>
      </c>
      <c r="L976" s="6">
        <f>K976/'Quellen &amp; Annahmen'!$B$2</f>
        <v>6.0925595799091839E-6</v>
      </c>
      <c r="M976" s="7" t="s">
        <v>187</v>
      </c>
      <c r="N976" s="7" t="s">
        <v>188</v>
      </c>
    </row>
    <row r="977" spans="1:14" ht="18" customHeight="1">
      <c r="A977">
        <v>976</v>
      </c>
      <c r="B977" t="s">
        <v>1064</v>
      </c>
      <c r="C977" t="s">
        <v>50</v>
      </c>
      <c r="D977" s="2">
        <v>0</v>
      </c>
      <c r="E977" s="2">
        <v>0</v>
      </c>
      <c r="F977" s="2">
        <v>0</v>
      </c>
      <c r="G977" s="2">
        <v>0</v>
      </c>
      <c r="H977" s="2">
        <v>0.672624</v>
      </c>
      <c r="I977" s="2">
        <v>0</v>
      </c>
      <c r="J977" s="5">
        <f t="shared" si="30"/>
        <v>0.672624</v>
      </c>
      <c r="K977" s="5">
        <f t="shared" si="31"/>
        <v>0.672624</v>
      </c>
      <c r="L977" s="6">
        <f>K977/'Quellen &amp; Annahmen'!$B$2</f>
        <v>6.0925595799091839E-6</v>
      </c>
      <c r="M977" s="7" t="s">
        <v>187</v>
      </c>
      <c r="N977" s="7" t="s">
        <v>188</v>
      </c>
    </row>
    <row r="978" spans="1:14" ht="18" customHeight="1">
      <c r="A978">
        <v>977</v>
      </c>
      <c r="B978" t="s">
        <v>1065</v>
      </c>
      <c r="C978" t="s">
        <v>50</v>
      </c>
      <c r="D978" s="2">
        <v>0</v>
      </c>
      <c r="E978" s="2">
        <v>0</v>
      </c>
      <c r="F978" s="2">
        <v>0</v>
      </c>
      <c r="G978" s="2">
        <v>0</v>
      </c>
      <c r="H978" s="2">
        <v>0.672624</v>
      </c>
      <c r="I978" s="2">
        <v>0</v>
      </c>
      <c r="J978" s="5">
        <f t="shared" si="30"/>
        <v>0.672624</v>
      </c>
      <c r="K978" s="5">
        <f t="shared" si="31"/>
        <v>0.672624</v>
      </c>
      <c r="L978" s="6">
        <f>K978/'Quellen &amp; Annahmen'!$B$2</f>
        <v>6.0925595799091839E-6</v>
      </c>
      <c r="M978" s="7" t="s">
        <v>187</v>
      </c>
      <c r="N978" s="7" t="s">
        <v>188</v>
      </c>
    </row>
    <row r="979" spans="1:14" ht="18" customHeight="1">
      <c r="A979">
        <v>978</v>
      </c>
      <c r="B979" t="s">
        <v>1066</v>
      </c>
      <c r="C979" t="s">
        <v>50</v>
      </c>
      <c r="D979" s="2">
        <v>0</v>
      </c>
      <c r="E979" s="2">
        <v>0</v>
      </c>
      <c r="F979" s="2">
        <v>0</v>
      </c>
      <c r="G979" s="2">
        <v>0</v>
      </c>
      <c r="H979" s="2">
        <v>0.672624</v>
      </c>
      <c r="I979" s="2">
        <v>0</v>
      </c>
      <c r="J979" s="5">
        <f t="shared" si="30"/>
        <v>0.672624</v>
      </c>
      <c r="K979" s="5">
        <f t="shared" si="31"/>
        <v>0.672624</v>
      </c>
      <c r="L979" s="6">
        <f>K979/'Quellen &amp; Annahmen'!$B$2</f>
        <v>6.0925595799091839E-6</v>
      </c>
      <c r="M979" s="7" t="s">
        <v>187</v>
      </c>
      <c r="N979" s="7" t="s">
        <v>188</v>
      </c>
    </row>
    <row r="980" spans="1:14" ht="18" customHeight="1">
      <c r="A980">
        <v>979</v>
      </c>
      <c r="B980" t="s">
        <v>1067</v>
      </c>
      <c r="C980" t="s">
        <v>50</v>
      </c>
      <c r="D980" s="2">
        <v>0</v>
      </c>
      <c r="E980" s="2">
        <v>0</v>
      </c>
      <c r="F980" s="2">
        <v>0</v>
      </c>
      <c r="G980" s="2">
        <v>0</v>
      </c>
      <c r="H980" s="2">
        <v>0.672624</v>
      </c>
      <c r="I980" s="2">
        <v>0</v>
      </c>
      <c r="J980" s="5">
        <f t="shared" si="30"/>
        <v>0.672624</v>
      </c>
      <c r="K980" s="5">
        <f t="shared" si="31"/>
        <v>0.672624</v>
      </c>
      <c r="L980" s="6">
        <f>K980/'Quellen &amp; Annahmen'!$B$2</f>
        <v>6.0925595799091839E-6</v>
      </c>
      <c r="M980" s="7" t="s">
        <v>187</v>
      </c>
      <c r="N980" s="7" t="s">
        <v>188</v>
      </c>
    </row>
    <row r="981" spans="1:14" ht="18" customHeight="1">
      <c r="A981">
        <v>980</v>
      </c>
      <c r="B981" t="s">
        <v>1068</v>
      </c>
      <c r="C981" t="s">
        <v>263</v>
      </c>
      <c r="D981" s="2">
        <v>0</v>
      </c>
      <c r="E981" s="2">
        <v>0</v>
      </c>
      <c r="F981" s="2">
        <v>0</v>
      </c>
      <c r="G981" s="2">
        <v>0</v>
      </c>
      <c r="H981" s="2">
        <v>0.672624</v>
      </c>
      <c r="I981" s="2">
        <v>0</v>
      </c>
      <c r="J981" s="5">
        <f t="shared" si="30"/>
        <v>0.672624</v>
      </c>
      <c r="K981" s="5">
        <f t="shared" si="31"/>
        <v>0.672624</v>
      </c>
      <c r="L981" s="6">
        <f>K981/'Quellen &amp; Annahmen'!$B$2</f>
        <v>6.0925595799091839E-6</v>
      </c>
      <c r="M981" s="7" t="s">
        <v>187</v>
      </c>
      <c r="N981" s="7" t="s">
        <v>188</v>
      </c>
    </row>
    <row r="982" spans="1:14" ht="18" customHeight="1">
      <c r="A982">
        <v>981</v>
      </c>
      <c r="B982" t="s">
        <v>1069</v>
      </c>
      <c r="C982" t="s">
        <v>23</v>
      </c>
      <c r="D982" s="2">
        <v>0</v>
      </c>
      <c r="E982" s="2">
        <v>0</v>
      </c>
      <c r="F982" s="2">
        <v>0</v>
      </c>
      <c r="G982" s="2">
        <v>0</v>
      </c>
      <c r="H982" s="2">
        <v>0.672624</v>
      </c>
      <c r="I982" s="2">
        <v>0</v>
      </c>
      <c r="J982" s="5">
        <f t="shared" si="30"/>
        <v>0.672624</v>
      </c>
      <c r="K982" s="5">
        <f t="shared" si="31"/>
        <v>0.672624</v>
      </c>
      <c r="L982" s="6">
        <f>K982/'Quellen &amp; Annahmen'!$B$2</f>
        <v>6.0925595799091839E-6</v>
      </c>
      <c r="M982" s="7" t="s">
        <v>187</v>
      </c>
      <c r="N982" s="7" t="s">
        <v>188</v>
      </c>
    </row>
    <row r="983" spans="1:14" ht="18" customHeight="1">
      <c r="A983">
        <v>982</v>
      </c>
      <c r="B983" t="s">
        <v>1070</v>
      </c>
      <c r="C983" t="s">
        <v>41</v>
      </c>
      <c r="D983" s="2">
        <v>0</v>
      </c>
      <c r="E983" s="2">
        <v>0</v>
      </c>
      <c r="F983" s="2">
        <v>0</v>
      </c>
      <c r="G983" s="2">
        <v>0</v>
      </c>
      <c r="H983" s="2">
        <v>0.672624</v>
      </c>
      <c r="I983" s="2">
        <v>0</v>
      </c>
      <c r="J983" s="5">
        <f t="shared" si="30"/>
        <v>0.672624</v>
      </c>
      <c r="K983" s="5">
        <f t="shared" si="31"/>
        <v>0.672624</v>
      </c>
      <c r="L983" s="6">
        <f>K983/'Quellen &amp; Annahmen'!$B$2</f>
        <v>6.0925595799091839E-6</v>
      </c>
      <c r="M983" s="7" t="s">
        <v>187</v>
      </c>
      <c r="N983" s="7" t="s">
        <v>188</v>
      </c>
    </row>
    <row r="984" spans="1:14" ht="18" customHeight="1">
      <c r="A984">
        <v>983</v>
      </c>
      <c r="B984" t="s">
        <v>1071</v>
      </c>
      <c r="C984" t="s">
        <v>38</v>
      </c>
      <c r="D984" s="2">
        <v>0</v>
      </c>
      <c r="E984" s="2">
        <v>0</v>
      </c>
      <c r="F984" s="2">
        <v>0</v>
      </c>
      <c r="G984" s="2">
        <v>0</v>
      </c>
      <c r="H984" s="2">
        <v>0.672624</v>
      </c>
      <c r="I984" s="2">
        <v>0</v>
      </c>
      <c r="J984" s="5">
        <f t="shared" si="30"/>
        <v>0.672624</v>
      </c>
      <c r="K984" s="5">
        <f t="shared" si="31"/>
        <v>0.672624</v>
      </c>
      <c r="L984" s="6">
        <f>K984/'Quellen &amp; Annahmen'!$B$2</f>
        <v>6.0925595799091839E-6</v>
      </c>
      <c r="M984" s="7" t="s">
        <v>187</v>
      </c>
      <c r="N984" s="7" t="s">
        <v>188</v>
      </c>
    </row>
    <row r="985" spans="1:14" ht="18" customHeight="1">
      <c r="A985">
        <v>984</v>
      </c>
      <c r="B985" t="s">
        <v>1072</v>
      </c>
      <c r="C985" t="s">
        <v>108</v>
      </c>
      <c r="D985" s="2">
        <v>0</v>
      </c>
      <c r="E985" s="2">
        <v>0</v>
      </c>
      <c r="F985" s="2">
        <v>0</v>
      </c>
      <c r="G985" s="2">
        <v>0</v>
      </c>
      <c r="H985" s="2">
        <v>0.672624</v>
      </c>
      <c r="I985" s="2">
        <v>0</v>
      </c>
      <c r="J985" s="5">
        <f t="shared" si="30"/>
        <v>0.672624</v>
      </c>
      <c r="K985" s="5">
        <f t="shared" si="31"/>
        <v>0.672624</v>
      </c>
      <c r="L985" s="6">
        <f>K985/'Quellen &amp; Annahmen'!$B$2</f>
        <v>6.0925595799091839E-6</v>
      </c>
      <c r="M985" s="7" t="s">
        <v>187</v>
      </c>
      <c r="N985" s="7" t="s">
        <v>188</v>
      </c>
    </row>
    <row r="986" spans="1:14" ht="18" customHeight="1">
      <c r="A986">
        <v>985</v>
      </c>
      <c r="B986" t="s">
        <v>1073</v>
      </c>
      <c r="C986" t="s">
        <v>50</v>
      </c>
      <c r="D986" s="2">
        <v>0</v>
      </c>
      <c r="E986" s="2">
        <v>0</v>
      </c>
      <c r="F986" s="2">
        <v>0</v>
      </c>
      <c r="G986" s="2">
        <v>0</v>
      </c>
      <c r="H986" s="2">
        <v>0.672624</v>
      </c>
      <c r="I986" s="2">
        <v>0</v>
      </c>
      <c r="J986" s="5">
        <f t="shared" si="30"/>
        <v>0.672624</v>
      </c>
      <c r="K986" s="5">
        <f t="shared" si="31"/>
        <v>0.672624</v>
      </c>
      <c r="L986" s="6">
        <f>K986/'Quellen &amp; Annahmen'!$B$2</f>
        <v>6.0925595799091839E-6</v>
      </c>
      <c r="M986" s="7" t="s">
        <v>187</v>
      </c>
      <c r="N986" s="7" t="s">
        <v>188</v>
      </c>
    </row>
    <row r="987" spans="1:14" ht="18" customHeight="1">
      <c r="A987">
        <v>986</v>
      </c>
      <c r="B987" t="s">
        <v>1074</v>
      </c>
      <c r="C987" t="s">
        <v>263</v>
      </c>
      <c r="D987" s="2">
        <v>0</v>
      </c>
      <c r="E987" s="2">
        <v>0</v>
      </c>
      <c r="F987" s="2">
        <v>0</v>
      </c>
      <c r="G987" s="2">
        <v>0</v>
      </c>
      <c r="H987" s="2">
        <v>0.672624</v>
      </c>
      <c r="I987" s="2">
        <v>0</v>
      </c>
      <c r="J987" s="5">
        <f t="shared" si="30"/>
        <v>0.672624</v>
      </c>
      <c r="K987" s="5">
        <f t="shared" si="31"/>
        <v>0.672624</v>
      </c>
      <c r="L987" s="6">
        <f>K987/'Quellen &amp; Annahmen'!$B$2</f>
        <v>6.0925595799091839E-6</v>
      </c>
      <c r="M987" s="7" t="s">
        <v>187</v>
      </c>
      <c r="N987" s="7" t="s">
        <v>188</v>
      </c>
    </row>
    <row r="988" spans="1:14" ht="18" customHeight="1">
      <c r="A988">
        <v>987</v>
      </c>
      <c r="B988" t="s">
        <v>1075</v>
      </c>
      <c r="C988" t="s">
        <v>50</v>
      </c>
      <c r="D988" s="2">
        <v>0</v>
      </c>
      <c r="E988" s="2">
        <v>0</v>
      </c>
      <c r="F988" s="2">
        <v>0</v>
      </c>
      <c r="G988" s="2">
        <v>0</v>
      </c>
      <c r="H988" s="2">
        <v>0.672624</v>
      </c>
      <c r="I988" s="2">
        <v>0</v>
      </c>
      <c r="J988" s="5">
        <f t="shared" si="30"/>
        <v>0.672624</v>
      </c>
      <c r="K988" s="5">
        <f t="shared" si="31"/>
        <v>0.672624</v>
      </c>
      <c r="L988" s="6">
        <f>K988/'Quellen &amp; Annahmen'!$B$2</f>
        <v>6.0925595799091839E-6</v>
      </c>
      <c r="M988" s="7" t="s">
        <v>187</v>
      </c>
      <c r="N988" s="7" t="s">
        <v>188</v>
      </c>
    </row>
    <row r="989" spans="1:14" ht="18" customHeight="1">
      <c r="A989">
        <v>988</v>
      </c>
      <c r="B989" t="s">
        <v>1076</v>
      </c>
      <c r="C989" t="s">
        <v>23</v>
      </c>
      <c r="D989" s="2">
        <v>0</v>
      </c>
      <c r="E989" s="2">
        <v>0</v>
      </c>
      <c r="F989" s="2">
        <v>0</v>
      </c>
      <c r="G989" s="2">
        <v>0</v>
      </c>
      <c r="H989" s="2">
        <v>0.672624</v>
      </c>
      <c r="I989" s="2">
        <v>0</v>
      </c>
      <c r="J989" s="5">
        <f t="shared" si="30"/>
        <v>0.672624</v>
      </c>
      <c r="K989" s="5">
        <f t="shared" si="31"/>
        <v>0.672624</v>
      </c>
      <c r="L989" s="6">
        <f>K989/'Quellen &amp; Annahmen'!$B$2</f>
        <v>6.0925595799091839E-6</v>
      </c>
      <c r="M989" s="7" t="s">
        <v>187</v>
      </c>
      <c r="N989" s="7" t="s">
        <v>188</v>
      </c>
    </row>
    <row r="990" spans="1:14" ht="18" customHeight="1">
      <c r="A990">
        <v>989</v>
      </c>
      <c r="B990" t="s">
        <v>1077</v>
      </c>
      <c r="C990" t="s">
        <v>50</v>
      </c>
      <c r="D990" s="2">
        <v>0</v>
      </c>
      <c r="E990" s="2">
        <v>0</v>
      </c>
      <c r="F990" s="2">
        <v>0</v>
      </c>
      <c r="G990" s="2">
        <v>0</v>
      </c>
      <c r="H990" s="2">
        <v>0.672624</v>
      </c>
      <c r="I990" s="2">
        <v>0</v>
      </c>
      <c r="J990" s="5">
        <f t="shared" si="30"/>
        <v>0.672624</v>
      </c>
      <c r="K990" s="5">
        <f t="shared" si="31"/>
        <v>0.672624</v>
      </c>
      <c r="L990" s="6">
        <f>K990/'Quellen &amp; Annahmen'!$B$2</f>
        <v>6.0925595799091839E-6</v>
      </c>
      <c r="M990" s="7" t="s">
        <v>187</v>
      </c>
      <c r="N990" s="7" t="s">
        <v>188</v>
      </c>
    </row>
    <row r="991" spans="1:14" ht="18" customHeight="1">
      <c r="A991">
        <v>990</v>
      </c>
      <c r="B991" t="s">
        <v>1078</v>
      </c>
      <c r="C991" t="s">
        <v>25</v>
      </c>
      <c r="D991" s="2">
        <v>0</v>
      </c>
      <c r="E991" s="2">
        <v>0</v>
      </c>
      <c r="F991" s="2">
        <v>0</v>
      </c>
      <c r="G991" s="2">
        <v>0</v>
      </c>
      <c r="H991" s="2">
        <v>0.672624</v>
      </c>
      <c r="I991" s="2">
        <v>0</v>
      </c>
      <c r="J991" s="5">
        <f t="shared" si="30"/>
        <v>0.672624</v>
      </c>
      <c r="K991" s="5">
        <f t="shared" si="31"/>
        <v>0.672624</v>
      </c>
      <c r="L991" s="6">
        <f>K991/'Quellen &amp; Annahmen'!$B$2</f>
        <v>6.0925595799091839E-6</v>
      </c>
      <c r="M991" s="7" t="s">
        <v>187</v>
      </c>
      <c r="N991" s="7" t="s">
        <v>188</v>
      </c>
    </row>
    <row r="992" spans="1:14" ht="18" customHeight="1">
      <c r="A992">
        <v>991</v>
      </c>
      <c r="B992" t="s">
        <v>1079</v>
      </c>
      <c r="C992" t="s">
        <v>263</v>
      </c>
      <c r="D992" s="2">
        <v>0</v>
      </c>
      <c r="E992" s="2">
        <v>0</v>
      </c>
      <c r="F992" s="2">
        <v>0</v>
      </c>
      <c r="G992" s="2">
        <v>0</v>
      </c>
      <c r="H992" s="2">
        <v>0.672624</v>
      </c>
      <c r="I992" s="2">
        <v>0</v>
      </c>
      <c r="J992" s="5">
        <f t="shared" si="30"/>
        <v>0.672624</v>
      </c>
      <c r="K992" s="5">
        <f t="shared" si="31"/>
        <v>0.672624</v>
      </c>
      <c r="L992" s="6">
        <f>K992/'Quellen &amp; Annahmen'!$B$2</f>
        <v>6.0925595799091839E-6</v>
      </c>
      <c r="M992" s="7" t="s">
        <v>187</v>
      </c>
      <c r="N992" s="7" t="s">
        <v>188</v>
      </c>
    </row>
    <row r="993" spans="1:14" ht="18" customHeight="1">
      <c r="A993">
        <v>992</v>
      </c>
      <c r="B993" t="s">
        <v>1080</v>
      </c>
      <c r="C993" t="s">
        <v>108</v>
      </c>
      <c r="D993" s="2">
        <v>0</v>
      </c>
      <c r="E993" s="2">
        <v>0</v>
      </c>
      <c r="F993" s="2">
        <v>0</v>
      </c>
      <c r="G993" s="2">
        <v>0</v>
      </c>
      <c r="H993" s="2">
        <v>0.672624</v>
      </c>
      <c r="I993" s="2">
        <v>0</v>
      </c>
      <c r="J993" s="5">
        <f t="shared" si="30"/>
        <v>0.672624</v>
      </c>
      <c r="K993" s="5">
        <f t="shared" si="31"/>
        <v>0.672624</v>
      </c>
      <c r="L993" s="6">
        <f>K993/'Quellen &amp; Annahmen'!$B$2</f>
        <v>6.0925595799091839E-6</v>
      </c>
      <c r="M993" s="7" t="s">
        <v>187</v>
      </c>
      <c r="N993" s="7" t="s">
        <v>188</v>
      </c>
    </row>
    <row r="994" spans="1:14" ht="18" customHeight="1">
      <c r="A994">
        <v>993</v>
      </c>
      <c r="B994" t="s">
        <v>1081</v>
      </c>
      <c r="C994" t="s">
        <v>253</v>
      </c>
      <c r="D994" s="2">
        <v>0</v>
      </c>
      <c r="E994" s="2">
        <v>0</v>
      </c>
      <c r="F994" s="2">
        <v>0</v>
      </c>
      <c r="G994" s="2">
        <v>0</v>
      </c>
      <c r="H994" s="2">
        <v>0.672624</v>
      </c>
      <c r="I994" s="2">
        <v>0</v>
      </c>
      <c r="J994" s="5">
        <f t="shared" si="30"/>
        <v>0.672624</v>
      </c>
      <c r="K994" s="5">
        <f t="shared" si="31"/>
        <v>0.672624</v>
      </c>
      <c r="L994" s="6">
        <f>K994/'Quellen &amp; Annahmen'!$B$2</f>
        <v>6.0925595799091839E-6</v>
      </c>
      <c r="M994" s="7" t="s">
        <v>187</v>
      </c>
      <c r="N994" s="7" t="s">
        <v>188</v>
      </c>
    </row>
    <row r="995" spans="1:14" ht="18" customHeight="1">
      <c r="A995">
        <v>994</v>
      </c>
      <c r="B995" t="s">
        <v>1082</v>
      </c>
      <c r="C995" t="s">
        <v>263</v>
      </c>
      <c r="D995" s="2">
        <v>0</v>
      </c>
      <c r="E995" s="2">
        <v>0</v>
      </c>
      <c r="F995" s="2">
        <v>0</v>
      </c>
      <c r="G995" s="2">
        <v>0</v>
      </c>
      <c r="H995" s="2">
        <v>0.672624</v>
      </c>
      <c r="I995" s="2">
        <v>0</v>
      </c>
      <c r="J995" s="5">
        <f t="shared" si="30"/>
        <v>0.672624</v>
      </c>
      <c r="K995" s="5">
        <f t="shared" si="31"/>
        <v>0.672624</v>
      </c>
      <c r="L995" s="6">
        <f>K995/'Quellen &amp; Annahmen'!$B$2</f>
        <v>6.0925595799091839E-6</v>
      </c>
      <c r="M995" s="7" t="s">
        <v>187</v>
      </c>
      <c r="N995" s="7" t="s">
        <v>188</v>
      </c>
    </row>
    <row r="996" spans="1:14" ht="18" customHeight="1">
      <c r="A996">
        <v>995</v>
      </c>
      <c r="B996" t="s">
        <v>1083</v>
      </c>
      <c r="C996" t="s">
        <v>50</v>
      </c>
      <c r="D996" s="2">
        <v>0</v>
      </c>
      <c r="E996" s="2">
        <v>0</v>
      </c>
      <c r="F996" s="2">
        <v>0</v>
      </c>
      <c r="G996" s="2">
        <v>0</v>
      </c>
      <c r="H996" s="2">
        <v>0.672624</v>
      </c>
      <c r="I996" s="2">
        <v>0</v>
      </c>
      <c r="J996" s="5">
        <f t="shared" si="30"/>
        <v>0.672624</v>
      </c>
      <c r="K996" s="5">
        <f t="shared" si="31"/>
        <v>0.672624</v>
      </c>
      <c r="L996" s="6">
        <f>K996/'Quellen &amp; Annahmen'!$B$2</f>
        <v>6.0925595799091839E-6</v>
      </c>
      <c r="M996" s="7" t="s">
        <v>187</v>
      </c>
      <c r="N996" s="7" t="s">
        <v>188</v>
      </c>
    </row>
    <row r="997" spans="1:14" ht="18" customHeight="1">
      <c r="A997">
        <v>996</v>
      </c>
      <c r="B997" t="s">
        <v>1084</v>
      </c>
      <c r="C997" t="s">
        <v>33</v>
      </c>
      <c r="D997" s="2">
        <v>0</v>
      </c>
      <c r="E997" s="2">
        <v>0</v>
      </c>
      <c r="F997" s="2">
        <v>0</v>
      </c>
      <c r="G997" s="2">
        <v>0</v>
      </c>
      <c r="H997" s="2">
        <v>0.672624</v>
      </c>
      <c r="I997" s="2">
        <v>0</v>
      </c>
      <c r="J997" s="5">
        <f t="shared" si="30"/>
        <v>0.672624</v>
      </c>
      <c r="K997" s="5">
        <f t="shared" si="31"/>
        <v>0.672624</v>
      </c>
      <c r="L997" s="6">
        <f>K997/'Quellen &amp; Annahmen'!$B$2</f>
        <v>6.0925595799091839E-6</v>
      </c>
      <c r="M997" s="7" t="s">
        <v>187</v>
      </c>
      <c r="N997" s="7" t="s">
        <v>188</v>
      </c>
    </row>
    <row r="998" spans="1:14" ht="18" customHeight="1">
      <c r="A998">
        <v>997</v>
      </c>
      <c r="B998" t="s">
        <v>1085</v>
      </c>
      <c r="C998" t="s">
        <v>263</v>
      </c>
      <c r="D998" s="2">
        <v>0</v>
      </c>
      <c r="E998" s="2">
        <v>0</v>
      </c>
      <c r="F998" s="2">
        <v>0</v>
      </c>
      <c r="G998" s="2">
        <v>0</v>
      </c>
      <c r="H998" s="2">
        <v>0.672624</v>
      </c>
      <c r="I998" s="2">
        <v>0</v>
      </c>
      <c r="J998" s="5">
        <f t="shared" si="30"/>
        <v>0.672624</v>
      </c>
      <c r="K998" s="5">
        <f t="shared" si="31"/>
        <v>0.672624</v>
      </c>
      <c r="L998" s="6">
        <f>K998/'Quellen &amp; Annahmen'!$B$2</f>
        <v>6.0925595799091839E-6</v>
      </c>
      <c r="M998" s="7" t="s">
        <v>187</v>
      </c>
      <c r="N998" s="7" t="s">
        <v>188</v>
      </c>
    </row>
    <row r="999" spans="1:14" ht="18" customHeight="1">
      <c r="A999">
        <v>998</v>
      </c>
      <c r="B999" t="s">
        <v>1086</v>
      </c>
      <c r="C999" t="s">
        <v>33</v>
      </c>
      <c r="D999" s="2">
        <v>0</v>
      </c>
      <c r="E999" s="2">
        <v>0</v>
      </c>
      <c r="F999" s="2">
        <v>0</v>
      </c>
      <c r="G999" s="2">
        <v>0</v>
      </c>
      <c r="H999" s="2">
        <v>0.672624</v>
      </c>
      <c r="I999" s="2">
        <v>0</v>
      </c>
      <c r="J999" s="5">
        <f t="shared" si="30"/>
        <v>0.672624</v>
      </c>
      <c r="K999" s="5">
        <f t="shared" si="31"/>
        <v>0.672624</v>
      </c>
      <c r="L999" s="6">
        <f>K999/'Quellen &amp; Annahmen'!$B$2</f>
        <v>6.0925595799091839E-6</v>
      </c>
      <c r="M999" s="7" t="s">
        <v>187</v>
      </c>
      <c r="N999" s="7" t="s">
        <v>188</v>
      </c>
    </row>
    <row r="1000" spans="1:14" ht="18" customHeight="1">
      <c r="A1000">
        <v>999</v>
      </c>
      <c r="B1000" t="s">
        <v>1087</v>
      </c>
      <c r="C1000" t="s">
        <v>38</v>
      </c>
      <c r="D1000" s="2">
        <v>0</v>
      </c>
      <c r="E1000" s="2">
        <v>0</v>
      </c>
      <c r="F1000" s="2">
        <v>0</v>
      </c>
      <c r="G1000" s="2">
        <v>0</v>
      </c>
      <c r="H1000" s="2">
        <v>0.672624</v>
      </c>
      <c r="I1000" s="2">
        <v>0</v>
      </c>
      <c r="J1000" s="5">
        <f t="shared" si="30"/>
        <v>0.672624</v>
      </c>
      <c r="K1000" s="5">
        <f t="shared" si="31"/>
        <v>0.672624</v>
      </c>
      <c r="L1000" s="6">
        <f>K1000/'Quellen &amp; Annahmen'!$B$2</f>
        <v>6.0925595799091839E-6</v>
      </c>
      <c r="M1000" s="7" t="s">
        <v>187</v>
      </c>
      <c r="N1000" s="7" t="s">
        <v>188</v>
      </c>
    </row>
    <row r="1001" spans="1:14" ht="18" customHeight="1">
      <c r="A1001">
        <v>1000</v>
      </c>
      <c r="B1001" t="s">
        <v>1088</v>
      </c>
      <c r="C1001" t="s">
        <v>38</v>
      </c>
      <c r="D1001" s="2">
        <v>0</v>
      </c>
      <c r="E1001" s="2">
        <v>0</v>
      </c>
      <c r="F1001" s="2">
        <v>0</v>
      </c>
      <c r="G1001" s="2">
        <v>0</v>
      </c>
      <c r="H1001" s="2">
        <v>0.672624</v>
      </c>
      <c r="I1001" s="2">
        <v>0</v>
      </c>
      <c r="J1001" s="5">
        <f t="shared" si="30"/>
        <v>0.672624</v>
      </c>
      <c r="K1001" s="5">
        <f t="shared" si="31"/>
        <v>0.672624</v>
      </c>
      <c r="L1001" s="6">
        <f>K1001/'Quellen &amp; Annahmen'!$B$2</f>
        <v>6.0925595799091839E-6</v>
      </c>
      <c r="M1001" s="7" t="s">
        <v>187</v>
      </c>
      <c r="N1001" s="7" t="s">
        <v>188</v>
      </c>
    </row>
    <row r="1002" spans="1:14" ht="18" customHeight="1">
      <c r="A1002">
        <v>1001</v>
      </c>
      <c r="B1002" t="s">
        <v>1089</v>
      </c>
      <c r="C1002" t="s">
        <v>23</v>
      </c>
      <c r="D1002" s="2">
        <v>0</v>
      </c>
      <c r="E1002" s="2">
        <v>0</v>
      </c>
      <c r="F1002" s="2">
        <v>0</v>
      </c>
      <c r="G1002" s="2">
        <v>0</v>
      </c>
      <c r="H1002" s="2">
        <v>0.672624</v>
      </c>
      <c r="I1002" s="2">
        <v>0</v>
      </c>
      <c r="J1002" s="5">
        <f t="shared" si="30"/>
        <v>0.672624</v>
      </c>
      <c r="K1002" s="5">
        <f t="shared" si="31"/>
        <v>0.672624</v>
      </c>
      <c r="L1002" s="6">
        <f>K1002/'Quellen &amp; Annahmen'!$B$2</f>
        <v>6.0925595799091839E-6</v>
      </c>
      <c r="M1002" s="7" t="s">
        <v>187</v>
      </c>
      <c r="N1002" s="7" t="s">
        <v>188</v>
      </c>
    </row>
    <row r="1003" spans="1:14" ht="18" customHeight="1">
      <c r="A1003">
        <v>1002</v>
      </c>
      <c r="B1003" t="s">
        <v>1090</v>
      </c>
      <c r="C1003" t="s">
        <v>41</v>
      </c>
      <c r="D1003" s="2">
        <v>0</v>
      </c>
      <c r="E1003" s="2">
        <v>0</v>
      </c>
      <c r="F1003" s="2">
        <v>0</v>
      </c>
      <c r="G1003" s="2">
        <v>0</v>
      </c>
      <c r="H1003" s="2">
        <v>0.672624</v>
      </c>
      <c r="I1003" s="2">
        <v>0</v>
      </c>
      <c r="J1003" s="5">
        <f t="shared" si="30"/>
        <v>0.672624</v>
      </c>
      <c r="K1003" s="5">
        <f t="shared" si="31"/>
        <v>0.672624</v>
      </c>
      <c r="L1003" s="6">
        <f>K1003/'Quellen &amp; Annahmen'!$B$2</f>
        <v>6.0925595799091839E-6</v>
      </c>
      <c r="M1003" s="7" t="s">
        <v>187</v>
      </c>
      <c r="N1003" s="7" t="s">
        <v>188</v>
      </c>
    </row>
    <row r="1004" spans="1:14" ht="18" customHeight="1">
      <c r="A1004">
        <v>1003</v>
      </c>
      <c r="B1004" t="s">
        <v>1091</v>
      </c>
      <c r="C1004" t="s">
        <v>23</v>
      </c>
      <c r="D1004" s="2">
        <v>0</v>
      </c>
      <c r="E1004" s="2">
        <v>0</v>
      </c>
      <c r="F1004" s="2">
        <v>0</v>
      </c>
      <c r="G1004" s="2">
        <v>0</v>
      </c>
      <c r="H1004" s="2">
        <v>0.672624</v>
      </c>
      <c r="I1004" s="2">
        <v>0</v>
      </c>
      <c r="J1004" s="5">
        <f t="shared" si="30"/>
        <v>0.672624</v>
      </c>
      <c r="K1004" s="5">
        <f t="shared" si="31"/>
        <v>0.672624</v>
      </c>
      <c r="L1004" s="6">
        <f>K1004/'Quellen &amp; Annahmen'!$B$2</f>
        <v>6.0925595799091839E-6</v>
      </c>
      <c r="M1004" s="7" t="s">
        <v>187</v>
      </c>
      <c r="N1004" s="7" t="s">
        <v>188</v>
      </c>
    </row>
    <row r="1005" spans="1:14" ht="18" customHeight="1">
      <c r="A1005">
        <v>1004</v>
      </c>
      <c r="B1005" t="s">
        <v>1092</v>
      </c>
      <c r="C1005" t="s">
        <v>25</v>
      </c>
      <c r="D1005" s="2">
        <v>0</v>
      </c>
      <c r="E1005" s="2">
        <v>0</v>
      </c>
      <c r="F1005" s="2">
        <v>0</v>
      </c>
      <c r="G1005" s="2">
        <v>0</v>
      </c>
      <c r="H1005" s="2">
        <v>0.672624</v>
      </c>
      <c r="I1005" s="2">
        <v>0</v>
      </c>
      <c r="J1005" s="5">
        <f t="shared" si="30"/>
        <v>0.672624</v>
      </c>
      <c r="K1005" s="5">
        <f t="shared" si="31"/>
        <v>0.672624</v>
      </c>
      <c r="L1005" s="6">
        <f>K1005/'Quellen &amp; Annahmen'!$B$2</f>
        <v>6.0925595799091839E-6</v>
      </c>
      <c r="M1005" s="7" t="s">
        <v>187</v>
      </c>
      <c r="N1005" s="7" t="s">
        <v>188</v>
      </c>
    </row>
    <row r="1006" spans="1:14" ht="18" customHeight="1">
      <c r="A1006">
        <v>1005</v>
      </c>
      <c r="B1006" t="s">
        <v>1093</v>
      </c>
      <c r="C1006" t="s">
        <v>50</v>
      </c>
      <c r="D1006" s="2">
        <v>0</v>
      </c>
      <c r="E1006" s="2">
        <v>0</v>
      </c>
      <c r="F1006" s="2">
        <v>0</v>
      </c>
      <c r="G1006" s="2">
        <v>0</v>
      </c>
      <c r="H1006" s="2">
        <v>0.672624</v>
      </c>
      <c r="I1006" s="2">
        <v>0</v>
      </c>
      <c r="J1006" s="5">
        <f t="shared" si="30"/>
        <v>0.672624</v>
      </c>
      <c r="K1006" s="5">
        <f t="shared" si="31"/>
        <v>0.672624</v>
      </c>
      <c r="L1006" s="6">
        <f>K1006/'Quellen &amp; Annahmen'!$B$2</f>
        <v>6.0925595799091839E-6</v>
      </c>
      <c r="M1006" s="7" t="s">
        <v>187</v>
      </c>
      <c r="N1006" s="7" t="s">
        <v>188</v>
      </c>
    </row>
    <row r="1007" spans="1:14" ht="18" customHeight="1">
      <c r="A1007">
        <v>1006</v>
      </c>
      <c r="B1007" t="s">
        <v>1094</v>
      </c>
      <c r="C1007" t="s">
        <v>124</v>
      </c>
      <c r="D1007" s="2">
        <v>0</v>
      </c>
      <c r="E1007" s="2">
        <v>0</v>
      </c>
      <c r="F1007" s="2">
        <v>0</v>
      </c>
      <c r="G1007" s="2">
        <v>0</v>
      </c>
      <c r="H1007" s="2">
        <v>0.672624</v>
      </c>
      <c r="I1007" s="2">
        <v>0</v>
      </c>
      <c r="J1007" s="5">
        <f t="shared" si="30"/>
        <v>0.672624</v>
      </c>
      <c r="K1007" s="5">
        <f t="shared" si="31"/>
        <v>0.672624</v>
      </c>
      <c r="L1007" s="6">
        <f>K1007/'Quellen &amp; Annahmen'!$B$2</f>
        <v>6.0925595799091839E-6</v>
      </c>
      <c r="M1007" s="7" t="s">
        <v>187</v>
      </c>
      <c r="N1007" s="7" t="s">
        <v>188</v>
      </c>
    </row>
    <row r="1008" spans="1:14" ht="18" customHeight="1">
      <c r="A1008">
        <v>1007</v>
      </c>
      <c r="B1008" t="s">
        <v>1095</v>
      </c>
      <c r="C1008" t="s">
        <v>108</v>
      </c>
      <c r="D1008" s="2">
        <v>0</v>
      </c>
      <c r="E1008" s="2">
        <v>0</v>
      </c>
      <c r="F1008" s="2">
        <v>0</v>
      </c>
      <c r="G1008" s="2">
        <v>0</v>
      </c>
      <c r="H1008" s="2">
        <v>0.672624</v>
      </c>
      <c r="I1008" s="2">
        <v>0</v>
      </c>
      <c r="J1008" s="5">
        <f t="shared" si="30"/>
        <v>0.672624</v>
      </c>
      <c r="K1008" s="5">
        <f t="shared" si="31"/>
        <v>0.672624</v>
      </c>
      <c r="L1008" s="6">
        <f>K1008/'Quellen &amp; Annahmen'!$B$2</f>
        <v>6.0925595799091839E-6</v>
      </c>
      <c r="M1008" s="7" t="s">
        <v>187</v>
      </c>
      <c r="N1008" s="7" t="s">
        <v>188</v>
      </c>
    </row>
    <row r="1009" spans="1:14" ht="18" customHeight="1">
      <c r="A1009">
        <v>1008</v>
      </c>
      <c r="B1009" t="s">
        <v>1096</v>
      </c>
      <c r="C1009" t="s">
        <v>23</v>
      </c>
      <c r="D1009" s="2">
        <v>0</v>
      </c>
      <c r="E1009" s="2">
        <v>0</v>
      </c>
      <c r="F1009" s="2">
        <v>0</v>
      </c>
      <c r="G1009" s="2">
        <v>0</v>
      </c>
      <c r="H1009" s="2">
        <v>0.672624</v>
      </c>
      <c r="I1009" s="2">
        <v>0</v>
      </c>
      <c r="J1009" s="5">
        <f t="shared" si="30"/>
        <v>0.672624</v>
      </c>
      <c r="K1009" s="5">
        <f t="shared" si="31"/>
        <v>0.672624</v>
      </c>
      <c r="L1009" s="6">
        <f>K1009/'Quellen &amp; Annahmen'!$B$2</f>
        <v>6.0925595799091839E-6</v>
      </c>
      <c r="M1009" s="7" t="s">
        <v>187</v>
      </c>
      <c r="N1009" s="7" t="s">
        <v>188</v>
      </c>
    </row>
    <row r="1010" spans="1:14" ht="18" customHeight="1">
      <c r="A1010">
        <v>1009</v>
      </c>
      <c r="B1010" t="s">
        <v>1097</v>
      </c>
      <c r="C1010" t="s">
        <v>25</v>
      </c>
      <c r="D1010" s="2">
        <v>0</v>
      </c>
      <c r="E1010" s="2">
        <v>0</v>
      </c>
      <c r="F1010" s="2">
        <v>0</v>
      </c>
      <c r="G1010" s="2">
        <v>0</v>
      </c>
      <c r="H1010" s="2">
        <v>0.672624</v>
      </c>
      <c r="I1010" s="2">
        <v>0</v>
      </c>
      <c r="J1010" s="5">
        <f t="shared" si="30"/>
        <v>0.672624</v>
      </c>
      <c r="K1010" s="5">
        <f t="shared" si="31"/>
        <v>0.672624</v>
      </c>
      <c r="L1010" s="6">
        <f>K1010/'Quellen &amp; Annahmen'!$B$2</f>
        <v>6.0925595799091839E-6</v>
      </c>
      <c r="M1010" s="7" t="s">
        <v>187</v>
      </c>
      <c r="N1010" s="7" t="s">
        <v>188</v>
      </c>
    </row>
    <row r="1011" spans="1:14" ht="18" customHeight="1">
      <c r="A1011">
        <v>1010</v>
      </c>
      <c r="B1011" t="s">
        <v>1098</v>
      </c>
      <c r="C1011" t="s">
        <v>23</v>
      </c>
      <c r="D1011" s="2">
        <v>0</v>
      </c>
      <c r="E1011" s="2">
        <v>0</v>
      </c>
      <c r="F1011" s="2">
        <v>0</v>
      </c>
      <c r="G1011" s="2">
        <v>0</v>
      </c>
      <c r="H1011" s="2">
        <v>0.672624</v>
      </c>
      <c r="I1011" s="2">
        <v>0</v>
      </c>
      <c r="J1011" s="5">
        <f t="shared" si="30"/>
        <v>0.672624</v>
      </c>
      <c r="K1011" s="5">
        <f t="shared" si="31"/>
        <v>0.672624</v>
      </c>
      <c r="L1011" s="6">
        <f>K1011/'Quellen &amp; Annahmen'!$B$2</f>
        <v>6.0925595799091839E-6</v>
      </c>
      <c r="M1011" s="7" t="s">
        <v>187</v>
      </c>
      <c r="N1011" s="7" t="s">
        <v>188</v>
      </c>
    </row>
    <row r="1012" spans="1:14" ht="18" customHeight="1">
      <c r="A1012">
        <v>1011</v>
      </c>
      <c r="B1012" t="s">
        <v>1099</v>
      </c>
      <c r="C1012" t="s">
        <v>23</v>
      </c>
      <c r="D1012" s="2">
        <v>0</v>
      </c>
      <c r="E1012" s="2">
        <v>0</v>
      </c>
      <c r="F1012" s="2">
        <v>0</v>
      </c>
      <c r="G1012" s="2">
        <v>0</v>
      </c>
      <c r="H1012" s="2">
        <v>0.672624</v>
      </c>
      <c r="I1012" s="2">
        <v>0</v>
      </c>
      <c r="J1012" s="5">
        <f t="shared" si="30"/>
        <v>0.672624</v>
      </c>
      <c r="K1012" s="5">
        <f t="shared" si="31"/>
        <v>0.672624</v>
      </c>
      <c r="L1012" s="6">
        <f>K1012/'Quellen &amp; Annahmen'!$B$2</f>
        <v>6.0925595799091839E-6</v>
      </c>
      <c r="M1012" s="7" t="s">
        <v>187</v>
      </c>
      <c r="N1012" s="7" t="s">
        <v>188</v>
      </c>
    </row>
    <row r="1013" spans="1:14" ht="18" customHeight="1">
      <c r="A1013">
        <v>1012</v>
      </c>
      <c r="B1013" t="s">
        <v>1100</v>
      </c>
      <c r="C1013" t="s">
        <v>27</v>
      </c>
      <c r="D1013" s="2">
        <v>0</v>
      </c>
      <c r="E1013" s="2">
        <v>0</v>
      </c>
      <c r="F1013" s="2">
        <v>0</v>
      </c>
      <c r="G1013" s="2">
        <v>0</v>
      </c>
      <c r="H1013" s="2">
        <v>0.672624</v>
      </c>
      <c r="I1013" s="2">
        <v>0</v>
      </c>
      <c r="J1013" s="5">
        <f t="shared" si="30"/>
        <v>0.672624</v>
      </c>
      <c r="K1013" s="5">
        <f t="shared" si="31"/>
        <v>0.672624</v>
      </c>
      <c r="L1013" s="6">
        <f>K1013/'Quellen &amp; Annahmen'!$B$2</f>
        <v>6.0925595799091839E-6</v>
      </c>
      <c r="M1013" s="7" t="s">
        <v>187</v>
      </c>
      <c r="N1013" s="7" t="s">
        <v>188</v>
      </c>
    </row>
    <row r="1014" spans="1:14" ht="18" customHeight="1">
      <c r="A1014">
        <v>1013</v>
      </c>
      <c r="B1014" t="s">
        <v>1101</v>
      </c>
      <c r="C1014" t="s">
        <v>41</v>
      </c>
      <c r="D1014" s="2">
        <v>0</v>
      </c>
      <c r="E1014" s="2">
        <v>0</v>
      </c>
      <c r="F1014" s="2">
        <v>0</v>
      </c>
      <c r="G1014" s="2">
        <v>0</v>
      </c>
      <c r="H1014" s="2">
        <v>0.672624</v>
      </c>
      <c r="I1014" s="2">
        <v>0</v>
      </c>
      <c r="J1014" s="5">
        <f t="shared" si="30"/>
        <v>0.672624</v>
      </c>
      <c r="K1014" s="5">
        <f t="shared" si="31"/>
        <v>0.672624</v>
      </c>
      <c r="L1014" s="6">
        <f>K1014/'Quellen &amp; Annahmen'!$B$2</f>
        <v>6.0925595799091839E-6</v>
      </c>
      <c r="M1014" s="7" t="s">
        <v>187</v>
      </c>
      <c r="N1014" s="7" t="s">
        <v>188</v>
      </c>
    </row>
    <row r="1015" spans="1:14" ht="18" customHeight="1">
      <c r="A1015">
        <v>1014</v>
      </c>
      <c r="B1015" t="s">
        <v>1102</v>
      </c>
      <c r="C1015" t="s">
        <v>50</v>
      </c>
      <c r="D1015" s="2">
        <v>0</v>
      </c>
      <c r="E1015" s="2">
        <v>0</v>
      </c>
      <c r="F1015" s="2">
        <v>0</v>
      </c>
      <c r="G1015" s="2">
        <v>0</v>
      </c>
      <c r="H1015" s="2">
        <v>0.672624</v>
      </c>
      <c r="I1015" s="2">
        <v>0</v>
      </c>
      <c r="J1015" s="5">
        <f t="shared" si="30"/>
        <v>0.672624</v>
      </c>
      <c r="K1015" s="5">
        <f t="shared" si="31"/>
        <v>0.672624</v>
      </c>
      <c r="L1015" s="6">
        <f>K1015/'Quellen &amp; Annahmen'!$B$2</f>
        <v>6.0925595799091839E-6</v>
      </c>
      <c r="M1015" s="7" t="s">
        <v>187</v>
      </c>
      <c r="N1015" s="7" t="s">
        <v>188</v>
      </c>
    </row>
    <row r="1016" spans="1:14" ht="18" customHeight="1">
      <c r="A1016">
        <v>1015</v>
      </c>
      <c r="B1016" t="s">
        <v>1103</v>
      </c>
      <c r="C1016" t="s">
        <v>50</v>
      </c>
      <c r="D1016" s="2">
        <v>0</v>
      </c>
      <c r="E1016" s="2">
        <v>0</v>
      </c>
      <c r="F1016" s="2">
        <v>0</v>
      </c>
      <c r="G1016" s="2">
        <v>0</v>
      </c>
      <c r="H1016" s="2">
        <v>0.672624</v>
      </c>
      <c r="I1016" s="2">
        <v>0</v>
      </c>
      <c r="J1016" s="5">
        <f t="shared" si="30"/>
        <v>0.672624</v>
      </c>
      <c r="K1016" s="5">
        <f t="shared" si="31"/>
        <v>0.672624</v>
      </c>
      <c r="L1016" s="6">
        <f>K1016/'Quellen &amp; Annahmen'!$B$2</f>
        <v>6.0925595799091839E-6</v>
      </c>
      <c r="M1016" s="7" t="s">
        <v>187</v>
      </c>
      <c r="N1016" s="7" t="s">
        <v>188</v>
      </c>
    </row>
    <row r="1017" spans="1:14" ht="18" customHeight="1">
      <c r="A1017">
        <v>1016</v>
      </c>
      <c r="B1017" t="s">
        <v>1104</v>
      </c>
      <c r="C1017" t="s">
        <v>50</v>
      </c>
      <c r="D1017" s="2">
        <v>0</v>
      </c>
      <c r="E1017" s="2">
        <v>0</v>
      </c>
      <c r="F1017" s="2">
        <v>0</v>
      </c>
      <c r="G1017" s="2">
        <v>0</v>
      </c>
      <c r="H1017" s="2">
        <v>0.672624</v>
      </c>
      <c r="I1017" s="2">
        <v>0</v>
      </c>
      <c r="J1017" s="5">
        <f t="shared" si="30"/>
        <v>0.672624</v>
      </c>
      <c r="K1017" s="5">
        <f t="shared" si="31"/>
        <v>0.672624</v>
      </c>
      <c r="L1017" s="6">
        <f>K1017/'Quellen &amp; Annahmen'!$B$2</f>
        <v>6.0925595799091839E-6</v>
      </c>
      <c r="M1017" s="7" t="s">
        <v>187</v>
      </c>
      <c r="N1017" s="7" t="s">
        <v>188</v>
      </c>
    </row>
    <row r="1018" spans="1:14" ht="18" customHeight="1">
      <c r="A1018">
        <v>1017</v>
      </c>
      <c r="B1018" t="s">
        <v>1105</v>
      </c>
      <c r="C1018" t="s">
        <v>253</v>
      </c>
      <c r="D1018" s="2">
        <v>0</v>
      </c>
      <c r="E1018" s="2">
        <v>0</v>
      </c>
      <c r="F1018" s="2">
        <v>0</v>
      </c>
      <c r="G1018" s="2">
        <v>0</v>
      </c>
      <c r="H1018" s="2">
        <v>0.672624</v>
      </c>
      <c r="I1018" s="2">
        <v>0</v>
      </c>
      <c r="J1018" s="5">
        <f t="shared" si="30"/>
        <v>0.672624</v>
      </c>
      <c r="K1018" s="5">
        <f t="shared" si="31"/>
        <v>0.672624</v>
      </c>
      <c r="L1018" s="6">
        <f>K1018/'Quellen &amp; Annahmen'!$B$2</f>
        <v>6.0925595799091839E-6</v>
      </c>
      <c r="M1018" s="7" t="s">
        <v>187</v>
      </c>
      <c r="N1018" s="7" t="s">
        <v>188</v>
      </c>
    </row>
    <row r="1019" spans="1:14" ht="18" customHeight="1">
      <c r="A1019">
        <v>1018</v>
      </c>
      <c r="B1019" t="s">
        <v>1106</v>
      </c>
      <c r="C1019" t="s">
        <v>263</v>
      </c>
      <c r="D1019" s="2">
        <v>0</v>
      </c>
      <c r="E1019" s="2">
        <v>0</v>
      </c>
      <c r="F1019" s="2">
        <v>0</v>
      </c>
      <c r="G1019" s="2">
        <v>0</v>
      </c>
      <c r="H1019" s="2">
        <v>0.672624</v>
      </c>
      <c r="I1019" s="2">
        <v>0</v>
      </c>
      <c r="J1019" s="5">
        <f t="shared" si="30"/>
        <v>0.672624</v>
      </c>
      <c r="K1019" s="5">
        <f t="shared" si="31"/>
        <v>0.672624</v>
      </c>
      <c r="L1019" s="6">
        <f>K1019/'Quellen &amp; Annahmen'!$B$2</f>
        <v>6.0925595799091839E-6</v>
      </c>
      <c r="M1019" s="7" t="s">
        <v>187</v>
      </c>
      <c r="N1019" s="7" t="s">
        <v>188</v>
      </c>
    </row>
    <row r="1020" spans="1:14" ht="18" customHeight="1">
      <c r="A1020">
        <v>1019</v>
      </c>
      <c r="B1020" t="s">
        <v>1107</v>
      </c>
      <c r="C1020" t="s">
        <v>25</v>
      </c>
      <c r="D1020" s="2">
        <v>0</v>
      </c>
      <c r="E1020" s="2">
        <v>0</v>
      </c>
      <c r="F1020" s="2">
        <v>0</v>
      </c>
      <c r="G1020" s="2">
        <v>0</v>
      </c>
      <c r="H1020" s="2">
        <v>0.672624</v>
      </c>
      <c r="I1020" s="2">
        <v>0</v>
      </c>
      <c r="J1020" s="5">
        <f t="shared" si="30"/>
        <v>0.672624</v>
      </c>
      <c r="K1020" s="5">
        <f t="shared" si="31"/>
        <v>0.672624</v>
      </c>
      <c r="L1020" s="6">
        <f>K1020/'Quellen &amp; Annahmen'!$B$2</f>
        <v>6.0925595799091839E-6</v>
      </c>
      <c r="M1020" s="7" t="s">
        <v>187</v>
      </c>
      <c r="N1020" s="7" t="s">
        <v>188</v>
      </c>
    </row>
    <row r="1021" spans="1:14" ht="18" customHeight="1">
      <c r="A1021">
        <v>1020</v>
      </c>
      <c r="B1021" t="s">
        <v>1108</v>
      </c>
      <c r="C1021" t="s">
        <v>253</v>
      </c>
      <c r="D1021" s="2">
        <v>0</v>
      </c>
      <c r="E1021" s="2">
        <v>0</v>
      </c>
      <c r="F1021" s="2">
        <v>0</v>
      </c>
      <c r="G1021" s="2">
        <v>0</v>
      </c>
      <c r="H1021" s="2">
        <v>0.672624</v>
      </c>
      <c r="I1021" s="2">
        <v>0</v>
      </c>
      <c r="J1021" s="5">
        <f t="shared" si="30"/>
        <v>0.672624</v>
      </c>
      <c r="K1021" s="5">
        <f t="shared" si="31"/>
        <v>0.672624</v>
      </c>
      <c r="L1021" s="6">
        <f>K1021/'Quellen &amp; Annahmen'!$B$2</f>
        <v>6.0925595799091839E-6</v>
      </c>
      <c r="M1021" s="7" t="s">
        <v>187</v>
      </c>
      <c r="N1021" s="7" t="s">
        <v>188</v>
      </c>
    </row>
    <row r="1022" spans="1:14" ht="18" customHeight="1">
      <c r="A1022">
        <v>1021</v>
      </c>
      <c r="B1022" t="s">
        <v>1109</v>
      </c>
      <c r="C1022" t="s">
        <v>41</v>
      </c>
      <c r="D1022" s="2">
        <v>0</v>
      </c>
      <c r="E1022" s="2">
        <v>0</v>
      </c>
      <c r="F1022" s="2">
        <v>0</v>
      </c>
      <c r="G1022" s="2">
        <v>0</v>
      </c>
      <c r="H1022" s="2">
        <v>0.672624</v>
      </c>
      <c r="I1022" s="2">
        <v>0</v>
      </c>
      <c r="J1022" s="5">
        <f t="shared" si="30"/>
        <v>0.672624</v>
      </c>
      <c r="K1022" s="5">
        <f t="shared" si="31"/>
        <v>0.672624</v>
      </c>
      <c r="L1022" s="6">
        <f>K1022/'Quellen &amp; Annahmen'!$B$2</f>
        <v>6.0925595799091839E-6</v>
      </c>
      <c r="M1022" s="7" t="s">
        <v>187</v>
      </c>
      <c r="N1022" s="7" t="s">
        <v>188</v>
      </c>
    </row>
    <row r="1023" spans="1:14" ht="18" customHeight="1">
      <c r="A1023">
        <v>1022</v>
      </c>
      <c r="B1023" t="s">
        <v>1110</v>
      </c>
      <c r="C1023" t="s">
        <v>25</v>
      </c>
      <c r="D1023" s="2">
        <v>0</v>
      </c>
      <c r="E1023" s="2">
        <v>0</v>
      </c>
      <c r="F1023" s="2">
        <v>0</v>
      </c>
      <c r="G1023" s="2">
        <v>0</v>
      </c>
      <c r="H1023" s="2">
        <v>0.672624</v>
      </c>
      <c r="I1023" s="2">
        <v>0</v>
      </c>
      <c r="J1023" s="5">
        <f t="shared" si="30"/>
        <v>0.672624</v>
      </c>
      <c r="K1023" s="5">
        <f t="shared" si="31"/>
        <v>0.672624</v>
      </c>
      <c r="L1023" s="6">
        <f>K1023/'Quellen &amp; Annahmen'!$B$2</f>
        <v>6.0925595799091839E-6</v>
      </c>
      <c r="M1023" s="7" t="s">
        <v>187</v>
      </c>
      <c r="N1023" s="7" t="s">
        <v>188</v>
      </c>
    </row>
    <row r="1024" spans="1:14" ht="18" customHeight="1">
      <c r="A1024">
        <v>1023</v>
      </c>
      <c r="B1024" t="s">
        <v>1111</v>
      </c>
      <c r="C1024" t="s">
        <v>263</v>
      </c>
      <c r="D1024" s="2">
        <v>0</v>
      </c>
      <c r="E1024" s="2">
        <v>0</v>
      </c>
      <c r="F1024" s="2">
        <v>0</v>
      </c>
      <c r="G1024" s="2">
        <v>0</v>
      </c>
      <c r="H1024" s="2">
        <v>0.672624</v>
      </c>
      <c r="I1024" s="2">
        <v>0</v>
      </c>
      <c r="J1024" s="5">
        <f t="shared" si="30"/>
        <v>0.672624</v>
      </c>
      <c r="K1024" s="5">
        <f t="shared" si="31"/>
        <v>0.672624</v>
      </c>
      <c r="L1024" s="6">
        <f>K1024/'Quellen &amp; Annahmen'!$B$2</f>
        <v>6.0925595799091839E-6</v>
      </c>
      <c r="M1024" s="7" t="s">
        <v>187</v>
      </c>
      <c r="N1024" s="7" t="s">
        <v>188</v>
      </c>
    </row>
    <row r="1025" spans="1:14" ht="18" customHeight="1">
      <c r="A1025">
        <v>1024</v>
      </c>
      <c r="B1025" t="s">
        <v>1112</v>
      </c>
      <c r="C1025" t="s">
        <v>50</v>
      </c>
      <c r="D1025" s="2">
        <v>0</v>
      </c>
      <c r="E1025" s="2">
        <v>0</v>
      </c>
      <c r="F1025" s="2">
        <v>0</v>
      </c>
      <c r="G1025" s="2">
        <v>0</v>
      </c>
      <c r="H1025" s="2">
        <v>0.672624</v>
      </c>
      <c r="I1025" s="2">
        <v>0</v>
      </c>
      <c r="J1025" s="5">
        <f t="shared" si="30"/>
        <v>0.672624</v>
      </c>
      <c r="K1025" s="5">
        <f t="shared" si="31"/>
        <v>0.672624</v>
      </c>
      <c r="L1025" s="6">
        <f>K1025/'Quellen &amp; Annahmen'!$B$2</f>
        <v>6.0925595799091839E-6</v>
      </c>
      <c r="M1025" s="7" t="s">
        <v>187</v>
      </c>
      <c r="N1025" s="7" t="s">
        <v>188</v>
      </c>
    </row>
    <row r="1026" spans="1:14" ht="18" customHeight="1">
      <c r="A1026">
        <v>1025</v>
      </c>
      <c r="B1026" t="s">
        <v>1113</v>
      </c>
      <c r="C1026" t="s">
        <v>50</v>
      </c>
      <c r="D1026" s="2">
        <v>0</v>
      </c>
      <c r="E1026" s="2">
        <v>0</v>
      </c>
      <c r="F1026" s="2">
        <v>0</v>
      </c>
      <c r="G1026" s="2">
        <v>0</v>
      </c>
      <c r="H1026" s="2">
        <v>0.672624</v>
      </c>
      <c r="I1026" s="2">
        <v>0</v>
      </c>
      <c r="J1026" s="5">
        <f t="shared" ref="J1026:J1089" si="32">SUM(E1026:I1026)</f>
        <v>0.672624</v>
      </c>
      <c r="K1026" s="5">
        <f t="shared" ref="K1026:K1089" si="33">D1026+J1026</f>
        <v>0.672624</v>
      </c>
      <c r="L1026" s="6">
        <f>K1026/'Quellen &amp; Annahmen'!$B$2</f>
        <v>6.0925595799091839E-6</v>
      </c>
      <c r="M1026" s="7" t="s">
        <v>187</v>
      </c>
      <c r="N1026" s="7" t="s">
        <v>188</v>
      </c>
    </row>
    <row r="1027" spans="1:14" ht="18" customHeight="1">
      <c r="A1027">
        <v>1026</v>
      </c>
      <c r="B1027" t="s">
        <v>1114</v>
      </c>
      <c r="C1027" t="s">
        <v>38</v>
      </c>
      <c r="D1027" s="2">
        <v>0</v>
      </c>
      <c r="E1027" s="2">
        <v>0</v>
      </c>
      <c r="F1027" s="2">
        <v>0</v>
      </c>
      <c r="G1027" s="2">
        <v>0</v>
      </c>
      <c r="H1027" s="2">
        <v>0.672624</v>
      </c>
      <c r="I1027" s="2">
        <v>0</v>
      </c>
      <c r="J1027" s="5">
        <f t="shared" si="32"/>
        <v>0.672624</v>
      </c>
      <c r="K1027" s="5">
        <f t="shared" si="33"/>
        <v>0.672624</v>
      </c>
      <c r="L1027" s="6">
        <f>K1027/'Quellen &amp; Annahmen'!$B$2</f>
        <v>6.0925595799091839E-6</v>
      </c>
      <c r="M1027" s="7" t="s">
        <v>187</v>
      </c>
      <c r="N1027" s="7" t="s">
        <v>188</v>
      </c>
    </row>
    <row r="1028" spans="1:14" ht="18" customHeight="1">
      <c r="A1028">
        <v>1027</v>
      </c>
      <c r="B1028" t="s">
        <v>1115</v>
      </c>
      <c r="C1028" t="s">
        <v>263</v>
      </c>
      <c r="D1028" s="2">
        <v>0</v>
      </c>
      <c r="E1028" s="2">
        <v>0</v>
      </c>
      <c r="F1028" s="2">
        <v>0</v>
      </c>
      <c r="G1028" s="2">
        <v>0</v>
      </c>
      <c r="H1028" s="2">
        <v>0.672624</v>
      </c>
      <c r="I1028" s="2">
        <v>0</v>
      </c>
      <c r="J1028" s="5">
        <f t="shared" si="32"/>
        <v>0.672624</v>
      </c>
      <c r="K1028" s="5">
        <f t="shared" si="33"/>
        <v>0.672624</v>
      </c>
      <c r="L1028" s="6">
        <f>K1028/'Quellen &amp; Annahmen'!$B$2</f>
        <v>6.0925595799091839E-6</v>
      </c>
      <c r="M1028" s="7" t="s">
        <v>187</v>
      </c>
      <c r="N1028" s="7" t="s">
        <v>188</v>
      </c>
    </row>
    <row r="1029" spans="1:14" ht="18" customHeight="1">
      <c r="A1029">
        <v>1028</v>
      </c>
      <c r="B1029" t="s">
        <v>1116</v>
      </c>
      <c r="C1029" t="s">
        <v>50</v>
      </c>
      <c r="D1029" s="2">
        <v>0</v>
      </c>
      <c r="E1029" s="2">
        <v>0</v>
      </c>
      <c r="F1029" s="2">
        <v>0</v>
      </c>
      <c r="G1029" s="2">
        <v>0</v>
      </c>
      <c r="H1029" s="2">
        <v>0.672624</v>
      </c>
      <c r="I1029" s="2">
        <v>0</v>
      </c>
      <c r="J1029" s="5">
        <f t="shared" si="32"/>
        <v>0.672624</v>
      </c>
      <c r="K1029" s="5">
        <f t="shared" si="33"/>
        <v>0.672624</v>
      </c>
      <c r="L1029" s="6">
        <f>K1029/'Quellen &amp; Annahmen'!$B$2</f>
        <v>6.0925595799091839E-6</v>
      </c>
      <c r="M1029" s="7" t="s">
        <v>187</v>
      </c>
      <c r="N1029" s="7" t="s">
        <v>188</v>
      </c>
    </row>
    <row r="1030" spans="1:14" ht="18" customHeight="1">
      <c r="A1030">
        <v>1029</v>
      </c>
      <c r="B1030" t="s">
        <v>1117</v>
      </c>
      <c r="C1030" t="s">
        <v>50</v>
      </c>
      <c r="D1030" s="2">
        <v>0</v>
      </c>
      <c r="E1030" s="2">
        <v>0</v>
      </c>
      <c r="F1030" s="2">
        <v>0</v>
      </c>
      <c r="G1030" s="2">
        <v>0</v>
      </c>
      <c r="H1030" s="2">
        <v>0.672624</v>
      </c>
      <c r="I1030" s="2">
        <v>0</v>
      </c>
      <c r="J1030" s="5">
        <f t="shared" si="32"/>
        <v>0.672624</v>
      </c>
      <c r="K1030" s="5">
        <f t="shared" si="33"/>
        <v>0.672624</v>
      </c>
      <c r="L1030" s="6">
        <f>K1030/'Quellen &amp; Annahmen'!$B$2</f>
        <v>6.0925595799091839E-6</v>
      </c>
      <c r="M1030" s="7" t="s">
        <v>187</v>
      </c>
      <c r="N1030" s="7" t="s">
        <v>188</v>
      </c>
    </row>
    <row r="1031" spans="1:14" ht="18" customHeight="1">
      <c r="A1031">
        <v>1030</v>
      </c>
      <c r="B1031" t="s">
        <v>1118</v>
      </c>
      <c r="C1031" t="s">
        <v>263</v>
      </c>
      <c r="D1031" s="2">
        <v>0</v>
      </c>
      <c r="E1031" s="2">
        <v>0</v>
      </c>
      <c r="F1031" s="2">
        <v>0</v>
      </c>
      <c r="G1031" s="2">
        <v>0</v>
      </c>
      <c r="H1031" s="2">
        <v>0.672624</v>
      </c>
      <c r="I1031" s="2">
        <v>0</v>
      </c>
      <c r="J1031" s="5">
        <f t="shared" si="32"/>
        <v>0.672624</v>
      </c>
      <c r="K1031" s="5">
        <f t="shared" si="33"/>
        <v>0.672624</v>
      </c>
      <c r="L1031" s="6">
        <f>K1031/'Quellen &amp; Annahmen'!$B$2</f>
        <v>6.0925595799091839E-6</v>
      </c>
      <c r="M1031" s="7" t="s">
        <v>187</v>
      </c>
      <c r="N1031" s="7" t="s">
        <v>188</v>
      </c>
    </row>
    <row r="1032" spans="1:14" ht="18" customHeight="1">
      <c r="A1032">
        <v>1031</v>
      </c>
      <c r="B1032" t="s">
        <v>1119</v>
      </c>
      <c r="C1032" t="s">
        <v>25</v>
      </c>
      <c r="D1032" s="2">
        <v>0</v>
      </c>
      <c r="E1032" s="2">
        <v>0</v>
      </c>
      <c r="F1032" s="2">
        <v>0</v>
      </c>
      <c r="G1032" s="2">
        <v>0</v>
      </c>
      <c r="H1032" s="2">
        <v>0.672624</v>
      </c>
      <c r="I1032" s="2">
        <v>0</v>
      </c>
      <c r="J1032" s="5">
        <f t="shared" si="32"/>
        <v>0.672624</v>
      </c>
      <c r="K1032" s="5">
        <f t="shared" si="33"/>
        <v>0.672624</v>
      </c>
      <c r="L1032" s="6">
        <f>K1032/'Quellen &amp; Annahmen'!$B$2</f>
        <v>6.0925595799091839E-6</v>
      </c>
      <c r="M1032" s="7" t="s">
        <v>187</v>
      </c>
      <c r="N1032" s="7" t="s">
        <v>188</v>
      </c>
    </row>
    <row r="1033" spans="1:14" ht="18" customHeight="1">
      <c r="A1033">
        <v>1032</v>
      </c>
      <c r="B1033" t="s">
        <v>1120</v>
      </c>
      <c r="C1033" t="s">
        <v>253</v>
      </c>
      <c r="D1033" s="2">
        <v>0</v>
      </c>
      <c r="E1033" s="2">
        <v>0</v>
      </c>
      <c r="F1033" s="2">
        <v>0</v>
      </c>
      <c r="G1033" s="2">
        <v>0</v>
      </c>
      <c r="H1033" s="2">
        <v>0.672624</v>
      </c>
      <c r="I1033" s="2">
        <v>0</v>
      </c>
      <c r="J1033" s="5">
        <f t="shared" si="32"/>
        <v>0.672624</v>
      </c>
      <c r="K1033" s="5">
        <f t="shared" si="33"/>
        <v>0.672624</v>
      </c>
      <c r="L1033" s="6">
        <f>K1033/'Quellen &amp; Annahmen'!$B$2</f>
        <v>6.0925595799091839E-6</v>
      </c>
      <c r="M1033" s="7" t="s">
        <v>187</v>
      </c>
      <c r="N1033" s="7" t="s">
        <v>188</v>
      </c>
    </row>
    <row r="1034" spans="1:14" ht="18" customHeight="1">
      <c r="A1034">
        <v>1033</v>
      </c>
      <c r="B1034" t="s">
        <v>1121</v>
      </c>
      <c r="C1034" t="s">
        <v>23</v>
      </c>
      <c r="D1034" s="2">
        <v>0</v>
      </c>
      <c r="E1034" s="2">
        <v>0</v>
      </c>
      <c r="F1034" s="2">
        <v>0</v>
      </c>
      <c r="G1034" s="2">
        <v>0</v>
      </c>
      <c r="H1034" s="2">
        <v>0.672624</v>
      </c>
      <c r="I1034" s="2">
        <v>0</v>
      </c>
      <c r="J1034" s="5">
        <f t="shared" si="32"/>
        <v>0.672624</v>
      </c>
      <c r="K1034" s="5">
        <f t="shared" si="33"/>
        <v>0.672624</v>
      </c>
      <c r="L1034" s="6">
        <f>K1034/'Quellen &amp; Annahmen'!$B$2</f>
        <v>6.0925595799091839E-6</v>
      </c>
      <c r="M1034" s="7" t="s">
        <v>187</v>
      </c>
      <c r="N1034" s="7" t="s">
        <v>188</v>
      </c>
    </row>
    <row r="1035" spans="1:14" ht="18" customHeight="1">
      <c r="A1035">
        <v>1034</v>
      </c>
      <c r="B1035" t="s">
        <v>1122</v>
      </c>
      <c r="C1035" t="s">
        <v>108</v>
      </c>
      <c r="D1035" s="2">
        <v>0</v>
      </c>
      <c r="E1035" s="2">
        <v>0</v>
      </c>
      <c r="F1035" s="2">
        <v>0</v>
      </c>
      <c r="G1035" s="2">
        <v>0</v>
      </c>
      <c r="H1035" s="2">
        <v>0.672624</v>
      </c>
      <c r="I1035" s="2">
        <v>0</v>
      </c>
      <c r="J1035" s="5">
        <f t="shared" si="32"/>
        <v>0.672624</v>
      </c>
      <c r="K1035" s="5">
        <f t="shared" si="33"/>
        <v>0.672624</v>
      </c>
      <c r="L1035" s="6">
        <f>K1035/'Quellen &amp; Annahmen'!$B$2</f>
        <v>6.0925595799091839E-6</v>
      </c>
      <c r="M1035" s="7" t="s">
        <v>187</v>
      </c>
      <c r="N1035" s="7" t="s">
        <v>188</v>
      </c>
    </row>
    <row r="1036" spans="1:14" ht="18" customHeight="1">
      <c r="A1036">
        <v>1035</v>
      </c>
      <c r="B1036" t="s">
        <v>1123</v>
      </c>
      <c r="C1036" t="s">
        <v>50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0.57052000000000003</v>
      </c>
      <c r="J1036" s="5">
        <f t="shared" si="32"/>
        <v>0.57052000000000003</v>
      </c>
      <c r="K1036" s="5">
        <f t="shared" si="33"/>
        <v>0.57052000000000003</v>
      </c>
      <c r="L1036" s="6">
        <f>K1036/'Quellen &amp; Annahmen'!$B$2</f>
        <v>5.1677119631916014E-6</v>
      </c>
      <c r="M1036" s="7" t="s">
        <v>943</v>
      </c>
      <c r="N1036" s="7" t="s">
        <v>944</v>
      </c>
    </row>
    <row r="1037" spans="1:14" ht="18" customHeight="1">
      <c r="A1037">
        <v>1036</v>
      </c>
      <c r="B1037" t="s">
        <v>1124</v>
      </c>
      <c r="C1037" t="s">
        <v>23</v>
      </c>
      <c r="D1037" s="2">
        <v>0</v>
      </c>
      <c r="E1037" s="2">
        <v>0</v>
      </c>
      <c r="F1037" s="2">
        <v>0</v>
      </c>
      <c r="G1037" s="2">
        <v>0</v>
      </c>
      <c r="H1037" s="2">
        <v>0.336312</v>
      </c>
      <c r="I1037" s="2">
        <v>0.22820799999999999</v>
      </c>
      <c r="J1037" s="5">
        <f t="shared" si="32"/>
        <v>0.56452000000000002</v>
      </c>
      <c r="K1037" s="5">
        <f t="shared" si="33"/>
        <v>0.56452000000000002</v>
      </c>
      <c r="L1037" s="6">
        <f>K1037/'Quellen &amp; Annahmen'!$B$2</f>
        <v>5.1133645752312323E-6</v>
      </c>
      <c r="M1037" s="7" t="s">
        <v>179</v>
      </c>
      <c r="N1037" s="7" t="s">
        <v>180</v>
      </c>
    </row>
    <row r="1038" spans="1:14" ht="18" customHeight="1">
      <c r="A1038">
        <v>1037</v>
      </c>
      <c r="B1038" t="s">
        <v>1125</v>
      </c>
      <c r="C1038" t="s">
        <v>33</v>
      </c>
      <c r="D1038" s="2">
        <v>0</v>
      </c>
      <c r="E1038" s="2">
        <v>0</v>
      </c>
      <c r="F1038" s="2">
        <v>0</v>
      </c>
      <c r="G1038" s="2">
        <v>0</v>
      </c>
      <c r="H1038" s="2">
        <v>0.336312</v>
      </c>
      <c r="I1038" s="2">
        <v>0.22820799999999999</v>
      </c>
      <c r="J1038" s="5">
        <f t="shared" si="32"/>
        <v>0.56452000000000002</v>
      </c>
      <c r="K1038" s="5">
        <f t="shared" si="33"/>
        <v>0.56452000000000002</v>
      </c>
      <c r="L1038" s="6">
        <f>K1038/'Quellen &amp; Annahmen'!$B$2</f>
        <v>5.1133645752312323E-6</v>
      </c>
      <c r="M1038" s="7" t="s">
        <v>179</v>
      </c>
      <c r="N1038" s="7" t="s">
        <v>180</v>
      </c>
    </row>
    <row r="1039" spans="1:14" ht="18" customHeight="1">
      <c r="A1039">
        <v>1038</v>
      </c>
      <c r="B1039" t="s">
        <v>1126</v>
      </c>
      <c r="C1039" t="s">
        <v>41</v>
      </c>
      <c r="D1039" s="2">
        <v>0</v>
      </c>
      <c r="E1039" s="2">
        <v>0</v>
      </c>
      <c r="F1039" s="2">
        <v>0</v>
      </c>
      <c r="G1039" s="2">
        <v>0</v>
      </c>
      <c r="H1039" s="2">
        <v>0.336312</v>
      </c>
      <c r="I1039" s="2">
        <v>0.22820799999999999</v>
      </c>
      <c r="J1039" s="5">
        <f t="shared" si="32"/>
        <v>0.56452000000000002</v>
      </c>
      <c r="K1039" s="5">
        <f t="shared" si="33"/>
        <v>0.56452000000000002</v>
      </c>
      <c r="L1039" s="6">
        <f>K1039/'Quellen &amp; Annahmen'!$B$2</f>
        <v>5.1133645752312323E-6</v>
      </c>
      <c r="M1039" s="7" t="s">
        <v>179</v>
      </c>
      <c r="N1039" s="7" t="s">
        <v>180</v>
      </c>
    </row>
    <row r="1040" spans="1:14" ht="18" customHeight="1">
      <c r="A1040">
        <v>1039</v>
      </c>
      <c r="B1040" t="s">
        <v>1127</v>
      </c>
      <c r="C1040" t="s">
        <v>41</v>
      </c>
      <c r="D1040" s="2">
        <v>0</v>
      </c>
      <c r="E1040" s="2">
        <v>0</v>
      </c>
      <c r="F1040" s="2">
        <v>0</v>
      </c>
      <c r="G1040" s="2">
        <v>0</v>
      </c>
      <c r="H1040" s="2">
        <v>0.336312</v>
      </c>
      <c r="I1040" s="2">
        <v>0.22820799999999999</v>
      </c>
      <c r="J1040" s="5">
        <f t="shared" si="32"/>
        <v>0.56452000000000002</v>
      </c>
      <c r="K1040" s="5">
        <f t="shared" si="33"/>
        <v>0.56452000000000002</v>
      </c>
      <c r="L1040" s="6">
        <f>K1040/'Quellen &amp; Annahmen'!$B$2</f>
        <v>5.1133645752312323E-6</v>
      </c>
      <c r="M1040" s="7" t="s">
        <v>179</v>
      </c>
      <c r="N1040" s="7" t="s">
        <v>180</v>
      </c>
    </row>
    <row r="1041" spans="1:14" ht="18" customHeight="1">
      <c r="A1041">
        <v>1040</v>
      </c>
      <c r="B1041" t="s">
        <v>1128</v>
      </c>
      <c r="C1041" t="s">
        <v>108</v>
      </c>
      <c r="D1041" s="2">
        <v>0</v>
      </c>
      <c r="E1041" s="2">
        <v>0</v>
      </c>
      <c r="F1041" s="2">
        <v>0</v>
      </c>
      <c r="G1041" s="2">
        <v>0</v>
      </c>
      <c r="H1041" s="2">
        <v>0.336312</v>
      </c>
      <c r="I1041" s="2">
        <v>0.22820799999999999</v>
      </c>
      <c r="J1041" s="5">
        <f t="shared" si="32"/>
        <v>0.56452000000000002</v>
      </c>
      <c r="K1041" s="5">
        <f t="shared" si="33"/>
        <v>0.56452000000000002</v>
      </c>
      <c r="L1041" s="6">
        <f>K1041/'Quellen &amp; Annahmen'!$B$2</f>
        <v>5.1133645752312323E-6</v>
      </c>
      <c r="M1041" s="7" t="s">
        <v>179</v>
      </c>
      <c r="N1041" s="7" t="s">
        <v>180</v>
      </c>
    </row>
    <row r="1042" spans="1:14" ht="18" customHeight="1">
      <c r="A1042">
        <v>1041</v>
      </c>
      <c r="B1042" t="s">
        <v>1129</v>
      </c>
      <c r="C1042" t="s">
        <v>50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0.45641599999999999</v>
      </c>
      <c r="J1042" s="5">
        <f t="shared" si="32"/>
        <v>0.45641599999999999</v>
      </c>
      <c r="K1042" s="5">
        <f t="shared" si="33"/>
        <v>0.45641599999999999</v>
      </c>
      <c r="L1042" s="6">
        <f>K1042/'Quellen &amp; Annahmen'!$B$2</f>
        <v>4.1341695705532808E-6</v>
      </c>
      <c r="M1042" s="7" t="s">
        <v>943</v>
      </c>
      <c r="N1042" s="7" t="s">
        <v>944</v>
      </c>
    </row>
    <row r="1043" spans="1:14" ht="18" customHeight="1">
      <c r="A1043">
        <v>1042</v>
      </c>
      <c r="B1043" t="s">
        <v>1130</v>
      </c>
      <c r="C1043" t="s">
        <v>23</v>
      </c>
      <c r="D1043" s="2">
        <v>0</v>
      </c>
      <c r="E1043" s="2">
        <v>0</v>
      </c>
      <c r="F1043" s="2">
        <v>0</v>
      </c>
      <c r="G1043" s="2">
        <v>0</v>
      </c>
      <c r="H1043" s="2">
        <v>0.336312</v>
      </c>
      <c r="I1043" s="2">
        <v>0.114104</v>
      </c>
      <c r="J1043" s="5">
        <f t="shared" si="32"/>
        <v>0.45041599999999998</v>
      </c>
      <c r="K1043" s="5">
        <f t="shared" si="33"/>
        <v>0.45041599999999998</v>
      </c>
      <c r="L1043" s="6">
        <f>K1043/'Quellen &amp; Annahmen'!$B$2</f>
        <v>4.0798221825929117E-6</v>
      </c>
      <c r="M1043" s="7" t="s">
        <v>179</v>
      </c>
      <c r="N1043" s="7" t="s">
        <v>180</v>
      </c>
    </row>
    <row r="1044" spans="1:14" ht="18" customHeight="1">
      <c r="A1044">
        <v>1043</v>
      </c>
      <c r="B1044" t="s">
        <v>1131</v>
      </c>
      <c r="C1044" t="s">
        <v>23</v>
      </c>
      <c r="D1044" s="2">
        <v>0</v>
      </c>
      <c r="E1044" s="2">
        <v>0</v>
      </c>
      <c r="F1044" s="2">
        <v>0</v>
      </c>
      <c r="G1044" s="2">
        <v>0</v>
      </c>
      <c r="H1044" s="2">
        <v>0.336312</v>
      </c>
      <c r="I1044" s="2">
        <v>0.114104</v>
      </c>
      <c r="J1044" s="5">
        <f t="shared" si="32"/>
        <v>0.45041599999999998</v>
      </c>
      <c r="K1044" s="5">
        <f t="shared" si="33"/>
        <v>0.45041599999999998</v>
      </c>
      <c r="L1044" s="6">
        <f>K1044/'Quellen &amp; Annahmen'!$B$2</f>
        <v>4.0798221825929117E-6</v>
      </c>
      <c r="M1044" s="7" t="s">
        <v>179</v>
      </c>
      <c r="N1044" s="7" t="s">
        <v>180</v>
      </c>
    </row>
    <row r="1045" spans="1:14" ht="18" customHeight="1">
      <c r="A1045">
        <v>1044</v>
      </c>
      <c r="B1045" t="s">
        <v>1132</v>
      </c>
      <c r="C1045" t="s">
        <v>253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0.34231200000000001</v>
      </c>
      <c r="J1045" s="5">
        <f t="shared" si="32"/>
        <v>0.34231200000000001</v>
      </c>
      <c r="K1045" s="5">
        <f t="shared" si="33"/>
        <v>0.34231200000000001</v>
      </c>
      <c r="L1045" s="6">
        <f>K1045/'Quellen &amp; Annahmen'!$B$2</f>
        <v>3.1006271779149606E-6</v>
      </c>
      <c r="M1045" s="7" t="s">
        <v>943</v>
      </c>
      <c r="N1045" s="7" t="s">
        <v>944</v>
      </c>
    </row>
    <row r="1046" spans="1:14" ht="18" customHeight="1">
      <c r="A1046">
        <v>1045</v>
      </c>
      <c r="B1046" t="s">
        <v>1133</v>
      </c>
      <c r="C1046" t="s">
        <v>263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0.34231200000000001</v>
      </c>
      <c r="J1046" s="5">
        <f t="shared" si="32"/>
        <v>0.34231200000000001</v>
      </c>
      <c r="K1046" s="5">
        <f t="shared" si="33"/>
        <v>0.34231200000000001</v>
      </c>
      <c r="L1046" s="6">
        <f>K1046/'Quellen &amp; Annahmen'!$B$2</f>
        <v>3.1006271779149606E-6</v>
      </c>
      <c r="M1046" s="7" t="s">
        <v>943</v>
      </c>
      <c r="N1046" s="7" t="s">
        <v>944</v>
      </c>
    </row>
    <row r="1047" spans="1:14" ht="18" customHeight="1">
      <c r="A1047">
        <v>1046</v>
      </c>
      <c r="B1047" t="s">
        <v>1134</v>
      </c>
      <c r="C1047" t="s">
        <v>23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0.34231200000000001</v>
      </c>
      <c r="J1047" s="5">
        <f t="shared" si="32"/>
        <v>0.34231200000000001</v>
      </c>
      <c r="K1047" s="5">
        <f t="shared" si="33"/>
        <v>0.34231200000000001</v>
      </c>
      <c r="L1047" s="6">
        <f>K1047/'Quellen &amp; Annahmen'!$B$2</f>
        <v>3.1006271779149606E-6</v>
      </c>
      <c r="M1047" s="7" t="s">
        <v>943</v>
      </c>
      <c r="N1047" s="7" t="s">
        <v>944</v>
      </c>
    </row>
    <row r="1048" spans="1:14" ht="18" customHeight="1">
      <c r="A1048">
        <v>1047</v>
      </c>
      <c r="B1048" t="s">
        <v>1135</v>
      </c>
      <c r="C1048" t="s">
        <v>108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0.34231200000000001</v>
      </c>
      <c r="J1048" s="5">
        <f t="shared" si="32"/>
        <v>0.34231200000000001</v>
      </c>
      <c r="K1048" s="5">
        <f t="shared" si="33"/>
        <v>0.34231200000000001</v>
      </c>
      <c r="L1048" s="6">
        <f>K1048/'Quellen &amp; Annahmen'!$B$2</f>
        <v>3.1006271779149606E-6</v>
      </c>
      <c r="M1048" s="7" t="s">
        <v>943</v>
      </c>
      <c r="N1048" s="7" t="s">
        <v>944</v>
      </c>
    </row>
    <row r="1049" spans="1:14" ht="18" customHeight="1">
      <c r="A1049">
        <v>1048</v>
      </c>
      <c r="B1049" t="s">
        <v>1136</v>
      </c>
      <c r="C1049" t="s">
        <v>23</v>
      </c>
      <c r="D1049" s="2">
        <v>0</v>
      </c>
      <c r="E1049" s="2">
        <v>0</v>
      </c>
      <c r="F1049" s="2">
        <v>0</v>
      </c>
      <c r="G1049" s="2">
        <v>0</v>
      </c>
      <c r="H1049" s="2">
        <v>0.336312</v>
      </c>
      <c r="I1049" s="2">
        <v>0</v>
      </c>
      <c r="J1049" s="5">
        <f t="shared" si="32"/>
        <v>0.336312</v>
      </c>
      <c r="K1049" s="5">
        <f t="shared" si="33"/>
        <v>0.336312</v>
      </c>
      <c r="L1049" s="6">
        <f>K1049/'Quellen &amp; Annahmen'!$B$2</f>
        <v>3.046279789954592E-6</v>
      </c>
      <c r="M1049" s="7" t="s">
        <v>187</v>
      </c>
      <c r="N1049" s="7" t="s">
        <v>188</v>
      </c>
    </row>
    <row r="1050" spans="1:14" ht="18" customHeight="1">
      <c r="A1050">
        <v>1049</v>
      </c>
      <c r="B1050" t="s">
        <v>1137</v>
      </c>
      <c r="C1050" t="s">
        <v>41</v>
      </c>
      <c r="D1050" s="2">
        <v>0</v>
      </c>
      <c r="E1050" s="2">
        <v>0</v>
      </c>
      <c r="F1050" s="2">
        <v>0</v>
      </c>
      <c r="G1050" s="2">
        <v>0</v>
      </c>
      <c r="H1050" s="2">
        <v>0.336312</v>
      </c>
      <c r="I1050" s="2">
        <v>0</v>
      </c>
      <c r="J1050" s="5">
        <f t="shared" si="32"/>
        <v>0.336312</v>
      </c>
      <c r="K1050" s="5">
        <f t="shared" si="33"/>
        <v>0.336312</v>
      </c>
      <c r="L1050" s="6">
        <f>K1050/'Quellen &amp; Annahmen'!$B$2</f>
        <v>3.046279789954592E-6</v>
      </c>
      <c r="M1050" s="7" t="s">
        <v>187</v>
      </c>
      <c r="N1050" s="7" t="s">
        <v>188</v>
      </c>
    </row>
    <row r="1051" spans="1:14" ht="18" customHeight="1">
      <c r="A1051">
        <v>1050</v>
      </c>
      <c r="B1051" t="s">
        <v>1138</v>
      </c>
      <c r="C1051" t="s">
        <v>23</v>
      </c>
      <c r="D1051" s="2">
        <v>0</v>
      </c>
      <c r="E1051" s="2">
        <v>0</v>
      </c>
      <c r="F1051" s="2">
        <v>0</v>
      </c>
      <c r="G1051" s="2">
        <v>0</v>
      </c>
      <c r="H1051" s="2">
        <v>0.336312</v>
      </c>
      <c r="I1051" s="2">
        <v>0</v>
      </c>
      <c r="J1051" s="5">
        <f t="shared" si="32"/>
        <v>0.336312</v>
      </c>
      <c r="K1051" s="5">
        <f t="shared" si="33"/>
        <v>0.336312</v>
      </c>
      <c r="L1051" s="6">
        <f>K1051/'Quellen &amp; Annahmen'!$B$2</f>
        <v>3.046279789954592E-6</v>
      </c>
      <c r="M1051" s="7" t="s">
        <v>187</v>
      </c>
      <c r="N1051" s="7" t="s">
        <v>188</v>
      </c>
    </row>
    <row r="1052" spans="1:14" ht="18" customHeight="1">
      <c r="A1052">
        <v>1051</v>
      </c>
      <c r="B1052" t="s">
        <v>1139</v>
      </c>
      <c r="C1052" t="s">
        <v>33</v>
      </c>
      <c r="D1052" s="2">
        <v>0</v>
      </c>
      <c r="E1052" s="2">
        <v>0</v>
      </c>
      <c r="F1052" s="2">
        <v>0</v>
      </c>
      <c r="G1052" s="2">
        <v>0</v>
      </c>
      <c r="H1052" s="2">
        <v>0.336312</v>
      </c>
      <c r="I1052" s="2">
        <v>0</v>
      </c>
      <c r="J1052" s="5">
        <f t="shared" si="32"/>
        <v>0.336312</v>
      </c>
      <c r="K1052" s="5">
        <f t="shared" si="33"/>
        <v>0.336312</v>
      </c>
      <c r="L1052" s="6">
        <f>K1052/'Quellen &amp; Annahmen'!$B$2</f>
        <v>3.046279789954592E-6</v>
      </c>
      <c r="M1052" s="7" t="s">
        <v>187</v>
      </c>
      <c r="N1052" s="7" t="s">
        <v>188</v>
      </c>
    </row>
    <row r="1053" spans="1:14" ht="18" customHeight="1">
      <c r="A1053">
        <v>1052</v>
      </c>
      <c r="B1053" t="s">
        <v>1140</v>
      </c>
      <c r="C1053" t="s">
        <v>38</v>
      </c>
      <c r="D1053" s="2">
        <v>0</v>
      </c>
      <c r="E1053" s="2">
        <v>0</v>
      </c>
      <c r="F1053" s="2">
        <v>0</v>
      </c>
      <c r="G1053" s="2">
        <v>0</v>
      </c>
      <c r="H1053" s="2">
        <v>0.336312</v>
      </c>
      <c r="I1053" s="2">
        <v>0</v>
      </c>
      <c r="J1053" s="5">
        <f t="shared" si="32"/>
        <v>0.336312</v>
      </c>
      <c r="K1053" s="5">
        <f t="shared" si="33"/>
        <v>0.336312</v>
      </c>
      <c r="L1053" s="6">
        <f>K1053/'Quellen &amp; Annahmen'!$B$2</f>
        <v>3.046279789954592E-6</v>
      </c>
      <c r="M1053" s="7" t="s">
        <v>187</v>
      </c>
      <c r="N1053" s="7" t="s">
        <v>188</v>
      </c>
    </row>
    <row r="1054" spans="1:14" ht="18" customHeight="1">
      <c r="A1054">
        <v>1053</v>
      </c>
      <c r="B1054" t="s">
        <v>1141</v>
      </c>
      <c r="C1054" t="s">
        <v>25</v>
      </c>
      <c r="D1054" s="2">
        <v>0</v>
      </c>
      <c r="E1054" s="2">
        <v>0</v>
      </c>
      <c r="F1054" s="2">
        <v>0</v>
      </c>
      <c r="G1054" s="2">
        <v>0</v>
      </c>
      <c r="H1054" s="2">
        <v>0.336312</v>
      </c>
      <c r="I1054" s="2">
        <v>0</v>
      </c>
      <c r="J1054" s="5">
        <f t="shared" si="32"/>
        <v>0.336312</v>
      </c>
      <c r="K1054" s="5">
        <f t="shared" si="33"/>
        <v>0.336312</v>
      </c>
      <c r="L1054" s="6">
        <f>K1054/'Quellen &amp; Annahmen'!$B$2</f>
        <v>3.046279789954592E-6</v>
      </c>
      <c r="M1054" s="7" t="s">
        <v>187</v>
      </c>
      <c r="N1054" s="7" t="s">
        <v>188</v>
      </c>
    </row>
    <row r="1055" spans="1:14" ht="18" customHeight="1">
      <c r="A1055">
        <v>1054</v>
      </c>
      <c r="B1055" t="s">
        <v>1142</v>
      </c>
      <c r="C1055" t="s">
        <v>23</v>
      </c>
      <c r="D1055" s="2">
        <v>0</v>
      </c>
      <c r="E1055" s="2">
        <v>0</v>
      </c>
      <c r="F1055" s="2">
        <v>0</v>
      </c>
      <c r="G1055" s="2">
        <v>0</v>
      </c>
      <c r="H1055" s="2">
        <v>0.336312</v>
      </c>
      <c r="I1055" s="2">
        <v>0</v>
      </c>
      <c r="J1055" s="5">
        <f t="shared" si="32"/>
        <v>0.336312</v>
      </c>
      <c r="K1055" s="5">
        <f t="shared" si="33"/>
        <v>0.336312</v>
      </c>
      <c r="L1055" s="6">
        <f>K1055/'Quellen &amp; Annahmen'!$B$2</f>
        <v>3.046279789954592E-6</v>
      </c>
      <c r="M1055" s="7" t="s">
        <v>187</v>
      </c>
      <c r="N1055" s="7" t="s">
        <v>188</v>
      </c>
    </row>
    <row r="1056" spans="1:14" ht="18" customHeight="1">
      <c r="A1056">
        <v>1055</v>
      </c>
      <c r="B1056" t="s">
        <v>1143</v>
      </c>
      <c r="C1056" t="s">
        <v>41</v>
      </c>
      <c r="D1056" s="2">
        <v>0</v>
      </c>
      <c r="E1056" s="2">
        <v>0</v>
      </c>
      <c r="F1056" s="2">
        <v>0</v>
      </c>
      <c r="G1056" s="2">
        <v>0</v>
      </c>
      <c r="H1056" s="2">
        <v>0.336312</v>
      </c>
      <c r="I1056" s="2">
        <v>0</v>
      </c>
      <c r="J1056" s="5">
        <f t="shared" si="32"/>
        <v>0.336312</v>
      </c>
      <c r="K1056" s="5">
        <f t="shared" si="33"/>
        <v>0.336312</v>
      </c>
      <c r="L1056" s="6">
        <f>K1056/'Quellen &amp; Annahmen'!$B$2</f>
        <v>3.046279789954592E-6</v>
      </c>
      <c r="M1056" s="7" t="s">
        <v>187</v>
      </c>
      <c r="N1056" s="7" t="s">
        <v>188</v>
      </c>
    </row>
    <row r="1057" spans="1:14" ht="18" customHeight="1">
      <c r="A1057">
        <v>1056</v>
      </c>
      <c r="B1057" t="s">
        <v>1144</v>
      </c>
      <c r="C1057" t="s">
        <v>38</v>
      </c>
      <c r="D1057" s="2">
        <v>0</v>
      </c>
      <c r="E1057" s="2">
        <v>0</v>
      </c>
      <c r="F1057" s="2">
        <v>0</v>
      </c>
      <c r="G1057" s="2">
        <v>0</v>
      </c>
      <c r="H1057" s="2">
        <v>0.336312</v>
      </c>
      <c r="I1057" s="2">
        <v>0</v>
      </c>
      <c r="J1057" s="5">
        <f t="shared" si="32"/>
        <v>0.336312</v>
      </c>
      <c r="K1057" s="5">
        <f t="shared" si="33"/>
        <v>0.336312</v>
      </c>
      <c r="L1057" s="6">
        <f>K1057/'Quellen &amp; Annahmen'!$B$2</f>
        <v>3.046279789954592E-6</v>
      </c>
      <c r="M1057" s="7" t="s">
        <v>187</v>
      </c>
      <c r="N1057" s="7" t="s">
        <v>188</v>
      </c>
    </row>
    <row r="1058" spans="1:14" ht="18" customHeight="1">
      <c r="A1058">
        <v>1057</v>
      </c>
      <c r="B1058" t="s">
        <v>1145</v>
      </c>
      <c r="C1058" t="s">
        <v>25</v>
      </c>
      <c r="D1058" s="2">
        <v>0</v>
      </c>
      <c r="E1058" s="2">
        <v>0</v>
      </c>
      <c r="F1058" s="2">
        <v>0</v>
      </c>
      <c r="G1058" s="2">
        <v>0</v>
      </c>
      <c r="H1058" s="2">
        <v>0.336312</v>
      </c>
      <c r="I1058" s="2">
        <v>0</v>
      </c>
      <c r="J1058" s="5">
        <f t="shared" si="32"/>
        <v>0.336312</v>
      </c>
      <c r="K1058" s="5">
        <f t="shared" si="33"/>
        <v>0.336312</v>
      </c>
      <c r="L1058" s="6">
        <f>K1058/'Quellen &amp; Annahmen'!$B$2</f>
        <v>3.046279789954592E-6</v>
      </c>
      <c r="M1058" s="7" t="s">
        <v>187</v>
      </c>
      <c r="N1058" s="7" t="s">
        <v>188</v>
      </c>
    </row>
    <row r="1059" spans="1:14" ht="18" customHeight="1">
      <c r="A1059">
        <v>1058</v>
      </c>
      <c r="B1059" t="s">
        <v>1146</v>
      </c>
      <c r="C1059" t="s">
        <v>23</v>
      </c>
      <c r="D1059" s="2">
        <v>0</v>
      </c>
      <c r="E1059" s="2">
        <v>0</v>
      </c>
      <c r="F1059" s="2">
        <v>0</v>
      </c>
      <c r="G1059" s="2">
        <v>0</v>
      </c>
      <c r="H1059" s="2">
        <v>0.336312</v>
      </c>
      <c r="I1059" s="2">
        <v>0</v>
      </c>
      <c r="J1059" s="5">
        <f t="shared" si="32"/>
        <v>0.336312</v>
      </c>
      <c r="K1059" s="5">
        <f t="shared" si="33"/>
        <v>0.336312</v>
      </c>
      <c r="L1059" s="6">
        <f>K1059/'Quellen &amp; Annahmen'!$B$2</f>
        <v>3.046279789954592E-6</v>
      </c>
      <c r="M1059" s="7" t="s">
        <v>187</v>
      </c>
      <c r="N1059" s="7" t="s">
        <v>188</v>
      </c>
    </row>
    <row r="1060" spans="1:14" ht="18" customHeight="1">
      <c r="A1060">
        <v>1059</v>
      </c>
      <c r="B1060" t="s">
        <v>1147</v>
      </c>
      <c r="C1060" t="s">
        <v>38</v>
      </c>
      <c r="D1060" s="2">
        <v>0</v>
      </c>
      <c r="E1060" s="2">
        <v>0</v>
      </c>
      <c r="F1060" s="2">
        <v>0</v>
      </c>
      <c r="G1060" s="2">
        <v>0</v>
      </c>
      <c r="H1060" s="2">
        <v>0.336312</v>
      </c>
      <c r="I1060" s="2">
        <v>0</v>
      </c>
      <c r="J1060" s="5">
        <f t="shared" si="32"/>
        <v>0.336312</v>
      </c>
      <c r="K1060" s="5">
        <f t="shared" si="33"/>
        <v>0.336312</v>
      </c>
      <c r="L1060" s="6">
        <f>K1060/'Quellen &amp; Annahmen'!$B$2</f>
        <v>3.046279789954592E-6</v>
      </c>
      <c r="M1060" s="7" t="s">
        <v>187</v>
      </c>
      <c r="N1060" s="7" t="s">
        <v>188</v>
      </c>
    </row>
    <row r="1061" spans="1:14" ht="18" customHeight="1">
      <c r="A1061">
        <v>1060</v>
      </c>
      <c r="B1061" t="s">
        <v>1148</v>
      </c>
      <c r="C1061" t="s">
        <v>41</v>
      </c>
      <c r="D1061" s="2">
        <v>0</v>
      </c>
      <c r="E1061" s="2">
        <v>0</v>
      </c>
      <c r="F1061" s="2">
        <v>0</v>
      </c>
      <c r="G1061" s="2">
        <v>0</v>
      </c>
      <c r="H1061" s="2">
        <v>0.336312</v>
      </c>
      <c r="I1061" s="2">
        <v>0</v>
      </c>
      <c r="J1061" s="5">
        <f t="shared" si="32"/>
        <v>0.336312</v>
      </c>
      <c r="K1061" s="5">
        <f t="shared" si="33"/>
        <v>0.336312</v>
      </c>
      <c r="L1061" s="6">
        <f>K1061/'Quellen &amp; Annahmen'!$B$2</f>
        <v>3.046279789954592E-6</v>
      </c>
      <c r="M1061" s="7" t="s">
        <v>187</v>
      </c>
      <c r="N1061" s="7" t="s">
        <v>188</v>
      </c>
    </row>
    <row r="1062" spans="1:14" ht="18" customHeight="1">
      <c r="A1062">
        <v>1061</v>
      </c>
      <c r="B1062" t="s">
        <v>1149</v>
      </c>
      <c r="C1062" t="s">
        <v>27</v>
      </c>
      <c r="D1062" s="2">
        <v>0</v>
      </c>
      <c r="E1062" s="2">
        <v>0</v>
      </c>
      <c r="F1062" s="2">
        <v>0</v>
      </c>
      <c r="G1062" s="2">
        <v>0</v>
      </c>
      <c r="H1062" s="2">
        <v>0.336312</v>
      </c>
      <c r="I1062" s="2">
        <v>0</v>
      </c>
      <c r="J1062" s="5">
        <f t="shared" si="32"/>
        <v>0.336312</v>
      </c>
      <c r="K1062" s="5">
        <f t="shared" si="33"/>
        <v>0.336312</v>
      </c>
      <c r="L1062" s="6">
        <f>K1062/'Quellen &amp; Annahmen'!$B$2</f>
        <v>3.046279789954592E-6</v>
      </c>
      <c r="M1062" s="7" t="s">
        <v>187</v>
      </c>
      <c r="N1062" s="7" t="s">
        <v>188</v>
      </c>
    </row>
    <row r="1063" spans="1:14" ht="18" customHeight="1">
      <c r="A1063">
        <v>1062</v>
      </c>
      <c r="B1063" t="s">
        <v>1150</v>
      </c>
      <c r="C1063" t="s">
        <v>108</v>
      </c>
      <c r="D1063" s="2">
        <v>0</v>
      </c>
      <c r="E1063" s="2">
        <v>0</v>
      </c>
      <c r="F1063" s="2">
        <v>0</v>
      </c>
      <c r="G1063" s="2">
        <v>0</v>
      </c>
      <c r="H1063" s="2">
        <v>0.336312</v>
      </c>
      <c r="I1063" s="2">
        <v>0</v>
      </c>
      <c r="J1063" s="5">
        <f t="shared" si="32"/>
        <v>0.336312</v>
      </c>
      <c r="K1063" s="5">
        <f t="shared" si="33"/>
        <v>0.336312</v>
      </c>
      <c r="L1063" s="6">
        <f>K1063/'Quellen &amp; Annahmen'!$B$2</f>
        <v>3.046279789954592E-6</v>
      </c>
      <c r="M1063" s="7" t="s">
        <v>187</v>
      </c>
      <c r="N1063" s="7" t="s">
        <v>188</v>
      </c>
    </row>
    <row r="1064" spans="1:14" ht="18" customHeight="1">
      <c r="A1064">
        <v>1063</v>
      </c>
      <c r="B1064" t="s">
        <v>1151</v>
      </c>
      <c r="C1064" t="s">
        <v>253</v>
      </c>
      <c r="D1064" s="2">
        <v>0</v>
      </c>
      <c r="E1064" s="2">
        <v>0</v>
      </c>
      <c r="F1064" s="2">
        <v>0</v>
      </c>
      <c r="G1064" s="2">
        <v>0</v>
      </c>
      <c r="H1064" s="2">
        <v>0.336312</v>
      </c>
      <c r="I1064" s="2">
        <v>0</v>
      </c>
      <c r="J1064" s="5">
        <f t="shared" si="32"/>
        <v>0.336312</v>
      </c>
      <c r="K1064" s="5">
        <f t="shared" si="33"/>
        <v>0.336312</v>
      </c>
      <c r="L1064" s="6">
        <f>K1064/'Quellen &amp; Annahmen'!$B$2</f>
        <v>3.046279789954592E-6</v>
      </c>
      <c r="M1064" s="7" t="s">
        <v>187</v>
      </c>
      <c r="N1064" s="7" t="s">
        <v>188</v>
      </c>
    </row>
    <row r="1065" spans="1:14" ht="18" customHeight="1">
      <c r="A1065">
        <v>1064</v>
      </c>
      <c r="B1065" t="s">
        <v>1152</v>
      </c>
      <c r="C1065" t="s">
        <v>41</v>
      </c>
      <c r="D1065" s="2">
        <v>0</v>
      </c>
      <c r="E1065" s="2">
        <v>0</v>
      </c>
      <c r="F1065" s="2">
        <v>0</v>
      </c>
      <c r="G1065" s="2">
        <v>0</v>
      </c>
      <c r="H1065" s="2">
        <v>0.336312</v>
      </c>
      <c r="I1065" s="2">
        <v>0</v>
      </c>
      <c r="J1065" s="5">
        <f t="shared" si="32"/>
        <v>0.336312</v>
      </c>
      <c r="K1065" s="5">
        <f t="shared" si="33"/>
        <v>0.336312</v>
      </c>
      <c r="L1065" s="6">
        <f>K1065/'Quellen &amp; Annahmen'!$B$2</f>
        <v>3.046279789954592E-6</v>
      </c>
      <c r="M1065" s="7" t="s">
        <v>187</v>
      </c>
      <c r="N1065" s="7" t="s">
        <v>188</v>
      </c>
    </row>
    <row r="1066" spans="1:14" ht="18" customHeight="1">
      <c r="A1066">
        <v>1065</v>
      </c>
      <c r="B1066" t="s">
        <v>1153</v>
      </c>
      <c r="C1066" t="s">
        <v>38</v>
      </c>
      <c r="D1066" s="2">
        <v>0</v>
      </c>
      <c r="E1066" s="2">
        <v>0</v>
      </c>
      <c r="F1066" s="2">
        <v>0</v>
      </c>
      <c r="G1066" s="2">
        <v>0</v>
      </c>
      <c r="H1066" s="2">
        <v>0.336312</v>
      </c>
      <c r="I1066" s="2">
        <v>0</v>
      </c>
      <c r="J1066" s="5">
        <f t="shared" si="32"/>
        <v>0.336312</v>
      </c>
      <c r="K1066" s="5">
        <f t="shared" si="33"/>
        <v>0.336312</v>
      </c>
      <c r="L1066" s="6">
        <f>K1066/'Quellen &amp; Annahmen'!$B$2</f>
        <v>3.046279789954592E-6</v>
      </c>
      <c r="M1066" s="7" t="s">
        <v>187</v>
      </c>
      <c r="N1066" s="7" t="s">
        <v>188</v>
      </c>
    </row>
    <row r="1067" spans="1:14" ht="18" customHeight="1">
      <c r="A1067">
        <v>1066</v>
      </c>
      <c r="B1067" t="s">
        <v>1154</v>
      </c>
      <c r="C1067" t="s">
        <v>50</v>
      </c>
      <c r="D1067" s="2">
        <v>0</v>
      </c>
      <c r="E1067" s="2">
        <v>0</v>
      </c>
      <c r="F1067" s="2">
        <v>0</v>
      </c>
      <c r="G1067" s="2">
        <v>0</v>
      </c>
      <c r="H1067" s="2">
        <v>0.336312</v>
      </c>
      <c r="I1067" s="2">
        <v>0</v>
      </c>
      <c r="J1067" s="5">
        <f t="shared" si="32"/>
        <v>0.336312</v>
      </c>
      <c r="K1067" s="5">
        <f t="shared" si="33"/>
        <v>0.336312</v>
      </c>
      <c r="L1067" s="6">
        <f>K1067/'Quellen &amp; Annahmen'!$B$2</f>
        <v>3.046279789954592E-6</v>
      </c>
      <c r="M1067" s="7" t="s">
        <v>187</v>
      </c>
      <c r="N1067" s="7" t="s">
        <v>188</v>
      </c>
    </row>
    <row r="1068" spans="1:14" ht="18" customHeight="1">
      <c r="A1068">
        <v>1067</v>
      </c>
      <c r="B1068" t="s">
        <v>1155</v>
      </c>
      <c r="C1068" t="s">
        <v>253</v>
      </c>
      <c r="D1068" s="2">
        <v>0</v>
      </c>
      <c r="E1068" s="2">
        <v>0</v>
      </c>
      <c r="F1068" s="2">
        <v>0</v>
      </c>
      <c r="G1068" s="2">
        <v>0</v>
      </c>
      <c r="H1068" s="2">
        <v>0.336312</v>
      </c>
      <c r="I1068" s="2">
        <v>0</v>
      </c>
      <c r="J1068" s="5">
        <f t="shared" si="32"/>
        <v>0.336312</v>
      </c>
      <c r="K1068" s="5">
        <f t="shared" si="33"/>
        <v>0.336312</v>
      </c>
      <c r="L1068" s="6">
        <f>K1068/'Quellen &amp; Annahmen'!$B$2</f>
        <v>3.046279789954592E-6</v>
      </c>
      <c r="M1068" s="7" t="s">
        <v>187</v>
      </c>
      <c r="N1068" s="7" t="s">
        <v>188</v>
      </c>
    </row>
    <row r="1069" spans="1:14" ht="18" customHeight="1">
      <c r="A1069">
        <v>1068</v>
      </c>
      <c r="B1069" t="s">
        <v>1156</v>
      </c>
      <c r="C1069" t="s">
        <v>27</v>
      </c>
      <c r="D1069" s="2">
        <v>0</v>
      </c>
      <c r="E1069" s="2">
        <v>0</v>
      </c>
      <c r="F1069" s="2">
        <v>0</v>
      </c>
      <c r="G1069" s="2">
        <v>0</v>
      </c>
      <c r="H1069" s="2">
        <v>0.336312</v>
      </c>
      <c r="I1069" s="2">
        <v>0</v>
      </c>
      <c r="J1069" s="5">
        <f t="shared" si="32"/>
        <v>0.336312</v>
      </c>
      <c r="K1069" s="5">
        <f t="shared" si="33"/>
        <v>0.336312</v>
      </c>
      <c r="L1069" s="6">
        <f>K1069/'Quellen &amp; Annahmen'!$B$2</f>
        <v>3.046279789954592E-6</v>
      </c>
      <c r="M1069" s="7" t="s">
        <v>187</v>
      </c>
      <c r="N1069" s="7" t="s">
        <v>188</v>
      </c>
    </row>
    <row r="1070" spans="1:14" ht="18" customHeight="1">
      <c r="A1070">
        <v>1069</v>
      </c>
      <c r="B1070" t="s">
        <v>1157</v>
      </c>
      <c r="C1070" t="s">
        <v>38</v>
      </c>
      <c r="D1070" s="2">
        <v>0</v>
      </c>
      <c r="E1070" s="2">
        <v>0</v>
      </c>
      <c r="F1070" s="2">
        <v>0</v>
      </c>
      <c r="G1070" s="2">
        <v>0</v>
      </c>
      <c r="H1070" s="2">
        <v>0.336312</v>
      </c>
      <c r="I1070" s="2">
        <v>0</v>
      </c>
      <c r="J1070" s="5">
        <f t="shared" si="32"/>
        <v>0.336312</v>
      </c>
      <c r="K1070" s="5">
        <f t="shared" si="33"/>
        <v>0.336312</v>
      </c>
      <c r="L1070" s="6">
        <f>K1070/'Quellen &amp; Annahmen'!$B$2</f>
        <v>3.046279789954592E-6</v>
      </c>
      <c r="M1070" s="7" t="s">
        <v>187</v>
      </c>
      <c r="N1070" s="7" t="s">
        <v>188</v>
      </c>
    </row>
    <row r="1071" spans="1:14" ht="18" customHeight="1">
      <c r="A1071">
        <v>1070</v>
      </c>
      <c r="B1071" t="s">
        <v>1158</v>
      </c>
      <c r="C1071" t="s">
        <v>253</v>
      </c>
      <c r="D1071" s="2">
        <v>0</v>
      </c>
      <c r="E1071" s="2">
        <v>0</v>
      </c>
      <c r="F1071" s="2">
        <v>0</v>
      </c>
      <c r="G1071" s="2">
        <v>0</v>
      </c>
      <c r="H1071" s="2">
        <v>0.336312</v>
      </c>
      <c r="I1071" s="2">
        <v>0</v>
      </c>
      <c r="J1071" s="5">
        <f t="shared" si="32"/>
        <v>0.336312</v>
      </c>
      <c r="K1071" s="5">
        <f t="shared" si="33"/>
        <v>0.336312</v>
      </c>
      <c r="L1071" s="6">
        <f>K1071/'Quellen &amp; Annahmen'!$B$2</f>
        <v>3.046279789954592E-6</v>
      </c>
      <c r="M1071" s="7" t="s">
        <v>187</v>
      </c>
      <c r="N1071" s="7" t="s">
        <v>188</v>
      </c>
    </row>
    <row r="1072" spans="1:14" ht="18" customHeight="1">
      <c r="A1072">
        <v>1071</v>
      </c>
      <c r="B1072" t="s">
        <v>1159</v>
      </c>
      <c r="C1072" t="s">
        <v>50</v>
      </c>
      <c r="D1072" s="2">
        <v>0</v>
      </c>
      <c r="E1072" s="2">
        <v>0</v>
      </c>
      <c r="F1072" s="2">
        <v>0</v>
      </c>
      <c r="G1072" s="2">
        <v>0</v>
      </c>
      <c r="H1072" s="2">
        <v>0.336312</v>
      </c>
      <c r="I1072" s="2">
        <v>0</v>
      </c>
      <c r="J1072" s="5">
        <f t="shared" si="32"/>
        <v>0.336312</v>
      </c>
      <c r="K1072" s="5">
        <f t="shared" si="33"/>
        <v>0.336312</v>
      </c>
      <c r="L1072" s="6">
        <f>K1072/'Quellen &amp; Annahmen'!$B$2</f>
        <v>3.046279789954592E-6</v>
      </c>
      <c r="M1072" s="7" t="s">
        <v>187</v>
      </c>
      <c r="N1072" s="7" t="s">
        <v>188</v>
      </c>
    </row>
    <row r="1073" spans="1:14" ht="18" customHeight="1">
      <c r="A1073">
        <v>1072</v>
      </c>
      <c r="B1073" t="s">
        <v>1160</v>
      </c>
      <c r="C1073" t="s">
        <v>253</v>
      </c>
      <c r="D1073" s="2">
        <v>0</v>
      </c>
      <c r="E1073" s="2">
        <v>0</v>
      </c>
      <c r="F1073" s="2">
        <v>0</v>
      </c>
      <c r="G1073" s="2">
        <v>0</v>
      </c>
      <c r="H1073" s="2">
        <v>0.336312</v>
      </c>
      <c r="I1073" s="2">
        <v>0</v>
      </c>
      <c r="J1073" s="5">
        <f t="shared" si="32"/>
        <v>0.336312</v>
      </c>
      <c r="K1073" s="5">
        <f t="shared" si="33"/>
        <v>0.336312</v>
      </c>
      <c r="L1073" s="6">
        <f>K1073/'Quellen &amp; Annahmen'!$B$2</f>
        <v>3.046279789954592E-6</v>
      </c>
      <c r="M1073" s="7" t="s">
        <v>187</v>
      </c>
      <c r="N1073" s="7" t="s">
        <v>188</v>
      </c>
    </row>
    <row r="1074" spans="1:14" ht="18" customHeight="1">
      <c r="A1074">
        <v>1073</v>
      </c>
      <c r="B1074" t="s">
        <v>1161</v>
      </c>
      <c r="C1074" t="s">
        <v>50</v>
      </c>
      <c r="D1074" s="2">
        <v>0</v>
      </c>
      <c r="E1074" s="2">
        <v>0</v>
      </c>
      <c r="F1074" s="2">
        <v>0</v>
      </c>
      <c r="G1074" s="2">
        <v>0</v>
      </c>
      <c r="H1074" s="2">
        <v>0.336312</v>
      </c>
      <c r="I1074" s="2">
        <v>0</v>
      </c>
      <c r="J1074" s="5">
        <f t="shared" si="32"/>
        <v>0.336312</v>
      </c>
      <c r="K1074" s="5">
        <f t="shared" si="33"/>
        <v>0.336312</v>
      </c>
      <c r="L1074" s="6">
        <f>K1074/'Quellen &amp; Annahmen'!$B$2</f>
        <v>3.046279789954592E-6</v>
      </c>
      <c r="M1074" s="7" t="s">
        <v>187</v>
      </c>
      <c r="N1074" s="7" t="s">
        <v>188</v>
      </c>
    </row>
    <row r="1075" spans="1:14" ht="18" customHeight="1">
      <c r="A1075">
        <v>1074</v>
      </c>
      <c r="B1075" t="s">
        <v>1162</v>
      </c>
      <c r="C1075" t="s">
        <v>253</v>
      </c>
      <c r="D1075" s="2">
        <v>0</v>
      </c>
      <c r="E1075" s="2">
        <v>0</v>
      </c>
      <c r="F1075" s="2">
        <v>0</v>
      </c>
      <c r="G1075" s="2">
        <v>0</v>
      </c>
      <c r="H1075" s="2">
        <v>0.336312</v>
      </c>
      <c r="I1075" s="2">
        <v>0</v>
      </c>
      <c r="J1075" s="5">
        <f t="shared" si="32"/>
        <v>0.336312</v>
      </c>
      <c r="K1075" s="5">
        <f t="shared" si="33"/>
        <v>0.336312</v>
      </c>
      <c r="L1075" s="6">
        <f>K1075/'Quellen &amp; Annahmen'!$B$2</f>
        <v>3.046279789954592E-6</v>
      </c>
      <c r="M1075" s="7" t="s">
        <v>187</v>
      </c>
      <c r="N1075" s="7" t="s">
        <v>188</v>
      </c>
    </row>
    <row r="1076" spans="1:14" ht="18" customHeight="1">
      <c r="A1076">
        <v>1075</v>
      </c>
      <c r="B1076" t="s">
        <v>1163</v>
      </c>
      <c r="C1076" t="s">
        <v>50</v>
      </c>
      <c r="D1076" s="2">
        <v>0</v>
      </c>
      <c r="E1076" s="2">
        <v>0</v>
      </c>
      <c r="F1076" s="2">
        <v>0</v>
      </c>
      <c r="G1076" s="2">
        <v>0</v>
      </c>
      <c r="H1076" s="2">
        <v>0.336312</v>
      </c>
      <c r="I1076" s="2">
        <v>0</v>
      </c>
      <c r="J1076" s="5">
        <f t="shared" si="32"/>
        <v>0.336312</v>
      </c>
      <c r="K1076" s="5">
        <f t="shared" si="33"/>
        <v>0.336312</v>
      </c>
      <c r="L1076" s="6">
        <f>K1076/'Quellen &amp; Annahmen'!$B$2</f>
        <v>3.046279789954592E-6</v>
      </c>
      <c r="M1076" s="7" t="s">
        <v>187</v>
      </c>
      <c r="N1076" s="7" t="s">
        <v>188</v>
      </c>
    </row>
    <row r="1077" spans="1:14" ht="18" customHeight="1">
      <c r="A1077">
        <v>1076</v>
      </c>
      <c r="B1077" t="s">
        <v>1164</v>
      </c>
      <c r="C1077" t="s">
        <v>27</v>
      </c>
      <c r="D1077" s="2">
        <v>0</v>
      </c>
      <c r="E1077" s="2">
        <v>0</v>
      </c>
      <c r="F1077" s="2">
        <v>0</v>
      </c>
      <c r="G1077" s="2">
        <v>0</v>
      </c>
      <c r="H1077" s="2">
        <v>0.336312</v>
      </c>
      <c r="I1077" s="2">
        <v>0</v>
      </c>
      <c r="J1077" s="5">
        <f t="shared" si="32"/>
        <v>0.336312</v>
      </c>
      <c r="K1077" s="5">
        <f t="shared" si="33"/>
        <v>0.336312</v>
      </c>
      <c r="L1077" s="6">
        <f>K1077/'Quellen &amp; Annahmen'!$B$2</f>
        <v>3.046279789954592E-6</v>
      </c>
      <c r="M1077" s="7" t="s">
        <v>187</v>
      </c>
      <c r="N1077" s="7" t="s">
        <v>188</v>
      </c>
    </row>
    <row r="1078" spans="1:14" ht="18" customHeight="1">
      <c r="A1078">
        <v>1077</v>
      </c>
      <c r="B1078" t="s">
        <v>1165</v>
      </c>
      <c r="C1078" t="s">
        <v>41</v>
      </c>
      <c r="D1078" s="2">
        <v>0</v>
      </c>
      <c r="E1078" s="2">
        <v>0</v>
      </c>
      <c r="F1078" s="2">
        <v>0</v>
      </c>
      <c r="G1078" s="2">
        <v>0</v>
      </c>
      <c r="H1078" s="2">
        <v>0.336312</v>
      </c>
      <c r="I1078" s="2">
        <v>0</v>
      </c>
      <c r="J1078" s="5">
        <f t="shared" si="32"/>
        <v>0.336312</v>
      </c>
      <c r="K1078" s="5">
        <f t="shared" si="33"/>
        <v>0.336312</v>
      </c>
      <c r="L1078" s="6">
        <f>K1078/'Quellen &amp; Annahmen'!$B$2</f>
        <v>3.046279789954592E-6</v>
      </c>
      <c r="M1078" s="7" t="s">
        <v>187</v>
      </c>
      <c r="N1078" s="7" t="s">
        <v>188</v>
      </c>
    </row>
    <row r="1079" spans="1:14" ht="18" customHeight="1">
      <c r="A1079">
        <v>1078</v>
      </c>
      <c r="B1079" t="s">
        <v>1166</v>
      </c>
      <c r="C1079" t="s">
        <v>50</v>
      </c>
      <c r="D1079" s="2">
        <v>0</v>
      </c>
      <c r="E1079" s="2">
        <v>0</v>
      </c>
      <c r="F1079" s="2">
        <v>0</v>
      </c>
      <c r="G1079" s="2">
        <v>0</v>
      </c>
      <c r="H1079" s="2">
        <v>0.336312</v>
      </c>
      <c r="I1079" s="2">
        <v>0</v>
      </c>
      <c r="J1079" s="5">
        <f t="shared" si="32"/>
        <v>0.336312</v>
      </c>
      <c r="K1079" s="5">
        <f t="shared" si="33"/>
        <v>0.336312</v>
      </c>
      <c r="L1079" s="6">
        <f>K1079/'Quellen &amp; Annahmen'!$B$2</f>
        <v>3.046279789954592E-6</v>
      </c>
      <c r="M1079" s="7" t="s">
        <v>187</v>
      </c>
      <c r="N1079" s="7" t="s">
        <v>188</v>
      </c>
    </row>
    <row r="1080" spans="1:14" ht="18" customHeight="1">
      <c r="A1080">
        <v>1079</v>
      </c>
      <c r="B1080" t="s">
        <v>1167</v>
      </c>
      <c r="C1080" t="s">
        <v>25</v>
      </c>
      <c r="D1080" s="2">
        <v>0</v>
      </c>
      <c r="E1080" s="2">
        <v>0</v>
      </c>
      <c r="F1080" s="2">
        <v>0</v>
      </c>
      <c r="G1080" s="2">
        <v>0</v>
      </c>
      <c r="H1080" s="2">
        <v>0.336312</v>
      </c>
      <c r="I1080" s="2">
        <v>0</v>
      </c>
      <c r="J1080" s="5">
        <f t="shared" si="32"/>
        <v>0.336312</v>
      </c>
      <c r="K1080" s="5">
        <f t="shared" si="33"/>
        <v>0.336312</v>
      </c>
      <c r="L1080" s="6">
        <f>K1080/'Quellen &amp; Annahmen'!$B$2</f>
        <v>3.046279789954592E-6</v>
      </c>
      <c r="M1080" s="7" t="s">
        <v>187</v>
      </c>
      <c r="N1080" s="7" t="s">
        <v>188</v>
      </c>
    </row>
    <row r="1081" spans="1:14" ht="18" customHeight="1">
      <c r="A1081">
        <v>1080</v>
      </c>
      <c r="B1081" t="s">
        <v>1168</v>
      </c>
      <c r="C1081" t="s">
        <v>50</v>
      </c>
      <c r="D1081" s="2">
        <v>0</v>
      </c>
      <c r="E1081" s="2">
        <v>0</v>
      </c>
      <c r="F1081" s="2">
        <v>0</v>
      </c>
      <c r="G1081" s="2">
        <v>0</v>
      </c>
      <c r="H1081" s="2">
        <v>0.336312</v>
      </c>
      <c r="I1081" s="2">
        <v>0</v>
      </c>
      <c r="J1081" s="5">
        <f t="shared" si="32"/>
        <v>0.336312</v>
      </c>
      <c r="K1081" s="5">
        <f t="shared" si="33"/>
        <v>0.336312</v>
      </c>
      <c r="L1081" s="6">
        <f>K1081/'Quellen &amp; Annahmen'!$B$2</f>
        <v>3.046279789954592E-6</v>
      </c>
      <c r="M1081" s="7" t="s">
        <v>187</v>
      </c>
      <c r="N1081" s="7" t="s">
        <v>188</v>
      </c>
    </row>
    <row r="1082" spans="1:14" ht="18" customHeight="1">
      <c r="A1082">
        <v>1081</v>
      </c>
      <c r="B1082" t="s">
        <v>1169</v>
      </c>
      <c r="C1082" t="s">
        <v>50</v>
      </c>
      <c r="D1082" s="2">
        <v>0</v>
      </c>
      <c r="E1082" s="2">
        <v>0</v>
      </c>
      <c r="F1082" s="2">
        <v>0</v>
      </c>
      <c r="G1082" s="2">
        <v>0</v>
      </c>
      <c r="H1082" s="2">
        <v>0.336312</v>
      </c>
      <c r="I1082" s="2">
        <v>0</v>
      </c>
      <c r="J1082" s="5">
        <f t="shared" si="32"/>
        <v>0.336312</v>
      </c>
      <c r="K1082" s="5">
        <f t="shared" si="33"/>
        <v>0.336312</v>
      </c>
      <c r="L1082" s="6">
        <f>K1082/'Quellen &amp; Annahmen'!$B$2</f>
        <v>3.046279789954592E-6</v>
      </c>
      <c r="M1082" s="7" t="s">
        <v>187</v>
      </c>
      <c r="N1082" s="7" t="s">
        <v>188</v>
      </c>
    </row>
    <row r="1083" spans="1:14" ht="18" customHeight="1">
      <c r="A1083">
        <v>1082</v>
      </c>
      <c r="B1083" t="s">
        <v>1170</v>
      </c>
      <c r="C1083" t="s">
        <v>50</v>
      </c>
      <c r="D1083" s="2">
        <v>0</v>
      </c>
      <c r="E1083" s="2">
        <v>0</v>
      </c>
      <c r="F1083" s="2">
        <v>0</v>
      </c>
      <c r="G1083" s="2">
        <v>0</v>
      </c>
      <c r="H1083" s="2">
        <v>0.336312</v>
      </c>
      <c r="I1083" s="2">
        <v>0</v>
      </c>
      <c r="J1083" s="5">
        <f t="shared" si="32"/>
        <v>0.336312</v>
      </c>
      <c r="K1083" s="5">
        <f t="shared" si="33"/>
        <v>0.336312</v>
      </c>
      <c r="L1083" s="6">
        <f>K1083/'Quellen &amp; Annahmen'!$B$2</f>
        <v>3.046279789954592E-6</v>
      </c>
      <c r="M1083" s="7" t="s">
        <v>187</v>
      </c>
      <c r="N1083" s="7" t="s">
        <v>188</v>
      </c>
    </row>
    <row r="1084" spans="1:14" ht="18" customHeight="1">
      <c r="A1084">
        <v>1083</v>
      </c>
      <c r="B1084" t="s">
        <v>1171</v>
      </c>
      <c r="C1084" t="s">
        <v>50</v>
      </c>
      <c r="D1084" s="2">
        <v>0</v>
      </c>
      <c r="E1084" s="2">
        <v>0</v>
      </c>
      <c r="F1084" s="2">
        <v>0</v>
      </c>
      <c r="G1084" s="2">
        <v>0</v>
      </c>
      <c r="H1084" s="2">
        <v>0.336312</v>
      </c>
      <c r="I1084" s="2">
        <v>0</v>
      </c>
      <c r="J1084" s="5">
        <f t="shared" si="32"/>
        <v>0.336312</v>
      </c>
      <c r="K1084" s="5">
        <f t="shared" si="33"/>
        <v>0.336312</v>
      </c>
      <c r="L1084" s="6">
        <f>K1084/'Quellen &amp; Annahmen'!$B$2</f>
        <v>3.046279789954592E-6</v>
      </c>
      <c r="M1084" s="7" t="s">
        <v>187</v>
      </c>
      <c r="N1084" s="7" t="s">
        <v>188</v>
      </c>
    </row>
    <row r="1085" spans="1:14" ht="18" customHeight="1">
      <c r="A1085">
        <v>1084</v>
      </c>
      <c r="B1085" t="s">
        <v>1172</v>
      </c>
      <c r="C1085" t="s">
        <v>50</v>
      </c>
      <c r="D1085" s="2">
        <v>0</v>
      </c>
      <c r="E1085" s="2">
        <v>0</v>
      </c>
      <c r="F1085" s="2">
        <v>0</v>
      </c>
      <c r="G1085" s="2">
        <v>0</v>
      </c>
      <c r="H1085" s="2">
        <v>0.336312</v>
      </c>
      <c r="I1085" s="2">
        <v>0</v>
      </c>
      <c r="J1085" s="5">
        <f t="shared" si="32"/>
        <v>0.336312</v>
      </c>
      <c r="K1085" s="5">
        <f t="shared" si="33"/>
        <v>0.336312</v>
      </c>
      <c r="L1085" s="6">
        <f>K1085/'Quellen &amp; Annahmen'!$B$2</f>
        <v>3.046279789954592E-6</v>
      </c>
      <c r="M1085" s="7" t="s">
        <v>187</v>
      </c>
      <c r="N1085" s="7" t="s">
        <v>188</v>
      </c>
    </row>
    <row r="1086" spans="1:14" ht="18" customHeight="1">
      <c r="A1086">
        <v>1085</v>
      </c>
      <c r="B1086" t="s">
        <v>1173</v>
      </c>
      <c r="C1086" t="s">
        <v>23</v>
      </c>
      <c r="D1086" s="2">
        <v>0</v>
      </c>
      <c r="E1086" s="2">
        <v>0</v>
      </c>
      <c r="F1086" s="2">
        <v>0</v>
      </c>
      <c r="G1086" s="2">
        <v>0</v>
      </c>
      <c r="H1086" s="2">
        <v>0.336312</v>
      </c>
      <c r="I1086" s="2">
        <v>0</v>
      </c>
      <c r="J1086" s="5">
        <f t="shared" si="32"/>
        <v>0.336312</v>
      </c>
      <c r="K1086" s="5">
        <f t="shared" si="33"/>
        <v>0.336312</v>
      </c>
      <c r="L1086" s="6">
        <f>K1086/'Quellen &amp; Annahmen'!$B$2</f>
        <v>3.046279789954592E-6</v>
      </c>
      <c r="M1086" s="7" t="s">
        <v>187</v>
      </c>
      <c r="N1086" s="7" t="s">
        <v>188</v>
      </c>
    </row>
    <row r="1087" spans="1:14" ht="18" customHeight="1">
      <c r="A1087">
        <v>1086</v>
      </c>
      <c r="B1087" t="s">
        <v>1174</v>
      </c>
      <c r="C1087" t="s">
        <v>108</v>
      </c>
      <c r="D1087" s="2">
        <v>0</v>
      </c>
      <c r="E1087" s="2">
        <v>0</v>
      </c>
      <c r="F1087" s="2">
        <v>0</v>
      </c>
      <c r="G1087" s="2">
        <v>0</v>
      </c>
      <c r="H1087" s="2">
        <v>0.336312</v>
      </c>
      <c r="I1087" s="2">
        <v>0</v>
      </c>
      <c r="J1087" s="5">
        <f t="shared" si="32"/>
        <v>0.336312</v>
      </c>
      <c r="K1087" s="5">
        <f t="shared" si="33"/>
        <v>0.336312</v>
      </c>
      <c r="L1087" s="6">
        <f>K1087/'Quellen &amp; Annahmen'!$B$2</f>
        <v>3.046279789954592E-6</v>
      </c>
      <c r="M1087" s="7" t="s">
        <v>187</v>
      </c>
      <c r="N1087" s="7" t="s">
        <v>188</v>
      </c>
    </row>
    <row r="1088" spans="1:14" ht="18" customHeight="1">
      <c r="A1088">
        <v>1087</v>
      </c>
      <c r="B1088" t="s">
        <v>1175</v>
      </c>
      <c r="C1088" t="s">
        <v>38</v>
      </c>
      <c r="D1088" s="2">
        <v>0</v>
      </c>
      <c r="E1088" s="2">
        <v>0</v>
      </c>
      <c r="F1088" s="2">
        <v>0</v>
      </c>
      <c r="G1088" s="2">
        <v>0</v>
      </c>
      <c r="H1088" s="2">
        <v>0.336312</v>
      </c>
      <c r="I1088" s="2">
        <v>0</v>
      </c>
      <c r="J1088" s="5">
        <f t="shared" si="32"/>
        <v>0.336312</v>
      </c>
      <c r="K1088" s="5">
        <f t="shared" si="33"/>
        <v>0.336312</v>
      </c>
      <c r="L1088" s="6">
        <f>K1088/'Quellen &amp; Annahmen'!$B$2</f>
        <v>3.046279789954592E-6</v>
      </c>
      <c r="M1088" s="7" t="s">
        <v>187</v>
      </c>
      <c r="N1088" s="7" t="s">
        <v>188</v>
      </c>
    </row>
    <row r="1089" spans="1:14" ht="18" customHeight="1">
      <c r="A1089">
        <v>1088</v>
      </c>
      <c r="B1089" t="s">
        <v>1176</v>
      </c>
      <c r="C1089" t="s">
        <v>108</v>
      </c>
      <c r="D1089" s="2">
        <v>0</v>
      </c>
      <c r="E1089" s="2">
        <v>0</v>
      </c>
      <c r="F1089" s="2">
        <v>0</v>
      </c>
      <c r="G1089" s="2">
        <v>0</v>
      </c>
      <c r="H1089" s="2">
        <v>0.336312</v>
      </c>
      <c r="I1089" s="2">
        <v>0</v>
      </c>
      <c r="J1089" s="5">
        <f t="shared" si="32"/>
        <v>0.336312</v>
      </c>
      <c r="K1089" s="5">
        <f t="shared" si="33"/>
        <v>0.336312</v>
      </c>
      <c r="L1089" s="6">
        <f>K1089/'Quellen &amp; Annahmen'!$B$2</f>
        <v>3.046279789954592E-6</v>
      </c>
      <c r="M1089" s="7" t="s">
        <v>187</v>
      </c>
      <c r="N1089" s="7" t="s">
        <v>188</v>
      </c>
    </row>
    <row r="1090" spans="1:14" ht="18" customHeight="1">
      <c r="A1090">
        <v>1089</v>
      </c>
      <c r="B1090" t="s">
        <v>1177</v>
      </c>
      <c r="C1090" t="s">
        <v>263</v>
      </c>
      <c r="D1090" s="2">
        <v>0</v>
      </c>
      <c r="E1090" s="2">
        <v>0</v>
      </c>
      <c r="F1090" s="2">
        <v>0</v>
      </c>
      <c r="G1090" s="2">
        <v>0</v>
      </c>
      <c r="H1090" s="2">
        <v>0.336312</v>
      </c>
      <c r="I1090" s="2">
        <v>0</v>
      </c>
      <c r="J1090" s="5">
        <f t="shared" ref="J1090:J1153" si="34">SUM(E1090:I1090)</f>
        <v>0.336312</v>
      </c>
      <c r="K1090" s="5">
        <f t="shared" ref="K1090:K1153" si="35">D1090+J1090</f>
        <v>0.336312</v>
      </c>
      <c r="L1090" s="6">
        <f>K1090/'Quellen &amp; Annahmen'!$B$2</f>
        <v>3.046279789954592E-6</v>
      </c>
      <c r="M1090" s="7" t="s">
        <v>187</v>
      </c>
      <c r="N1090" s="7" t="s">
        <v>188</v>
      </c>
    </row>
    <row r="1091" spans="1:14" ht="18" customHeight="1">
      <c r="A1091">
        <v>1090</v>
      </c>
      <c r="B1091" t="s">
        <v>1178</v>
      </c>
      <c r="C1091" t="s">
        <v>23</v>
      </c>
      <c r="D1091" s="2">
        <v>0</v>
      </c>
      <c r="E1091" s="2">
        <v>0</v>
      </c>
      <c r="F1091" s="2">
        <v>0</v>
      </c>
      <c r="G1091" s="2">
        <v>0</v>
      </c>
      <c r="H1091" s="2">
        <v>0.336312</v>
      </c>
      <c r="I1091" s="2">
        <v>0</v>
      </c>
      <c r="J1091" s="5">
        <f t="shared" si="34"/>
        <v>0.336312</v>
      </c>
      <c r="K1091" s="5">
        <f t="shared" si="35"/>
        <v>0.336312</v>
      </c>
      <c r="L1091" s="6">
        <f>K1091/'Quellen &amp; Annahmen'!$B$2</f>
        <v>3.046279789954592E-6</v>
      </c>
      <c r="M1091" s="7" t="s">
        <v>187</v>
      </c>
      <c r="N1091" s="7" t="s">
        <v>188</v>
      </c>
    </row>
    <row r="1092" spans="1:14" ht="18" customHeight="1">
      <c r="A1092">
        <v>1091</v>
      </c>
      <c r="B1092" t="s">
        <v>1179</v>
      </c>
      <c r="C1092" t="s">
        <v>33</v>
      </c>
      <c r="D1092" s="2">
        <v>0</v>
      </c>
      <c r="E1092" s="2">
        <v>0</v>
      </c>
      <c r="F1092" s="2">
        <v>0</v>
      </c>
      <c r="G1092" s="2">
        <v>0</v>
      </c>
      <c r="H1092" s="2">
        <v>0.336312</v>
      </c>
      <c r="I1092" s="2">
        <v>0</v>
      </c>
      <c r="J1092" s="5">
        <f t="shared" si="34"/>
        <v>0.336312</v>
      </c>
      <c r="K1092" s="5">
        <f t="shared" si="35"/>
        <v>0.336312</v>
      </c>
      <c r="L1092" s="6">
        <f>K1092/'Quellen &amp; Annahmen'!$B$2</f>
        <v>3.046279789954592E-6</v>
      </c>
      <c r="M1092" s="7" t="s">
        <v>187</v>
      </c>
      <c r="N1092" s="7" t="s">
        <v>188</v>
      </c>
    </row>
    <row r="1093" spans="1:14" ht="18" customHeight="1">
      <c r="A1093">
        <v>1092</v>
      </c>
      <c r="B1093" t="s">
        <v>1180</v>
      </c>
      <c r="C1093" t="s">
        <v>23</v>
      </c>
      <c r="D1093" s="2">
        <v>0</v>
      </c>
      <c r="E1093" s="2">
        <v>0</v>
      </c>
      <c r="F1093" s="2">
        <v>0</v>
      </c>
      <c r="G1093" s="2">
        <v>0</v>
      </c>
      <c r="H1093" s="2">
        <v>0.336312</v>
      </c>
      <c r="I1093" s="2">
        <v>0</v>
      </c>
      <c r="J1093" s="5">
        <f t="shared" si="34"/>
        <v>0.336312</v>
      </c>
      <c r="K1093" s="5">
        <f t="shared" si="35"/>
        <v>0.336312</v>
      </c>
      <c r="L1093" s="6">
        <f>K1093/'Quellen &amp; Annahmen'!$B$2</f>
        <v>3.046279789954592E-6</v>
      </c>
      <c r="M1093" s="7" t="s">
        <v>187</v>
      </c>
      <c r="N1093" s="7" t="s">
        <v>188</v>
      </c>
    </row>
    <row r="1094" spans="1:14" ht="18" customHeight="1">
      <c r="A1094">
        <v>1093</v>
      </c>
      <c r="B1094" t="s">
        <v>1181</v>
      </c>
      <c r="C1094" t="s">
        <v>41</v>
      </c>
      <c r="D1094" s="2">
        <v>0</v>
      </c>
      <c r="E1094" s="2">
        <v>0</v>
      </c>
      <c r="F1094" s="2">
        <v>0</v>
      </c>
      <c r="G1094" s="2">
        <v>0</v>
      </c>
      <c r="H1094" s="2">
        <v>0.336312</v>
      </c>
      <c r="I1094" s="2">
        <v>0</v>
      </c>
      <c r="J1094" s="5">
        <f t="shared" si="34"/>
        <v>0.336312</v>
      </c>
      <c r="K1094" s="5">
        <f t="shared" si="35"/>
        <v>0.336312</v>
      </c>
      <c r="L1094" s="6">
        <f>K1094/'Quellen &amp; Annahmen'!$B$2</f>
        <v>3.046279789954592E-6</v>
      </c>
      <c r="M1094" s="7" t="s">
        <v>187</v>
      </c>
      <c r="N1094" s="7" t="s">
        <v>188</v>
      </c>
    </row>
    <row r="1095" spans="1:14" ht="18" customHeight="1">
      <c r="A1095">
        <v>1094</v>
      </c>
      <c r="B1095" t="s">
        <v>1182</v>
      </c>
      <c r="C1095" t="s">
        <v>50</v>
      </c>
      <c r="D1095" s="2">
        <v>0</v>
      </c>
      <c r="E1095" s="2">
        <v>0</v>
      </c>
      <c r="F1095" s="2">
        <v>0</v>
      </c>
      <c r="G1095" s="2">
        <v>0</v>
      </c>
      <c r="H1095" s="2">
        <v>0.336312</v>
      </c>
      <c r="I1095" s="2">
        <v>0</v>
      </c>
      <c r="J1095" s="5">
        <f t="shared" si="34"/>
        <v>0.336312</v>
      </c>
      <c r="K1095" s="5">
        <f t="shared" si="35"/>
        <v>0.336312</v>
      </c>
      <c r="L1095" s="6">
        <f>K1095/'Quellen &amp; Annahmen'!$B$2</f>
        <v>3.046279789954592E-6</v>
      </c>
      <c r="M1095" s="7" t="s">
        <v>187</v>
      </c>
      <c r="N1095" s="7" t="s">
        <v>188</v>
      </c>
    </row>
    <row r="1096" spans="1:14" ht="18" customHeight="1">
      <c r="A1096">
        <v>1095</v>
      </c>
      <c r="B1096" t="s">
        <v>1183</v>
      </c>
      <c r="C1096" t="s">
        <v>50</v>
      </c>
      <c r="D1096" s="2">
        <v>0</v>
      </c>
      <c r="E1096" s="2">
        <v>0</v>
      </c>
      <c r="F1096" s="2">
        <v>0</v>
      </c>
      <c r="G1096" s="2">
        <v>0</v>
      </c>
      <c r="H1096" s="2">
        <v>0.336312</v>
      </c>
      <c r="I1096" s="2">
        <v>0</v>
      </c>
      <c r="J1096" s="5">
        <f t="shared" si="34"/>
        <v>0.336312</v>
      </c>
      <c r="K1096" s="5">
        <f t="shared" si="35"/>
        <v>0.336312</v>
      </c>
      <c r="L1096" s="6">
        <f>K1096/'Quellen &amp; Annahmen'!$B$2</f>
        <v>3.046279789954592E-6</v>
      </c>
      <c r="M1096" s="7" t="s">
        <v>187</v>
      </c>
      <c r="N1096" s="7" t="s">
        <v>188</v>
      </c>
    </row>
    <row r="1097" spans="1:14" ht="18" customHeight="1">
      <c r="A1097">
        <v>1096</v>
      </c>
      <c r="B1097" t="s">
        <v>1184</v>
      </c>
      <c r="C1097" t="s">
        <v>124</v>
      </c>
      <c r="D1097" s="2">
        <v>0</v>
      </c>
      <c r="E1097" s="2">
        <v>0</v>
      </c>
      <c r="F1097" s="2">
        <v>0</v>
      </c>
      <c r="G1097" s="2">
        <v>0</v>
      </c>
      <c r="H1097" s="2">
        <v>0.336312</v>
      </c>
      <c r="I1097" s="2">
        <v>0</v>
      </c>
      <c r="J1097" s="5">
        <f t="shared" si="34"/>
        <v>0.336312</v>
      </c>
      <c r="K1097" s="5">
        <f t="shared" si="35"/>
        <v>0.336312</v>
      </c>
      <c r="L1097" s="6">
        <f>K1097/'Quellen &amp; Annahmen'!$B$2</f>
        <v>3.046279789954592E-6</v>
      </c>
      <c r="M1097" s="7" t="s">
        <v>187</v>
      </c>
      <c r="N1097" s="7" t="s">
        <v>188</v>
      </c>
    </row>
    <row r="1098" spans="1:14" ht="18" customHeight="1">
      <c r="A1098">
        <v>1097</v>
      </c>
      <c r="B1098" t="s">
        <v>1185</v>
      </c>
      <c r="C1098" t="s">
        <v>23</v>
      </c>
      <c r="D1098" s="2">
        <v>0</v>
      </c>
      <c r="E1098" s="2">
        <v>0</v>
      </c>
      <c r="F1098" s="2">
        <v>0</v>
      </c>
      <c r="G1098" s="2">
        <v>0</v>
      </c>
      <c r="H1098" s="2">
        <v>0.336312</v>
      </c>
      <c r="I1098" s="2">
        <v>0</v>
      </c>
      <c r="J1098" s="5">
        <f t="shared" si="34"/>
        <v>0.336312</v>
      </c>
      <c r="K1098" s="5">
        <f t="shared" si="35"/>
        <v>0.336312</v>
      </c>
      <c r="L1098" s="6">
        <f>K1098/'Quellen &amp; Annahmen'!$B$2</f>
        <v>3.046279789954592E-6</v>
      </c>
      <c r="M1098" s="7" t="s">
        <v>187</v>
      </c>
      <c r="N1098" s="7" t="s">
        <v>188</v>
      </c>
    </row>
    <row r="1099" spans="1:14" ht="18" customHeight="1">
      <c r="A1099">
        <v>1098</v>
      </c>
      <c r="B1099" t="s">
        <v>1186</v>
      </c>
      <c r="C1099" t="s">
        <v>38</v>
      </c>
      <c r="D1099" s="2">
        <v>0</v>
      </c>
      <c r="E1099" s="2">
        <v>0</v>
      </c>
      <c r="F1099" s="2">
        <v>0</v>
      </c>
      <c r="G1099" s="2">
        <v>0</v>
      </c>
      <c r="H1099" s="2">
        <v>0.336312</v>
      </c>
      <c r="I1099" s="2">
        <v>0</v>
      </c>
      <c r="J1099" s="5">
        <f t="shared" si="34"/>
        <v>0.336312</v>
      </c>
      <c r="K1099" s="5">
        <f t="shared" si="35"/>
        <v>0.336312</v>
      </c>
      <c r="L1099" s="6">
        <f>K1099/'Quellen &amp; Annahmen'!$B$2</f>
        <v>3.046279789954592E-6</v>
      </c>
      <c r="M1099" s="7" t="s">
        <v>187</v>
      </c>
      <c r="N1099" s="7" t="s">
        <v>188</v>
      </c>
    </row>
    <row r="1100" spans="1:14" ht="18" customHeight="1">
      <c r="A1100">
        <v>1099</v>
      </c>
      <c r="B1100" t="s">
        <v>1187</v>
      </c>
      <c r="C1100" t="s">
        <v>50</v>
      </c>
      <c r="D1100" s="2">
        <v>0</v>
      </c>
      <c r="E1100" s="2">
        <v>0</v>
      </c>
      <c r="F1100" s="2">
        <v>0</v>
      </c>
      <c r="G1100" s="2">
        <v>0</v>
      </c>
      <c r="H1100" s="2">
        <v>0.336312</v>
      </c>
      <c r="I1100" s="2">
        <v>0</v>
      </c>
      <c r="J1100" s="5">
        <f t="shared" si="34"/>
        <v>0.336312</v>
      </c>
      <c r="K1100" s="5">
        <f t="shared" si="35"/>
        <v>0.336312</v>
      </c>
      <c r="L1100" s="6">
        <f>K1100/'Quellen &amp; Annahmen'!$B$2</f>
        <v>3.046279789954592E-6</v>
      </c>
      <c r="M1100" s="7" t="s">
        <v>187</v>
      </c>
      <c r="N1100" s="7" t="s">
        <v>188</v>
      </c>
    </row>
    <row r="1101" spans="1:14" ht="18" customHeight="1">
      <c r="A1101">
        <v>1100</v>
      </c>
      <c r="B1101" t="s">
        <v>1188</v>
      </c>
      <c r="C1101" t="s">
        <v>50</v>
      </c>
      <c r="D1101" s="2">
        <v>0</v>
      </c>
      <c r="E1101" s="2">
        <v>0</v>
      </c>
      <c r="F1101" s="2">
        <v>0</v>
      </c>
      <c r="G1101" s="2">
        <v>0</v>
      </c>
      <c r="H1101" s="2">
        <v>0.336312</v>
      </c>
      <c r="I1101" s="2">
        <v>0</v>
      </c>
      <c r="J1101" s="5">
        <f t="shared" si="34"/>
        <v>0.336312</v>
      </c>
      <c r="K1101" s="5">
        <f t="shared" si="35"/>
        <v>0.336312</v>
      </c>
      <c r="L1101" s="6">
        <f>K1101/'Quellen &amp; Annahmen'!$B$2</f>
        <v>3.046279789954592E-6</v>
      </c>
      <c r="M1101" s="7" t="s">
        <v>187</v>
      </c>
      <c r="N1101" s="7" t="s">
        <v>188</v>
      </c>
    </row>
    <row r="1102" spans="1:14" ht="18" customHeight="1">
      <c r="A1102">
        <v>1101</v>
      </c>
      <c r="B1102" t="s">
        <v>1189</v>
      </c>
      <c r="C1102" t="s">
        <v>50</v>
      </c>
      <c r="D1102" s="2">
        <v>0</v>
      </c>
      <c r="E1102" s="2">
        <v>0</v>
      </c>
      <c r="F1102" s="2">
        <v>0</v>
      </c>
      <c r="G1102" s="2">
        <v>0</v>
      </c>
      <c r="H1102" s="2">
        <v>0.336312</v>
      </c>
      <c r="I1102" s="2">
        <v>0</v>
      </c>
      <c r="J1102" s="5">
        <f t="shared" si="34"/>
        <v>0.336312</v>
      </c>
      <c r="K1102" s="5">
        <f t="shared" si="35"/>
        <v>0.336312</v>
      </c>
      <c r="L1102" s="6">
        <f>K1102/'Quellen &amp; Annahmen'!$B$2</f>
        <v>3.046279789954592E-6</v>
      </c>
      <c r="M1102" s="7" t="s">
        <v>187</v>
      </c>
      <c r="N1102" s="7" t="s">
        <v>188</v>
      </c>
    </row>
    <row r="1103" spans="1:14" ht="18" customHeight="1">
      <c r="A1103">
        <v>1102</v>
      </c>
      <c r="B1103" t="s">
        <v>1190</v>
      </c>
      <c r="C1103" t="s">
        <v>25</v>
      </c>
      <c r="D1103" s="2">
        <v>0</v>
      </c>
      <c r="E1103" s="2">
        <v>0</v>
      </c>
      <c r="F1103" s="2">
        <v>0</v>
      </c>
      <c r="G1103" s="2">
        <v>0</v>
      </c>
      <c r="H1103" s="2">
        <v>0.336312</v>
      </c>
      <c r="I1103" s="2">
        <v>0</v>
      </c>
      <c r="J1103" s="5">
        <f t="shared" si="34"/>
        <v>0.336312</v>
      </c>
      <c r="K1103" s="5">
        <f t="shared" si="35"/>
        <v>0.336312</v>
      </c>
      <c r="L1103" s="6">
        <f>K1103/'Quellen &amp; Annahmen'!$B$2</f>
        <v>3.046279789954592E-6</v>
      </c>
      <c r="M1103" s="7" t="s">
        <v>187</v>
      </c>
      <c r="N1103" s="7" t="s">
        <v>188</v>
      </c>
    </row>
    <row r="1104" spans="1:14" ht="18" customHeight="1">
      <c r="A1104">
        <v>1103</v>
      </c>
      <c r="B1104" t="s">
        <v>1191</v>
      </c>
      <c r="C1104" t="s">
        <v>33</v>
      </c>
      <c r="D1104" s="2">
        <v>0</v>
      </c>
      <c r="E1104" s="2">
        <v>0</v>
      </c>
      <c r="F1104" s="2">
        <v>0</v>
      </c>
      <c r="G1104" s="2">
        <v>0</v>
      </c>
      <c r="H1104" s="2">
        <v>0.336312</v>
      </c>
      <c r="I1104" s="2">
        <v>0</v>
      </c>
      <c r="J1104" s="5">
        <f t="shared" si="34"/>
        <v>0.336312</v>
      </c>
      <c r="K1104" s="5">
        <f t="shared" si="35"/>
        <v>0.336312</v>
      </c>
      <c r="L1104" s="6">
        <f>K1104/'Quellen &amp; Annahmen'!$B$2</f>
        <v>3.046279789954592E-6</v>
      </c>
      <c r="M1104" s="7" t="s">
        <v>187</v>
      </c>
      <c r="N1104" s="7" t="s">
        <v>188</v>
      </c>
    </row>
    <row r="1105" spans="1:14" ht="18" customHeight="1">
      <c r="A1105">
        <v>1104</v>
      </c>
      <c r="B1105" t="s">
        <v>1192</v>
      </c>
      <c r="C1105" t="s">
        <v>23</v>
      </c>
      <c r="D1105" s="2">
        <v>0</v>
      </c>
      <c r="E1105" s="2">
        <v>0</v>
      </c>
      <c r="F1105" s="2">
        <v>0</v>
      </c>
      <c r="G1105" s="2">
        <v>0</v>
      </c>
      <c r="H1105" s="2">
        <v>0.336312</v>
      </c>
      <c r="I1105" s="2">
        <v>0</v>
      </c>
      <c r="J1105" s="5">
        <f t="shared" si="34"/>
        <v>0.336312</v>
      </c>
      <c r="K1105" s="5">
        <f t="shared" si="35"/>
        <v>0.336312</v>
      </c>
      <c r="L1105" s="6">
        <f>K1105/'Quellen &amp; Annahmen'!$B$2</f>
        <v>3.046279789954592E-6</v>
      </c>
      <c r="M1105" s="7" t="s">
        <v>187</v>
      </c>
      <c r="N1105" s="7" t="s">
        <v>188</v>
      </c>
    </row>
    <row r="1106" spans="1:14" ht="18" customHeight="1">
      <c r="A1106">
        <v>1105</v>
      </c>
      <c r="B1106" t="s">
        <v>1193</v>
      </c>
      <c r="C1106" t="s">
        <v>23</v>
      </c>
      <c r="D1106" s="2">
        <v>0</v>
      </c>
      <c r="E1106" s="2">
        <v>0</v>
      </c>
      <c r="F1106" s="2">
        <v>0</v>
      </c>
      <c r="G1106" s="2">
        <v>0</v>
      </c>
      <c r="H1106" s="2">
        <v>0.336312</v>
      </c>
      <c r="I1106" s="2">
        <v>0</v>
      </c>
      <c r="J1106" s="5">
        <f t="shared" si="34"/>
        <v>0.336312</v>
      </c>
      <c r="K1106" s="5">
        <f t="shared" si="35"/>
        <v>0.336312</v>
      </c>
      <c r="L1106" s="6">
        <f>K1106/'Quellen &amp; Annahmen'!$B$2</f>
        <v>3.046279789954592E-6</v>
      </c>
      <c r="M1106" s="7" t="s">
        <v>187</v>
      </c>
      <c r="N1106" s="7" t="s">
        <v>188</v>
      </c>
    </row>
    <row r="1107" spans="1:14" ht="18" customHeight="1">
      <c r="A1107">
        <v>1106</v>
      </c>
      <c r="B1107" t="s">
        <v>1194</v>
      </c>
      <c r="C1107" t="s">
        <v>263</v>
      </c>
      <c r="D1107" s="2">
        <v>0</v>
      </c>
      <c r="E1107" s="2">
        <v>0</v>
      </c>
      <c r="F1107" s="2">
        <v>0</v>
      </c>
      <c r="G1107" s="2">
        <v>0</v>
      </c>
      <c r="H1107" s="2">
        <v>0.336312</v>
      </c>
      <c r="I1107" s="2">
        <v>0</v>
      </c>
      <c r="J1107" s="5">
        <f t="shared" si="34"/>
        <v>0.336312</v>
      </c>
      <c r="K1107" s="5">
        <f t="shared" si="35"/>
        <v>0.336312</v>
      </c>
      <c r="L1107" s="6">
        <f>K1107/'Quellen &amp; Annahmen'!$B$2</f>
        <v>3.046279789954592E-6</v>
      </c>
      <c r="M1107" s="7" t="s">
        <v>187</v>
      </c>
      <c r="N1107" s="7" t="s">
        <v>188</v>
      </c>
    </row>
    <row r="1108" spans="1:14" ht="18" customHeight="1">
      <c r="A1108">
        <v>1107</v>
      </c>
      <c r="B1108" t="s">
        <v>1195</v>
      </c>
      <c r="C1108" t="s">
        <v>253</v>
      </c>
      <c r="D1108" s="2">
        <v>0</v>
      </c>
      <c r="E1108" s="2">
        <v>0</v>
      </c>
      <c r="F1108" s="2">
        <v>0</v>
      </c>
      <c r="G1108" s="2">
        <v>0</v>
      </c>
      <c r="H1108" s="2">
        <v>0.336312</v>
      </c>
      <c r="I1108" s="2">
        <v>0</v>
      </c>
      <c r="J1108" s="5">
        <f t="shared" si="34"/>
        <v>0.336312</v>
      </c>
      <c r="K1108" s="5">
        <f t="shared" si="35"/>
        <v>0.336312</v>
      </c>
      <c r="L1108" s="6">
        <f>K1108/'Quellen &amp; Annahmen'!$B$2</f>
        <v>3.046279789954592E-6</v>
      </c>
      <c r="M1108" s="7" t="s">
        <v>187</v>
      </c>
      <c r="N1108" s="7" t="s">
        <v>188</v>
      </c>
    </row>
    <row r="1109" spans="1:14" ht="18" customHeight="1">
      <c r="A1109">
        <v>1108</v>
      </c>
      <c r="B1109" t="s">
        <v>1196</v>
      </c>
      <c r="C1109" t="s">
        <v>38</v>
      </c>
      <c r="D1109" s="2">
        <v>0</v>
      </c>
      <c r="E1109" s="2">
        <v>0</v>
      </c>
      <c r="F1109" s="2">
        <v>0</v>
      </c>
      <c r="G1109" s="2">
        <v>0</v>
      </c>
      <c r="H1109" s="2">
        <v>0.336312</v>
      </c>
      <c r="I1109" s="2">
        <v>0</v>
      </c>
      <c r="J1109" s="5">
        <f t="shared" si="34"/>
        <v>0.336312</v>
      </c>
      <c r="K1109" s="5">
        <f t="shared" si="35"/>
        <v>0.336312</v>
      </c>
      <c r="L1109" s="6">
        <f>K1109/'Quellen &amp; Annahmen'!$B$2</f>
        <v>3.046279789954592E-6</v>
      </c>
      <c r="M1109" s="7" t="s">
        <v>187</v>
      </c>
      <c r="N1109" s="7" t="s">
        <v>188</v>
      </c>
    </row>
    <row r="1110" spans="1:14" ht="18" customHeight="1">
      <c r="A1110">
        <v>1109</v>
      </c>
      <c r="B1110" t="s">
        <v>1197</v>
      </c>
      <c r="C1110" t="s">
        <v>124</v>
      </c>
      <c r="D1110" s="2">
        <v>0</v>
      </c>
      <c r="E1110" s="2">
        <v>0</v>
      </c>
      <c r="F1110" s="2">
        <v>0</v>
      </c>
      <c r="G1110" s="2">
        <v>0</v>
      </c>
      <c r="H1110" s="2">
        <v>0.336312</v>
      </c>
      <c r="I1110" s="2">
        <v>0</v>
      </c>
      <c r="J1110" s="5">
        <f t="shared" si="34"/>
        <v>0.336312</v>
      </c>
      <c r="K1110" s="5">
        <f t="shared" si="35"/>
        <v>0.336312</v>
      </c>
      <c r="L1110" s="6">
        <f>K1110/'Quellen &amp; Annahmen'!$B$2</f>
        <v>3.046279789954592E-6</v>
      </c>
      <c r="M1110" s="7" t="s">
        <v>187</v>
      </c>
      <c r="N1110" s="7" t="s">
        <v>188</v>
      </c>
    </row>
    <row r="1111" spans="1:14" ht="18" customHeight="1">
      <c r="A1111">
        <v>1110</v>
      </c>
      <c r="B1111" t="s">
        <v>1198</v>
      </c>
      <c r="C1111" t="s">
        <v>41</v>
      </c>
      <c r="D1111" s="2">
        <v>0</v>
      </c>
      <c r="E1111" s="2">
        <v>0</v>
      </c>
      <c r="F1111" s="2">
        <v>0</v>
      </c>
      <c r="G1111" s="2">
        <v>0</v>
      </c>
      <c r="H1111" s="2">
        <v>0.336312</v>
      </c>
      <c r="I1111" s="2">
        <v>0</v>
      </c>
      <c r="J1111" s="5">
        <f t="shared" si="34"/>
        <v>0.336312</v>
      </c>
      <c r="K1111" s="5">
        <f t="shared" si="35"/>
        <v>0.336312</v>
      </c>
      <c r="L1111" s="6">
        <f>K1111/'Quellen &amp; Annahmen'!$B$2</f>
        <v>3.046279789954592E-6</v>
      </c>
      <c r="M1111" s="7" t="s">
        <v>187</v>
      </c>
      <c r="N1111" s="7" t="s">
        <v>188</v>
      </c>
    </row>
    <row r="1112" spans="1:14" ht="18" customHeight="1">
      <c r="A1112">
        <v>1111</v>
      </c>
      <c r="B1112" t="s">
        <v>1199</v>
      </c>
      <c r="C1112" t="s">
        <v>27</v>
      </c>
      <c r="D1112" s="2">
        <v>0</v>
      </c>
      <c r="E1112" s="2">
        <v>0</v>
      </c>
      <c r="F1112" s="2">
        <v>0</v>
      </c>
      <c r="G1112" s="2">
        <v>0</v>
      </c>
      <c r="H1112" s="2">
        <v>0.336312</v>
      </c>
      <c r="I1112" s="2">
        <v>0</v>
      </c>
      <c r="J1112" s="5">
        <f t="shared" si="34"/>
        <v>0.336312</v>
      </c>
      <c r="K1112" s="5">
        <f t="shared" si="35"/>
        <v>0.336312</v>
      </c>
      <c r="L1112" s="6">
        <f>K1112/'Quellen &amp; Annahmen'!$B$2</f>
        <v>3.046279789954592E-6</v>
      </c>
      <c r="M1112" s="7" t="s">
        <v>187</v>
      </c>
      <c r="N1112" s="7" t="s">
        <v>188</v>
      </c>
    </row>
    <row r="1113" spans="1:14" ht="18" customHeight="1">
      <c r="A1113">
        <v>1112</v>
      </c>
      <c r="B1113" t="s">
        <v>1200</v>
      </c>
      <c r="C1113" t="s">
        <v>27</v>
      </c>
      <c r="D1113" s="2">
        <v>0</v>
      </c>
      <c r="E1113" s="2">
        <v>0</v>
      </c>
      <c r="F1113" s="2">
        <v>0</v>
      </c>
      <c r="G1113" s="2">
        <v>0</v>
      </c>
      <c r="H1113" s="2">
        <v>0.336312</v>
      </c>
      <c r="I1113" s="2">
        <v>0</v>
      </c>
      <c r="J1113" s="5">
        <f t="shared" si="34"/>
        <v>0.336312</v>
      </c>
      <c r="K1113" s="5">
        <f t="shared" si="35"/>
        <v>0.336312</v>
      </c>
      <c r="L1113" s="6">
        <f>K1113/'Quellen &amp; Annahmen'!$B$2</f>
        <v>3.046279789954592E-6</v>
      </c>
      <c r="M1113" s="7" t="s">
        <v>187</v>
      </c>
      <c r="N1113" s="7" t="s">
        <v>188</v>
      </c>
    </row>
    <row r="1114" spans="1:14" ht="18" customHeight="1">
      <c r="A1114">
        <v>1113</v>
      </c>
      <c r="B1114" t="s">
        <v>1201</v>
      </c>
      <c r="C1114" t="s">
        <v>23</v>
      </c>
      <c r="D1114" s="2">
        <v>0</v>
      </c>
      <c r="E1114" s="2">
        <v>0</v>
      </c>
      <c r="F1114" s="2">
        <v>0</v>
      </c>
      <c r="G1114" s="2">
        <v>0</v>
      </c>
      <c r="H1114" s="2">
        <v>0.336312</v>
      </c>
      <c r="I1114" s="2">
        <v>0</v>
      </c>
      <c r="J1114" s="5">
        <f t="shared" si="34"/>
        <v>0.336312</v>
      </c>
      <c r="K1114" s="5">
        <f t="shared" si="35"/>
        <v>0.336312</v>
      </c>
      <c r="L1114" s="6">
        <f>K1114/'Quellen &amp; Annahmen'!$B$2</f>
        <v>3.046279789954592E-6</v>
      </c>
      <c r="M1114" s="7" t="s">
        <v>187</v>
      </c>
      <c r="N1114" s="7" t="s">
        <v>188</v>
      </c>
    </row>
    <row r="1115" spans="1:14" ht="18" customHeight="1">
      <c r="A1115">
        <v>1114</v>
      </c>
      <c r="B1115" t="s">
        <v>1202</v>
      </c>
      <c r="C1115" t="s">
        <v>38</v>
      </c>
      <c r="D1115" s="2">
        <v>0</v>
      </c>
      <c r="E1115" s="2">
        <v>0</v>
      </c>
      <c r="F1115" s="2">
        <v>0</v>
      </c>
      <c r="G1115" s="2">
        <v>0</v>
      </c>
      <c r="H1115" s="2">
        <v>0.336312</v>
      </c>
      <c r="I1115" s="2">
        <v>0</v>
      </c>
      <c r="J1115" s="5">
        <f t="shared" si="34"/>
        <v>0.336312</v>
      </c>
      <c r="K1115" s="5">
        <f t="shared" si="35"/>
        <v>0.336312</v>
      </c>
      <c r="L1115" s="6">
        <f>K1115/'Quellen &amp; Annahmen'!$B$2</f>
        <v>3.046279789954592E-6</v>
      </c>
      <c r="M1115" s="7" t="s">
        <v>187</v>
      </c>
      <c r="N1115" s="7" t="s">
        <v>188</v>
      </c>
    </row>
    <row r="1116" spans="1:14" ht="18" customHeight="1">
      <c r="A1116">
        <v>1115</v>
      </c>
      <c r="B1116" t="s">
        <v>1203</v>
      </c>
      <c r="C1116" t="s">
        <v>50</v>
      </c>
      <c r="D1116" s="2">
        <v>0</v>
      </c>
      <c r="E1116" s="2">
        <v>0</v>
      </c>
      <c r="F1116" s="2">
        <v>0</v>
      </c>
      <c r="G1116" s="2">
        <v>0</v>
      </c>
      <c r="H1116" s="2">
        <v>0.336312</v>
      </c>
      <c r="I1116" s="2">
        <v>0</v>
      </c>
      <c r="J1116" s="5">
        <f t="shared" si="34"/>
        <v>0.336312</v>
      </c>
      <c r="K1116" s="5">
        <f t="shared" si="35"/>
        <v>0.336312</v>
      </c>
      <c r="L1116" s="6">
        <f>K1116/'Quellen &amp; Annahmen'!$B$2</f>
        <v>3.046279789954592E-6</v>
      </c>
      <c r="M1116" s="7" t="s">
        <v>187</v>
      </c>
      <c r="N1116" s="7" t="s">
        <v>188</v>
      </c>
    </row>
    <row r="1117" spans="1:14" ht="18" customHeight="1">
      <c r="A1117">
        <v>1116</v>
      </c>
      <c r="B1117" t="s">
        <v>1204</v>
      </c>
      <c r="C1117" t="s">
        <v>38</v>
      </c>
      <c r="D1117" s="2">
        <v>0</v>
      </c>
      <c r="E1117" s="2">
        <v>0</v>
      </c>
      <c r="F1117" s="2">
        <v>0</v>
      </c>
      <c r="G1117" s="2">
        <v>0</v>
      </c>
      <c r="H1117" s="2">
        <v>0.336312</v>
      </c>
      <c r="I1117" s="2">
        <v>0</v>
      </c>
      <c r="J1117" s="5">
        <f t="shared" si="34"/>
        <v>0.336312</v>
      </c>
      <c r="K1117" s="5">
        <f t="shared" si="35"/>
        <v>0.336312</v>
      </c>
      <c r="L1117" s="6">
        <f>K1117/'Quellen &amp; Annahmen'!$B$2</f>
        <v>3.046279789954592E-6</v>
      </c>
      <c r="M1117" s="7" t="s">
        <v>187</v>
      </c>
      <c r="N1117" s="7" t="s">
        <v>188</v>
      </c>
    </row>
    <row r="1118" spans="1:14" ht="18" customHeight="1">
      <c r="A1118">
        <v>1117</v>
      </c>
      <c r="B1118" t="s">
        <v>1205</v>
      </c>
      <c r="C1118" t="s">
        <v>23</v>
      </c>
      <c r="D1118" s="2">
        <v>0</v>
      </c>
      <c r="E1118" s="2">
        <v>0</v>
      </c>
      <c r="F1118" s="2">
        <v>0</v>
      </c>
      <c r="G1118" s="2">
        <v>0</v>
      </c>
      <c r="H1118" s="2">
        <v>0.336312</v>
      </c>
      <c r="I1118" s="2">
        <v>0</v>
      </c>
      <c r="J1118" s="5">
        <f t="shared" si="34"/>
        <v>0.336312</v>
      </c>
      <c r="K1118" s="5">
        <f t="shared" si="35"/>
        <v>0.336312</v>
      </c>
      <c r="L1118" s="6">
        <f>K1118/'Quellen &amp; Annahmen'!$B$2</f>
        <v>3.046279789954592E-6</v>
      </c>
      <c r="M1118" s="7" t="s">
        <v>187</v>
      </c>
      <c r="N1118" s="7" t="s">
        <v>188</v>
      </c>
    </row>
    <row r="1119" spans="1:14" ht="18" customHeight="1">
      <c r="A1119">
        <v>1118</v>
      </c>
      <c r="B1119" t="s">
        <v>1206</v>
      </c>
      <c r="C1119" t="s">
        <v>41</v>
      </c>
      <c r="D1119" s="2">
        <v>0</v>
      </c>
      <c r="E1119" s="2">
        <v>0</v>
      </c>
      <c r="F1119" s="2">
        <v>0</v>
      </c>
      <c r="G1119" s="2">
        <v>0</v>
      </c>
      <c r="H1119" s="2">
        <v>0.336312</v>
      </c>
      <c r="I1119" s="2">
        <v>0</v>
      </c>
      <c r="J1119" s="5">
        <f t="shared" si="34"/>
        <v>0.336312</v>
      </c>
      <c r="K1119" s="5">
        <f t="shared" si="35"/>
        <v>0.336312</v>
      </c>
      <c r="L1119" s="6">
        <f>K1119/'Quellen &amp; Annahmen'!$B$2</f>
        <v>3.046279789954592E-6</v>
      </c>
      <c r="M1119" s="7" t="s">
        <v>187</v>
      </c>
      <c r="N1119" s="7" t="s">
        <v>188</v>
      </c>
    </row>
    <row r="1120" spans="1:14" ht="18" customHeight="1">
      <c r="A1120">
        <v>1119</v>
      </c>
      <c r="B1120" t="s">
        <v>1207</v>
      </c>
      <c r="C1120" t="s">
        <v>33</v>
      </c>
      <c r="D1120" s="2">
        <v>0</v>
      </c>
      <c r="E1120" s="2">
        <v>0</v>
      </c>
      <c r="F1120" s="2">
        <v>0</v>
      </c>
      <c r="G1120" s="2">
        <v>0</v>
      </c>
      <c r="H1120" s="2">
        <v>0.336312</v>
      </c>
      <c r="I1120" s="2">
        <v>0</v>
      </c>
      <c r="J1120" s="5">
        <f t="shared" si="34"/>
        <v>0.336312</v>
      </c>
      <c r="K1120" s="5">
        <f t="shared" si="35"/>
        <v>0.336312</v>
      </c>
      <c r="L1120" s="6">
        <f>K1120/'Quellen &amp; Annahmen'!$B$2</f>
        <v>3.046279789954592E-6</v>
      </c>
      <c r="M1120" s="7" t="s">
        <v>187</v>
      </c>
      <c r="N1120" s="7" t="s">
        <v>188</v>
      </c>
    </row>
    <row r="1121" spans="1:14" ht="18" customHeight="1">
      <c r="A1121">
        <v>1120</v>
      </c>
      <c r="B1121" t="s">
        <v>1208</v>
      </c>
      <c r="C1121" t="s">
        <v>38</v>
      </c>
      <c r="D1121" s="2">
        <v>0</v>
      </c>
      <c r="E1121" s="2">
        <v>0</v>
      </c>
      <c r="F1121" s="2">
        <v>0</v>
      </c>
      <c r="G1121" s="2">
        <v>0</v>
      </c>
      <c r="H1121" s="2">
        <v>0.336312</v>
      </c>
      <c r="I1121" s="2">
        <v>0</v>
      </c>
      <c r="J1121" s="5">
        <f t="shared" si="34"/>
        <v>0.336312</v>
      </c>
      <c r="K1121" s="5">
        <f t="shared" si="35"/>
        <v>0.336312</v>
      </c>
      <c r="L1121" s="6">
        <f>K1121/'Quellen &amp; Annahmen'!$B$2</f>
        <v>3.046279789954592E-6</v>
      </c>
      <c r="M1121" s="7" t="s">
        <v>187</v>
      </c>
      <c r="N1121" s="7" t="s">
        <v>188</v>
      </c>
    </row>
    <row r="1122" spans="1:14" ht="18" customHeight="1">
      <c r="A1122">
        <v>1121</v>
      </c>
      <c r="B1122" t="s">
        <v>1209</v>
      </c>
      <c r="C1122" t="s">
        <v>38</v>
      </c>
      <c r="D1122" s="2">
        <v>0</v>
      </c>
      <c r="E1122" s="2">
        <v>0</v>
      </c>
      <c r="F1122" s="2">
        <v>0</v>
      </c>
      <c r="G1122" s="2">
        <v>0</v>
      </c>
      <c r="H1122" s="2">
        <v>0.336312</v>
      </c>
      <c r="I1122" s="2">
        <v>0</v>
      </c>
      <c r="J1122" s="5">
        <f t="shared" si="34"/>
        <v>0.336312</v>
      </c>
      <c r="K1122" s="5">
        <f t="shared" si="35"/>
        <v>0.336312</v>
      </c>
      <c r="L1122" s="6">
        <f>K1122/'Quellen &amp; Annahmen'!$B$2</f>
        <v>3.046279789954592E-6</v>
      </c>
      <c r="M1122" s="7" t="s">
        <v>187</v>
      </c>
      <c r="N1122" s="7" t="s">
        <v>188</v>
      </c>
    </row>
    <row r="1123" spans="1:14" ht="18" customHeight="1">
      <c r="A1123">
        <v>1122</v>
      </c>
      <c r="B1123" t="s">
        <v>1210</v>
      </c>
      <c r="C1123" t="s">
        <v>50</v>
      </c>
      <c r="D1123" s="2">
        <v>0</v>
      </c>
      <c r="E1123" s="2">
        <v>0</v>
      </c>
      <c r="F1123" s="2">
        <v>0</v>
      </c>
      <c r="G1123" s="2">
        <v>0</v>
      </c>
      <c r="H1123" s="2">
        <v>0.336312</v>
      </c>
      <c r="I1123" s="2">
        <v>0</v>
      </c>
      <c r="J1123" s="5">
        <f t="shared" si="34"/>
        <v>0.336312</v>
      </c>
      <c r="K1123" s="5">
        <f t="shared" si="35"/>
        <v>0.336312</v>
      </c>
      <c r="L1123" s="6">
        <f>K1123/'Quellen &amp; Annahmen'!$B$2</f>
        <v>3.046279789954592E-6</v>
      </c>
      <c r="M1123" s="7" t="s">
        <v>187</v>
      </c>
      <c r="N1123" s="7" t="s">
        <v>188</v>
      </c>
    </row>
    <row r="1124" spans="1:14" ht="18" customHeight="1">
      <c r="A1124">
        <v>1123</v>
      </c>
      <c r="B1124" t="s">
        <v>1211</v>
      </c>
      <c r="C1124" t="s">
        <v>25</v>
      </c>
      <c r="D1124" s="2">
        <v>0</v>
      </c>
      <c r="E1124" s="2">
        <v>0</v>
      </c>
      <c r="F1124" s="2">
        <v>0</v>
      </c>
      <c r="G1124" s="2">
        <v>0</v>
      </c>
      <c r="H1124" s="2">
        <v>0.336312</v>
      </c>
      <c r="I1124" s="2">
        <v>0</v>
      </c>
      <c r="J1124" s="5">
        <f t="shared" si="34"/>
        <v>0.336312</v>
      </c>
      <c r="K1124" s="5">
        <f t="shared" si="35"/>
        <v>0.336312</v>
      </c>
      <c r="L1124" s="6">
        <f>K1124/'Quellen &amp; Annahmen'!$B$2</f>
        <v>3.046279789954592E-6</v>
      </c>
      <c r="M1124" s="7" t="s">
        <v>187</v>
      </c>
      <c r="N1124" s="7" t="s">
        <v>188</v>
      </c>
    </row>
    <row r="1125" spans="1:14" ht="18" customHeight="1">
      <c r="A1125">
        <v>1124</v>
      </c>
      <c r="B1125" t="s">
        <v>1212</v>
      </c>
      <c r="C1125" t="s">
        <v>25</v>
      </c>
      <c r="D1125" s="2">
        <v>0</v>
      </c>
      <c r="E1125" s="2">
        <v>0</v>
      </c>
      <c r="F1125" s="2">
        <v>0</v>
      </c>
      <c r="G1125" s="2">
        <v>0</v>
      </c>
      <c r="H1125" s="2">
        <v>0.336312</v>
      </c>
      <c r="I1125" s="2">
        <v>0</v>
      </c>
      <c r="J1125" s="5">
        <f t="shared" si="34"/>
        <v>0.336312</v>
      </c>
      <c r="K1125" s="5">
        <f t="shared" si="35"/>
        <v>0.336312</v>
      </c>
      <c r="L1125" s="6">
        <f>K1125/'Quellen &amp; Annahmen'!$B$2</f>
        <v>3.046279789954592E-6</v>
      </c>
      <c r="M1125" s="7" t="s">
        <v>187</v>
      </c>
      <c r="N1125" s="7" t="s">
        <v>188</v>
      </c>
    </row>
    <row r="1126" spans="1:14" ht="18" customHeight="1">
      <c r="A1126">
        <v>1125</v>
      </c>
      <c r="B1126" t="s">
        <v>1213</v>
      </c>
      <c r="C1126" t="s">
        <v>253</v>
      </c>
      <c r="D1126" s="2">
        <v>0</v>
      </c>
      <c r="E1126" s="2">
        <v>0</v>
      </c>
      <c r="F1126" s="2">
        <v>0</v>
      </c>
      <c r="G1126" s="2">
        <v>0</v>
      </c>
      <c r="H1126" s="2">
        <v>0.336312</v>
      </c>
      <c r="I1126" s="2">
        <v>0</v>
      </c>
      <c r="J1126" s="5">
        <f t="shared" si="34"/>
        <v>0.336312</v>
      </c>
      <c r="K1126" s="5">
        <f t="shared" si="35"/>
        <v>0.336312</v>
      </c>
      <c r="L1126" s="6">
        <f>K1126/'Quellen &amp; Annahmen'!$B$2</f>
        <v>3.046279789954592E-6</v>
      </c>
      <c r="M1126" s="7" t="s">
        <v>187</v>
      </c>
      <c r="N1126" s="7" t="s">
        <v>188</v>
      </c>
    </row>
    <row r="1127" spans="1:14" ht="18" customHeight="1">
      <c r="A1127">
        <v>1126</v>
      </c>
      <c r="B1127" t="s">
        <v>1214</v>
      </c>
      <c r="C1127" t="s">
        <v>41</v>
      </c>
      <c r="D1127" s="2">
        <v>0</v>
      </c>
      <c r="E1127" s="2">
        <v>0</v>
      </c>
      <c r="F1127" s="2">
        <v>0</v>
      </c>
      <c r="G1127" s="2">
        <v>0</v>
      </c>
      <c r="H1127" s="2">
        <v>0.336312</v>
      </c>
      <c r="I1127" s="2">
        <v>0</v>
      </c>
      <c r="J1127" s="5">
        <f t="shared" si="34"/>
        <v>0.336312</v>
      </c>
      <c r="K1127" s="5">
        <f t="shared" si="35"/>
        <v>0.336312</v>
      </c>
      <c r="L1127" s="6">
        <f>K1127/'Quellen &amp; Annahmen'!$B$2</f>
        <v>3.046279789954592E-6</v>
      </c>
      <c r="M1127" s="7" t="s">
        <v>187</v>
      </c>
      <c r="N1127" s="7" t="s">
        <v>188</v>
      </c>
    </row>
    <row r="1128" spans="1:14" ht="18" customHeight="1">
      <c r="A1128">
        <v>1127</v>
      </c>
      <c r="B1128" t="s">
        <v>1215</v>
      </c>
      <c r="C1128" t="s">
        <v>27</v>
      </c>
      <c r="D1128" s="2">
        <v>0</v>
      </c>
      <c r="E1128" s="2">
        <v>0</v>
      </c>
      <c r="F1128" s="2">
        <v>0</v>
      </c>
      <c r="G1128" s="2">
        <v>0</v>
      </c>
      <c r="H1128" s="2">
        <v>0.336312</v>
      </c>
      <c r="I1128" s="2">
        <v>0</v>
      </c>
      <c r="J1128" s="5">
        <f t="shared" si="34"/>
        <v>0.336312</v>
      </c>
      <c r="K1128" s="5">
        <f t="shared" si="35"/>
        <v>0.336312</v>
      </c>
      <c r="L1128" s="6">
        <f>K1128/'Quellen &amp; Annahmen'!$B$2</f>
        <v>3.046279789954592E-6</v>
      </c>
      <c r="M1128" s="7" t="s">
        <v>187</v>
      </c>
      <c r="N1128" s="7" t="s">
        <v>188</v>
      </c>
    </row>
    <row r="1129" spans="1:14" ht="18" customHeight="1">
      <c r="A1129">
        <v>1128</v>
      </c>
      <c r="B1129" t="s">
        <v>1216</v>
      </c>
      <c r="C1129" t="s">
        <v>50</v>
      </c>
      <c r="D1129" s="2">
        <v>0</v>
      </c>
      <c r="E1129" s="2">
        <v>0</v>
      </c>
      <c r="F1129" s="2">
        <v>0</v>
      </c>
      <c r="G1129" s="2">
        <v>0</v>
      </c>
      <c r="H1129" s="2">
        <v>0.336312</v>
      </c>
      <c r="I1129" s="2">
        <v>0</v>
      </c>
      <c r="J1129" s="5">
        <f t="shared" si="34"/>
        <v>0.336312</v>
      </c>
      <c r="K1129" s="5">
        <f t="shared" si="35"/>
        <v>0.336312</v>
      </c>
      <c r="L1129" s="6">
        <f>K1129/'Quellen &amp; Annahmen'!$B$2</f>
        <v>3.046279789954592E-6</v>
      </c>
      <c r="M1129" s="7" t="s">
        <v>187</v>
      </c>
      <c r="N1129" s="7" t="s">
        <v>188</v>
      </c>
    </row>
    <row r="1130" spans="1:14" ht="18" customHeight="1">
      <c r="A1130">
        <v>1129</v>
      </c>
      <c r="B1130" t="s">
        <v>1217</v>
      </c>
      <c r="C1130" t="s">
        <v>38</v>
      </c>
      <c r="D1130" s="2">
        <v>0</v>
      </c>
      <c r="E1130" s="2">
        <v>0</v>
      </c>
      <c r="F1130" s="2">
        <v>0</v>
      </c>
      <c r="G1130" s="2">
        <v>0</v>
      </c>
      <c r="H1130" s="2">
        <v>0.336312</v>
      </c>
      <c r="I1130" s="2">
        <v>0</v>
      </c>
      <c r="J1130" s="5">
        <f t="shared" si="34"/>
        <v>0.336312</v>
      </c>
      <c r="K1130" s="5">
        <f t="shared" si="35"/>
        <v>0.336312</v>
      </c>
      <c r="L1130" s="6">
        <f>K1130/'Quellen &amp; Annahmen'!$B$2</f>
        <v>3.046279789954592E-6</v>
      </c>
      <c r="M1130" s="7" t="s">
        <v>187</v>
      </c>
      <c r="N1130" s="7" t="s">
        <v>188</v>
      </c>
    </row>
    <row r="1131" spans="1:14" ht="18" customHeight="1">
      <c r="A1131">
        <v>1130</v>
      </c>
      <c r="B1131" t="s">
        <v>1218</v>
      </c>
      <c r="C1131" t="s">
        <v>38</v>
      </c>
      <c r="D1131" s="2">
        <v>0</v>
      </c>
      <c r="E1131" s="2">
        <v>0</v>
      </c>
      <c r="F1131" s="2">
        <v>0</v>
      </c>
      <c r="G1131" s="2">
        <v>0</v>
      </c>
      <c r="H1131" s="2">
        <v>0.336312</v>
      </c>
      <c r="I1131" s="2">
        <v>0</v>
      </c>
      <c r="J1131" s="5">
        <f t="shared" si="34"/>
        <v>0.336312</v>
      </c>
      <c r="K1131" s="5">
        <f t="shared" si="35"/>
        <v>0.336312</v>
      </c>
      <c r="L1131" s="6">
        <f>K1131/'Quellen &amp; Annahmen'!$B$2</f>
        <v>3.046279789954592E-6</v>
      </c>
      <c r="M1131" s="7" t="s">
        <v>187</v>
      </c>
      <c r="N1131" s="7" t="s">
        <v>188</v>
      </c>
    </row>
    <row r="1132" spans="1:14" ht="18" customHeight="1">
      <c r="A1132">
        <v>1131</v>
      </c>
      <c r="B1132" t="s">
        <v>1219</v>
      </c>
      <c r="C1132" t="s">
        <v>41</v>
      </c>
      <c r="D1132" s="2">
        <v>0</v>
      </c>
      <c r="E1132" s="2">
        <v>0</v>
      </c>
      <c r="F1132" s="2">
        <v>0</v>
      </c>
      <c r="G1132" s="2">
        <v>0</v>
      </c>
      <c r="H1132" s="2">
        <v>0.336312</v>
      </c>
      <c r="I1132" s="2">
        <v>0</v>
      </c>
      <c r="J1132" s="5">
        <f t="shared" si="34"/>
        <v>0.336312</v>
      </c>
      <c r="K1132" s="5">
        <f t="shared" si="35"/>
        <v>0.336312</v>
      </c>
      <c r="L1132" s="6">
        <f>K1132/'Quellen &amp; Annahmen'!$B$2</f>
        <v>3.046279789954592E-6</v>
      </c>
      <c r="M1132" s="7" t="s">
        <v>187</v>
      </c>
      <c r="N1132" s="7" t="s">
        <v>188</v>
      </c>
    </row>
    <row r="1133" spans="1:14" ht="18" customHeight="1">
      <c r="A1133">
        <v>1132</v>
      </c>
      <c r="B1133" t="s">
        <v>1220</v>
      </c>
      <c r="C1133" t="s">
        <v>33</v>
      </c>
      <c r="D1133" s="2">
        <v>0</v>
      </c>
      <c r="E1133" s="2">
        <v>0</v>
      </c>
      <c r="F1133" s="2">
        <v>0</v>
      </c>
      <c r="G1133" s="2">
        <v>0</v>
      </c>
      <c r="H1133" s="2">
        <v>0.336312</v>
      </c>
      <c r="I1133" s="2">
        <v>0</v>
      </c>
      <c r="J1133" s="5">
        <f t="shared" si="34"/>
        <v>0.336312</v>
      </c>
      <c r="K1133" s="5">
        <f t="shared" si="35"/>
        <v>0.336312</v>
      </c>
      <c r="L1133" s="6">
        <f>K1133/'Quellen &amp; Annahmen'!$B$2</f>
        <v>3.046279789954592E-6</v>
      </c>
      <c r="M1133" s="7" t="s">
        <v>187</v>
      </c>
      <c r="N1133" s="7" t="s">
        <v>188</v>
      </c>
    </row>
    <row r="1134" spans="1:14" ht="18" customHeight="1">
      <c r="A1134">
        <v>1133</v>
      </c>
      <c r="B1134" t="s">
        <v>1221</v>
      </c>
      <c r="C1134" t="s">
        <v>27</v>
      </c>
      <c r="D1134" s="2">
        <v>0</v>
      </c>
      <c r="E1134" s="2">
        <v>0</v>
      </c>
      <c r="F1134" s="2">
        <v>0</v>
      </c>
      <c r="G1134" s="2">
        <v>0</v>
      </c>
      <c r="H1134" s="2">
        <v>0.336312</v>
      </c>
      <c r="I1134" s="2">
        <v>0</v>
      </c>
      <c r="J1134" s="5">
        <f t="shared" si="34"/>
        <v>0.336312</v>
      </c>
      <c r="K1134" s="5">
        <f t="shared" si="35"/>
        <v>0.336312</v>
      </c>
      <c r="L1134" s="6">
        <f>K1134/'Quellen &amp; Annahmen'!$B$2</f>
        <v>3.046279789954592E-6</v>
      </c>
      <c r="M1134" s="7" t="s">
        <v>187</v>
      </c>
      <c r="N1134" s="7" t="s">
        <v>188</v>
      </c>
    </row>
    <row r="1135" spans="1:14" ht="18" customHeight="1">
      <c r="A1135">
        <v>1134</v>
      </c>
      <c r="B1135" t="s">
        <v>1222</v>
      </c>
      <c r="C1135" t="s">
        <v>23</v>
      </c>
      <c r="D1135" s="2">
        <v>0</v>
      </c>
      <c r="E1135" s="2">
        <v>0</v>
      </c>
      <c r="F1135" s="2">
        <v>0</v>
      </c>
      <c r="G1135" s="2">
        <v>0</v>
      </c>
      <c r="H1135" s="2">
        <v>0.336312</v>
      </c>
      <c r="I1135" s="2">
        <v>0</v>
      </c>
      <c r="J1135" s="5">
        <f t="shared" si="34"/>
        <v>0.336312</v>
      </c>
      <c r="K1135" s="5">
        <f t="shared" si="35"/>
        <v>0.336312</v>
      </c>
      <c r="L1135" s="6">
        <f>K1135/'Quellen &amp; Annahmen'!$B$2</f>
        <v>3.046279789954592E-6</v>
      </c>
      <c r="M1135" s="7" t="s">
        <v>187</v>
      </c>
      <c r="N1135" s="7" t="s">
        <v>188</v>
      </c>
    </row>
    <row r="1136" spans="1:14" ht="18" customHeight="1">
      <c r="A1136">
        <v>1135</v>
      </c>
      <c r="B1136" t="s">
        <v>1223</v>
      </c>
      <c r="C1136" t="s">
        <v>50</v>
      </c>
      <c r="D1136" s="2">
        <v>0</v>
      </c>
      <c r="E1136" s="2">
        <v>0</v>
      </c>
      <c r="F1136" s="2">
        <v>0</v>
      </c>
      <c r="G1136" s="2">
        <v>0</v>
      </c>
      <c r="H1136" s="2">
        <v>0.336312</v>
      </c>
      <c r="I1136" s="2">
        <v>0</v>
      </c>
      <c r="J1136" s="5">
        <f t="shared" si="34"/>
        <v>0.336312</v>
      </c>
      <c r="K1136" s="5">
        <f t="shared" si="35"/>
        <v>0.336312</v>
      </c>
      <c r="L1136" s="6">
        <f>K1136/'Quellen &amp; Annahmen'!$B$2</f>
        <v>3.046279789954592E-6</v>
      </c>
      <c r="M1136" s="7" t="s">
        <v>187</v>
      </c>
      <c r="N1136" s="7" t="s">
        <v>188</v>
      </c>
    </row>
    <row r="1137" spans="1:14" ht="18" customHeight="1">
      <c r="A1137">
        <v>1136</v>
      </c>
      <c r="B1137" t="s">
        <v>1224</v>
      </c>
      <c r="C1137" t="s">
        <v>263</v>
      </c>
      <c r="D1137" s="2">
        <v>0</v>
      </c>
      <c r="E1137" s="2">
        <v>0</v>
      </c>
      <c r="F1137" s="2">
        <v>0</v>
      </c>
      <c r="G1137" s="2">
        <v>0</v>
      </c>
      <c r="H1137" s="2">
        <v>0.336312</v>
      </c>
      <c r="I1137" s="2">
        <v>0</v>
      </c>
      <c r="J1137" s="5">
        <f t="shared" si="34"/>
        <v>0.336312</v>
      </c>
      <c r="K1137" s="5">
        <f t="shared" si="35"/>
        <v>0.336312</v>
      </c>
      <c r="L1137" s="6">
        <f>K1137/'Quellen &amp; Annahmen'!$B$2</f>
        <v>3.046279789954592E-6</v>
      </c>
      <c r="M1137" s="7" t="s">
        <v>187</v>
      </c>
      <c r="N1137" s="7" t="s">
        <v>188</v>
      </c>
    </row>
    <row r="1138" spans="1:14" ht="18" customHeight="1">
      <c r="A1138">
        <v>1137</v>
      </c>
      <c r="B1138" t="s">
        <v>1225</v>
      </c>
      <c r="C1138" t="s">
        <v>50</v>
      </c>
      <c r="D1138" s="2">
        <v>0</v>
      </c>
      <c r="E1138" s="2">
        <v>0</v>
      </c>
      <c r="F1138" s="2">
        <v>0</v>
      </c>
      <c r="G1138" s="2">
        <v>0</v>
      </c>
      <c r="H1138" s="2">
        <v>0.336312</v>
      </c>
      <c r="I1138" s="2">
        <v>0</v>
      </c>
      <c r="J1138" s="5">
        <f t="shared" si="34"/>
        <v>0.336312</v>
      </c>
      <c r="K1138" s="5">
        <f t="shared" si="35"/>
        <v>0.336312</v>
      </c>
      <c r="L1138" s="6">
        <f>K1138/'Quellen &amp; Annahmen'!$B$2</f>
        <v>3.046279789954592E-6</v>
      </c>
      <c r="M1138" s="7" t="s">
        <v>187</v>
      </c>
      <c r="N1138" s="7" t="s">
        <v>188</v>
      </c>
    </row>
    <row r="1139" spans="1:14" ht="18" customHeight="1">
      <c r="A1139">
        <v>1138</v>
      </c>
      <c r="B1139" t="s">
        <v>1226</v>
      </c>
      <c r="C1139" t="s">
        <v>50</v>
      </c>
      <c r="D1139" s="2">
        <v>0</v>
      </c>
      <c r="E1139" s="2">
        <v>0</v>
      </c>
      <c r="F1139" s="2">
        <v>0</v>
      </c>
      <c r="G1139" s="2">
        <v>0</v>
      </c>
      <c r="H1139" s="2">
        <v>0.336312</v>
      </c>
      <c r="I1139" s="2">
        <v>0</v>
      </c>
      <c r="J1139" s="5">
        <f t="shared" si="34"/>
        <v>0.336312</v>
      </c>
      <c r="K1139" s="5">
        <f t="shared" si="35"/>
        <v>0.336312</v>
      </c>
      <c r="L1139" s="6">
        <f>K1139/'Quellen &amp; Annahmen'!$B$2</f>
        <v>3.046279789954592E-6</v>
      </c>
      <c r="M1139" s="7" t="s">
        <v>187</v>
      </c>
      <c r="N1139" s="7" t="s">
        <v>188</v>
      </c>
    </row>
    <row r="1140" spans="1:14" ht="18" customHeight="1">
      <c r="A1140">
        <v>1139</v>
      </c>
      <c r="B1140" t="s">
        <v>1227</v>
      </c>
      <c r="C1140" t="s">
        <v>124</v>
      </c>
      <c r="D1140" s="2">
        <v>0</v>
      </c>
      <c r="E1140" s="2">
        <v>0</v>
      </c>
      <c r="F1140" s="2">
        <v>0</v>
      </c>
      <c r="G1140" s="2">
        <v>0</v>
      </c>
      <c r="H1140" s="2">
        <v>0.336312</v>
      </c>
      <c r="I1140" s="2">
        <v>0</v>
      </c>
      <c r="J1140" s="5">
        <f t="shared" si="34"/>
        <v>0.336312</v>
      </c>
      <c r="K1140" s="5">
        <f t="shared" si="35"/>
        <v>0.336312</v>
      </c>
      <c r="L1140" s="6">
        <f>K1140/'Quellen &amp; Annahmen'!$B$2</f>
        <v>3.046279789954592E-6</v>
      </c>
      <c r="M1140" s="7" t="s">
        <v>187</v>
      </c>
      <c r="N1140" s="7" t="s">
        <v>188</v>
      </c>
    </row>
    <row r="1141" spans="1:14" ht="18" customHeight="1">
      <c r="A1141">
        <v>1140</v>
      </c>
      <c r="B1141" t="s">
        <v>1228</v>
      </c>
      <c r="C1141" t="s">
        <v>33</v>
      </c>
      <c r="D1141" s="2">
        <v>0</v>
      </c>
      <c r="E1141" s="2">
        <v>0</v>
      </c>
      <c r="F1141" s="2">
        <v>0</v>
      </c>
      <c r="G1141" s="2">
        <v>0</v>
      </c>
      <c r="H1141" s="2">
        <v>0.336312</v>
      </c>
      <c r="I1141" s="2">
        <v>0</v>
      </c>
      <c r="J1141" s="5">
        <f t="shared" si="34"/>
        <v>0.336312</v>
      </c>
      <c r="K1141" s="5">
        <f t="shared" si="35"/>
        <v>0.336312</v>
      </c>
      <c r="L1141" s="6">
        <f>K1141/'Quellen &amp; Annahmen'!$B$2</f>
        <v>3.046279789954592E-6</v>
      </c>
      <c r="M1141" s="7" t="s">
        <v>187</v>
      </c>
      <c r="N1141" s="7" t="s">
        <v>188</v>
      </c>
    </row>
    <row r="1142" spans="1:14" ht="18" customHeight="1">
      <c r="A1142">
        <v>1141</v>
      </c>
      <c r="B1142" t="s">
        <v>1229</v>
      </c>
      <c r="C1142" t="s">
        <v>23</v>
      </c>
      <c r="D1142" s="2">
        <v>0</v>
      </c>
      <c r="E1142" s="2">
        <v>0</v>
      </c>
      <c r="F1142" s="2">
        <v>0</v>
      </c>
      <c r="G1142" s="2">
        <v>0</v>
      </c>
      <c r="H1142" s="2">
        <v>0.336312</v>
      </c>
      <c r="I1142" s="2">
        <v>0</v>
      </c>
      <c r="J1142" s="5">
        <f t="shared" si="34"/>
        <v>0.336312</v>
      </c>
      <c r="K1142" s="5">
        <f t="shared" si="35"/>
        <v>0.336312</v>
      </c>
      <c r="L1142" s="6">
        <f>K1142/'Quellen &amp; Annahmen'!$B$2</f>
        <v>3.046279789954592E-6</v>
      </c>
      <c r="M1142" s="7" t="s">
        <v>187</v>
      </c>
      <c r="N1142" s="7" t="s">
        <v>188</v>
      </c>
    </row>
    <row r="1143" spans="1:14" ht="18" customHeight="1">
      <c r="A1143">
        <v>1142</v>
      </c>
      <c r="B1143" t="s">
        <v>1230</v>
      </c>
      <c r="C1143" t="s">
        <v>50</v>
      </c>
      <c r="D1143" s="2">
        <v>0</v>
      </c>
      <c r="E1143" s="2">
        <v>0</v>
      </c>
      <c r="F1143" s="2">
        <v>0</v>
      </c>
      <c r="G1143" s="2">
        <v>0</v>
      </c>
      <c r="H1143" s="2">
        <v>0.336312</v>
      </c>
      <c r="I1143" s="2">
        <v>0</v>
      </c>
      <c r="J1143" s="5">
        <f t="shared" si="34"/>
        <v>0.336312</v>
      </c>
      <c r="K1143" s="5">
        <f t="shared" si="35"/>
        <v>0.336312</v>
      </c>
      <c r="L1143" s="6">
        <f>K1143/'Quellen &amp; Annahmen'!$B$2</f>
        <v>3.046279789954592E-6</v>
      </c>
      <c r="M1143" s="7" t="s">
        <v>187</v>
      </c>
      <c r="N1143" s="7" t="s">
        <v>188</v>
      </c>
    </row>
    <row r="1144" spans="1:14" ht="18" customHeight="1">
      <c r="A1144">
        <v>1143</v>
      </c>
      <c r="B1144" t="s">
        <v>1231</v>
      </c>
      <c r="C1144" t="s">
        <v>108</v>
      </c>
      <c r="D1144" s="2">
        <v>0</v>
      </c>
      <c r="E1144" s="2">
        <v>0</v>
      </c>
      <c r="F1144" s="2">
        <v>0</v>
      </c>
      <c r="G1144" s="2">
        <v>0</v>
      </c>
      <c r="H1144" s="2">
        <v>0.336312</v>
      </c>
      <c r="I1144" s="2">
        <v>0</v>
      </c>
      <c r="J1144" s="5">
        <f t="shared" si="34"/>
        <v>0.336312</v>
      </c>
      <c r="K1144" s="5">
        <f t="shared" si="35"/>
        <v>0.336312</v>
      </c>
      <c r="L1144" s="6">
        <f>K1144/'Quellen &amp; Annahmen'!$B$2</f>
        <v>3.046279789954592E-6</v>
      </c>
      <c r="M1144" s="7" t="s">
        <v>187</v>
      </c>
      <c r="N1144" s="7" t="s">
        <v>188</v>
      </c>
    </row>
    <row r="1145" spans="1:14" ht="18" customHeight="1">
      <c r="A1145">
        <v>1144</v>
      </c>
      <c r="B1145" t="s">
        <v>1232</v>
      </c>
      <c r="C1145" t="s">
        <v>23</v>
      </c>
      <c r="D1145" s="2">
        <v>0</v>
      </c>
      <c r="E1145" s="2">
        <v>0</v>
      </c>
      <c r="F1145" s="2">
        <v>0</v>
      </c>
      <c r="G1145" s="2">
        <v>0</v>
      </c>
      <c r="H1145" s="2">
        <v>0.336312</v>
      </c>
      <c r="I1145" s="2">
        <v>0</v>
      </c>
      <c r="J1145" s="5">
        <f t="shared" si="34"/>
        <v>0.336312</v>
      </c>
      <c r="K1145" s="5">
        <f t="shared" si="35"/>
        <v>0.336312</v>
      </c>
      <c r="L1145" s="6">
        <f>K1145/'Quellen &amp; Annahmen'!$B$2</f>
        <v>3.046279789954592E-6</v>
      </c>
      <c r="M1145" s="7" t="s">
        <v>187</v>
      </c>
      <c r="N1145" s="7" t="s">
        <v>188</v>
      </c>
    </row>
    <row r="1146" spans="1:14" ht="18" customHeight="1">
      <c r="A1146">
        <v>1145</v>
      </c>
      <c r="B1146" t="s">
        <v>1233</v>
      </c>
      <c r="C1146" t="s">
        <v>25</v>
      </c>
      <c r="D1146" s="2">
        <v>0</v>
      </c>
      <c r="E1146" s="2">
        <v>0</v>
      </c>
      <c r="F1146" s="2">
        <v>0</v>
      </c>
      <c r="G1146" s="2">
        <v>0</v>
      </c>
      <c r="H1146" s="2">
        <v>0.336312</v>
      </c>
      <c r="I1146" s="2">
        <v>0</v>
      </c>
      <c r="J1146" s="5">
        <f t="shared" si="34"/>
        <v>0.336312</v>
      </c>
      <c r="K1146" s="5">
        <f t="shared" si="35"/>
        <v>0.336312</v>
      </c>
      <c r="L1146" s="6">
        <f>K1146/'Quellen &amp; Annahmen'!$B$2</f>
        <v>3.046279789954592E-6</v>
      </c>
      <c r="M1146" s="7" t="s">
        <v>187</v>
      </c>
      <c r="N1146" s="7" t="s">
        <v>188</v>
      </c>
    </row>
    <row r="1147" spans="1:14" ht="18" customHeight="1">
      <c r="A1147">
        <v>1146</v>
      </c>
      <c r="B1147" t="s">
        <v>1234</v>
      </c>
      <c r="C1147" t="s">
        <v>27</v>
      </c>
      <c r="D1147" s="2">
        <v>0</v>
      </c>
      <c r="E1147" s="2">
        <v>0</v>
      </c>
      <c r="F1147" s="2">
        <v>0</v>
      </c>
      <c r="G1147" s="2">
        <v>0</v>
      </c>
      <c r="H1147" s="2">
        <v>0.336312</v>
      </c>
      <c r="I1147" s="2">
        <v>0</v>
      </c>
      <c r="J1147" s="5">
        <f t="shared" si="34"/>
        <v>0.336312</v>
      </c>
      <c r="K1147" s="5">
        <f t="shared" si="35"/>
        <v>0.336312</v>
      </c>
      <c r="L1147" s="6">
        <f>K1147/'Quellen &amp; Annahmen'!$B$2</f>
        <v>3.046279789954592E-6</v>
      </c>
      <c r="M1147" s="7" t="s">
        <v>187</v>
      </c>
      <c r="N1147" s="7" t="s">
        <v>188</v>
      </c>
    </row>
    <row r="1148" spans="1:14" ht="18" customHeight="1">
      <c r="A1148">
        <v>1147</v>
      </c>
      <c r="B1148" t="s">
        <v>1235</v>
      </c>
      <c r="C1148" t="s">
        <v>38</v>
      </c>
      <c r="D1148" s="2">
        <v>0</v>
      </c>
      <c r="E1148" s="2">
        <v>0</v>
      </c>
      <c r="F1148" s="2">
        <v>0</v>
      </c>
      <c r="G1148" s="2">
        <v>0</v>
      </c>
      <c r="H1148" s="2">
        <v>0.336312</v>
      </c>
      <c r="I1148" s="2">
        <v>0</v>
      </c>
      <c r="J1148" s="5">
        <f t="shared" si="34"/>
        <v>0.336312</v>
      </c>
      <c r="K1148" s="5">
        <f t="shared" si="35"/>
        <v>0.336312</v>
      </c>
      <c r="L1148" s="6">
        <f>K1148/'Quellen &amp; Annahmen'!$B$2</f>
        <v>3.046279789954592E-6</v>
      </c>
      <c r="M1148" s="7" t="s">
        <v>187</v>
      </c>
      <c r="N1148" s="7" t="s">
        <v>188</v>
      </c>
    </row>
    <row r="1149" spans="1:14" ht="18" customHeight="1">
      <c r="A1149">
        <v>1148</v>
      </c>
      <c r="B1149" t="s">
        <v>1236</v>
      </c>
      <c r="C1149" t="s">
        <v>253</v>
      </c>
      <c r="D1149" s="2">
        <v>0</v>
      </c>
      <c r="E1149" s="2">
        <v>0</v>
      </c>
      <c r="F1149" s="2">
        <v>0</v>
      </c>
      <c r="G1149" s="2">
        <v>0</v>
      </c>
      <c r="H1149" s="2">
        <v>0.336312</v>
      </c>
      <c r="I1149" s="2">
        <v>0</v>
      </c>
      <c r="J1149" s="5">
        <f t="shared" si="34"/>
        <v>0.336312</v>
      </c>
      <c r="K1149" s="5">
        <f t="shared" si="35"/>
        <v>0.336312</v>
      </c>
      <c r="L1149" s="6">
        <f>K1149/'Quellen &amp; Annahmen'!$B$2</f>
        <v>3.046279789954592E-6</v>
      </c>
      <c r="M1149" s="7" t="s">
        <v>187</v>
      </c>
      <c r="N1149" s="7" t="s">
        <v>188</v>
      </c>
    </row>
    <row r="1150" spans="1:14" ht="18" customHeight="1">
      <c r="A1150">
        <v>1149</v>
      </c>
      <c r="B1150" t="s">
        <v>1237</v>
      </c>
      <c r="C1150" t="s">
        <v>38</v>
      </c>
      <c r="D1150" s="2">
        <v>0</v>
      </c>
      <c r="E1150" s="2">
        <v>0</v>
      </c>
      <c r="F1150" s="2">
        <v>0</v>
      </c>
      <c r="G1150" s="2">
        <v>0</v>
      </c>
      <c r="H1150" s="2">
        <v>0.336312</v>
      </c>
      <c r="I1150" s="2">
        <v>0</v>
      </c>
      <c r="J1150" s="5">
        <f t="shared" si="34"/>
        <v>0.336312</v>
      </c>
      <c r="K1150" s="5">
        <f t="shared" si="35"/>
        <v>0.336312</v>
      </c>
      <c r="L1150" s="6">
        <f>K1150/'Quellen &amp; Annahmen'!$B$2</f>
        <v>3.046279789954592E-6</v>
      </c>
      <c r="M1150" s="7" t="s">
        <v>187</v>
      </c>
      <c r="N1150" s="7" t="s">
        <v>188</v>
      </c>
    </row>
    <row r="1151" spans="1:14" ht="18" customHeight="1">
      <c r="A1151">
        <v>1150</v>
      </c>
      <c r="B1151" t="s">
        <v>1238</v>
      </c>
      <c r="C1151" t="s">
        <v>263</v>
      </c>
      <c r="D1151" s="2">
        <v>0</v>
      </c>
      <c r="E1151" s="2">
        <v>0</v>
      </c>
      <c r="F1151" s="2">
        <v>0</v>
      </c>
      <c r="G1151" s="2">
        <v>0</v>
      </c>
      <c r="H1151" s="2">
        <v>0.336312</v>
      </c>
      <c r="I1151" s="2">
        <v>0</v>
      </c>
      <c r="J1151" s="5">
        <f t="shared" si="34"/>
        <v>0.336312</v>
      </c>
      <c r="K1151" s="5">
        <f t="shared" si="35"/>
        <v>0.336312</v>
      </c>
      <c r="L1151" s="6">
        <f>K1151/'Quellen &amp; Annahmen'!$B$2</f>
        <v>3.046279789954592E-6</v>
      </c>
      <c r="M1151" s="7" t="s">
        <v>187</v>
      </c>
      <c r="N1151" s="7" t="s">
        <v>188</v>
      </c>
    </row>
    <row r="1152" spans="1:14" ht="18" customHeight="1">
      <c r="A1152">
        <v>1151</v>
      </c>
      <c r="B1152" t="s">
        <v>1239</v>
      </c>
      <c r="C1152" t="s">
        <v>25</v>
      </c>
      <c r="D1152" s="2">
        <v>0</v>
      </c>
      <c r="E1152" s="2">
        <v>0</v>
      </c>
      <c r="F1152" s="2">
        <v>0</v>
      </c>
      <c r="G1152" s="2">
        <v>0</v>
      </c>
      <c r="H1152" s="2">
        <v>0.336312</v>
      </c>
      <c r="I1152" s="2">
        <v>0</v>
      </c>
      <c r="J1152" s="5">
        <f t="shared" si="34"/>
        <v>0.336312</v>
      </c>
      <c r="K1152" s="5">
        <f t="shared" si="35"/>
        <v>0.336312</v>
      </c>
      <c r="L1152" s="6">
        <f>K1152/'Quellen &amp; Annahmen'!$B$2</f>
        <v>3.046279789954592E-6</v>
      </c>
      <c r="M1152" s="7" t="s">
        <v>187</v>
      </c>
      <c r="N1152" s="7" t="s">
        <v>188</v>
      </c>
    </row>
    <row r="1153" spans="1:14" ht="18" customHeight="1">
      <c r="A1153">
        <v>1152</v>
      </c>
      <c r="B1153" t="s">
        <v>1240</v>
      </c>
      <c r="C1153" t="s">
        <v>41</v>
      </c>
      <c r="D1153" s="2">
        <v>0</v>
      </c>
      <c r="E1153" s="2">
        <v>0</v>
      </c>
      <c r="F1153" s="2">
        <v>0</v>
      </c>
      <c r="G1153" s="2">
        <v>0</v>
      </c>
      <c r="H1153" s="2">
        <v>0.336312</v>
      </c>
      <c r="I1153" s="2">
        <v>0</v>
      </c>
      <c r="J1153" s="5">
        <f t="shared" si="34"/>
        <v>0.336312</v>
      </c>
      <c r="K1153" s="5">
        <f t="shared" si="35"/>
        <v>0.336312</v>
      </c>
      <c r="L1153" s="6">
        <f>K1153/'Quellen &amp; Annahmen'!$B$2</f>
        <v>3.046279789954592E-6</v>
      </c>
      <c r="M1153" s="7" t="s">
        <v>187</v>
      </c>
      <c r="N1153" s="7" t="s">
        <v>188</v>
      </c>
    </row>
    <row r="1154" spans="1:14" ht="18" customHeight="1">
      <c r="A1154">
        <v>1153</v>
      </c>
      <c r="B1154" t="s">
        <v>1241</v>
      </c>
      <c r="C1154" t="s">
        <v>108</v>
      </c>
      <c r="D1154" s="2">
        <v>0</v>
      </c>
      <c r="E1154" s="2">
        <v>0</v>
      </c>
      <c r="F1154" s="2">
        <v>0</v>
      </c>
      <c r="G1154" s="2">
        <v>0</v>
      </c>
      <c r="H1154" s="2">
        <v>0.336312</v>
      </c>
      <c r="I1154" s="2">
        <v>0</v>
      </c>
      <c r="J1154" s="5">
        <f t="shared" ref="J1154:J1217" si="36">SUM(E1154:I1154)</f>
        <v>0.336312</v>
      </c>
      <c r="K1154" s="5">
        <f t="shared" ref="K1154:K1217" si="37">D1154+J1154</f>
        <v>0.336312</v>
      </c>
      <c r="L1154" s="6">
        <f>K1154/'Quellen &amp; Annahmen'!$B$2</f>
        <v>3.046279789954592E-6</v>
      </c>
      <c r="M1154" s="7" t="s">
        <v>187</v>
      </c>
      <c r="N1154" s="7" t="s">
        <v>188</v>
      </c>
    </row>
    <row r="1155" spans="1:14" ht="18" customHeight="1">
      <c r="A1155">
        <v>1154</v>
      </c>
      <c r="B1155" t="s">
        <v>1242</v>
      </c>
      <c r="C1155" t="s">
        <v>33</v>
      </c>
      <c r="D1155" s="2">
        <v>0</v>
      </c>
      <c r="E1155" s="2">
        <v>0</v>
      </c>
      <c r="F1155" s="2">
        <v>0</v>
      </c>
      <c r="G1155" s="2">
        <v>0</v>
      </c>
      <c r="H1155" s="2">
        <v>0.336312</v>
      </c>
      <c r="I1155" s="2">
        <v>0</v>
      </c>
      <c r="J1155" s="5">
        <f t="shared" si="36"/>
        <v>0.336312</v>
      </c>
      <c r="K1155" s="5">
        <f t="shared" si="37"/>
        <v>0.336312</v>
      </c>
      <c r="L1155" s="6">
        <f>K1155/'Quellen &amp; Annahmen'!$B$2</f>
        <v>3.046279789954592E-6</v>
      </c>
      <c r="M1155" s="7" t="s">
        <v>187</v>
      </c>
      <c r="N1155" s="7" t="s">
        <v>188</v>
      </c>
    </row>
    <row r="1156" spans="1:14" ht="18" customHeight="1">
      <c r="A1156">
        <v>1155</v>
      </c>
      <c r="B1156" t="s">
        <v>1243</v>
      </c>
      <c r="C1156" t="s">
        <v>27</v>
      </c>
      <c r="D1156" s="2">
        <v>0</v>
      </c>
      <c r="E1156" s="2">
        <v>0</v>
      </c>
      <c r="F1156" s="2">
        <v>0</v>
      </c>
      <c r="G1156" s="2">
        <v>0</v>
      </c>
      <c r="H1156" s="2">
        <v>0.336312</v>
      </c>
      <c r="I1156" s="2">
        <v>0</v>
      </c>
      <c r="J1156" s="5">
        <f t="shared" si="36"/>
        <v>0.336312</v>
      </c>
      <c r="K1156" s="5">
        <f t="shared" si="37"/>
        <v>0.336312</v>
      </c>
      <c r="L1156" s="6">
        <f>K1156/'Quellen &amp; Annahmen'!$B$2</f>
        <v>3.046279789954592E-6</v>
      </c>
      <c r="M1156" s="7" t="s">
        <v>187</v>
      </c>
      <c r="N1156" s="7" t="s">
        <v>188</v>
      </c>
    </row>
    <row r="1157" spans="1:14" ht="18" customHeight="1">
      <c r="A1157">
        <v>1156</v>
      </c>
      <c r="B1157" t="s">
        <v>1244</v>
      </c>
      <c r="C1157" t="s">
        <v>23</v>
      </c>
      <c r="D1157" s="2">
        <v>0</v>
      </c>
      <c r="E1157" s="2">
        <v>0</v>
      </c>
      <c r="F1157" s="2">
        <v>0</v>
      </c>
      <c r="G1157" s="2">
        <v>0</v>
      </c>
      <c r="H1157" s="2">
        <v>0.336312</v>
      </c>
      <c r="I1157" s="2">
        <v>0</v>
      </c>
      <c r="J1157" s="5">
        <f t="shared" si="36"/>
        <v>0.336312</v>
      </c>
      <c r="K1157" s="5">
        <f t="shared" si="37"/>
        <v>0.336312</v>
      </c>
      <c r="L1157" s="6">
        <f>K1157/'Quellen &amp; Annahmen'!$B$2</f>
        <v>3.046279789954592E-6</v>
      </c>
      <c r="M1157" s="7" t="s">
        <v>187</v>
      </c>
      <c r="N1157" s="7" t="s">
        <v>188</v>
      </c>
    </row>
    <row r="1158" spans="1:14" ht="18" customHeight="1">
      <c r="A1158">
        <v>1157</v>
      </c>
      <c r="B1158" t="s">
        <v>1245</v>
      </c>
      <c r="C1158" t="s">
        <v>33</v>
      </c>
      <c r="D1158" s="2">
        <v>0</v>
      </c>
      <c r="E1158" s="2">
        <v>0</v>
      </c>
      <c r="F1158" s="2">
        <v>0</v>
      </c>
      <c r="G1158" s="2">
        <v>0</v>
      </c>
      <c r="H1158" s="2">
        <v>0.336312</v>
      </c>
      <c r="I1158" s="2">
        <v>0</v>
      </c>
      <c r="J1158" s="5">
        <f t="shared" si="36"/>
        <v>0.336312</v>
      </c>
      <c r="K1158" s="5">
        <f t="shared" si="37"/>
        <v>0.336312</v>
      </c>
      <c r="L1158" s="6">
        <f>K1158/'Quellen &amp; Annahmen'!$B$2</f>
        <v>3.046279789954592E-6</v>
      </c>
      <c r="M1158" s="7" t="s">
        <v>187</v>
      </c>
      <c r="N1158" s="7" t="s">
        <v>188</v>
      </c>
    </row>
    <row r="1159" spans="1:14" ht="18" customHeight="1">
      <c r="A1159">
        <v>1158</v>
      </c>
      <c r="B1159" t="s">
        <v>1246</v>
      </c>
      <c r="C1159" t="s">
        <v>41</v>
      </c>
      <c r="D1159" s="2">
        <v>0</v>
      </c>
      <c r="E1159" s="2">
        <v>0</v>
      </c>
      <c r="F1159" s="2">
        <v>0</v>
      </c>
      <c r="G1159" s="2">
        <v>0</v>
      </c>
      <c r="H1159" s="2">
        <v>0.336312</v>
      </c>
      <c r="I1159" s="2">
        <v>0</v>
      </c>
      <c r="J1159" s="5">
        <f t="shared" si="36"/>
        <v>0.336312</v>
      </c>
      <c r="K1159" s="5">
        <f t="shared" si="37"/>
        <v>0.336312</v>
      </c>
      <c r="L1159" s="6">
        <f>K1159/'Quellen &amp; Annahmen'!$B$2</f>
        <v>3.046279789954592E-6</v>
      </c>
      <c r="M1159" s="7" t="s">
        <v>187</v>
      </c>
      <c r="N1159" s="7" t="s">
        <v>188</v>
      </c>
    </row>
    <row r="1160" spans="1:14" ht="18" customHeight="1">
      <c r="A1160">
        <v>1159</v>
      </c>
      <c r="B1160" t="s">
        <v>1247</v>
      </c>
      <c r="C1160" t="s">
        <v>50</v>
      </c>
      <c r="D1160" s="2">
        <v>0</v>
      </c>
      <c r="E1160" s="2">
        <v>0</v>
      </c>
      <c r="F1160" s="2">
        <v>0</v>
      </c>
      <c r="G1160" s="2">
        <v>0</v>
      </c>
      <c r="H1160" s="2">
        <v>0.336312</v>
      </c>
      <c r="I1160" s="2">
        <v>0</v>
      </c>
      <c r="J1160" s="5">
        <f t="shared" si="36"/>
        <v>0.336312</v>
      </c>
      <c r="K1160" s="5">
        <f t="shared" si="37"/>
        <v>0.336312</v>
      </c>
      <c r="L1160" s="6">
        <f>K1160/'Quellen &amp; Annahmen'!$B$2</f>
        <v>3.046279789954592E-6</v>
      </c>
      <c r="M1160" s="7" t="s">
        <v>187</v>
      </c>
      <c r="N1160" s="7" t="s">
        <v>188</v>
      </c>
    </row>
    <row r="1161" spans="1:14" ht="18" customHeight="1">
      <c r="A1161">
        <v>1160</v>
      </c>
      <c r="B1161" t="s">
        <v>1248</v>
      </c>
      <c r="C1161" t="s">
        <v>253</v>
      </c>
      <c r="D1161" s="2">
        <v>0</v>
      </c>
      <c r="E1161" s="2">
        <v>0</v>
      </c>
      <c r="F1161" s="2">
        <v>0</v>
      </c>
      <c r="G1161" s="2">
        <v>0</v>
      </c>
      <c r="H1161" s="2">
        <v>0.336312</v>
      </c>
      <c r="I1161" s="2">
        <v>0</v>
      </c>
      <c r="J1161" s="5">
        <f t="shared" si="36"/>
        <v>0.336312</v>
      </c>
      <c r="K1161" s="5">
        <f t="shared" si="37"/>
        <v>0.336312</v>
      </c>
      <c r="L1161" s="6">
        <f>K1161/'Quellen &amp; Annahmen'!$B$2</f>
        <v>3.046279789954592E-6</v>
      </c>
      <c r="M1161" s="7" t="s">
        <v>187</v>
      </c>
      <c r="N1161" s="7" t="s">
        <v>188</v>
      </c>
    </row>
    <row r="1162" spans="1:14" ht="18" customHeight="1">
      <c r="A1162">
        <v>1161</v>
      </c>
      <c r="B1162" t="s">
        <v>1249</v>
      </c>
      <c r="C1162" t="s">
        <v>50</v>
      </c>
      <c r="D1162" s="2">
        <v>0</v>
      </c>
      <c r="E1162" s="2">
        <v>0</v>
      </c>
      <c r="F1162" s="2">
        <v>0</v>
      </c>
      <c r="G1162" s="2">
        <v>0</v>
      </c>
      <c r="H1162" s="2">
        <v>0.336312</v>
      </c>
      <c r="I1162" s="2">
        <v>0</v>
      </c>
      <c r="J1162" s="5">
        <f t="shared" si="36"/>
        <v>0.336312</v>
      </c>
      <c r="K1162" s="5">
        <f t="shared" si="37"/>
        <v>0.336312</v>
      </c>
      <c r="L1162" s="6">
        <f>K1162/'Quellen &amp; Annahmen'!$B$2</f>
        <v>3.046279789954592E-6</v>
      </c>
      <c r="M1162" s="7" t="s">
        <v>187</v>
      </c>
      <c r="N1162" s="7" t="s">
        <v>188</v>
      </c>
    </row>
    <row r="1163" spans="1:14" ht="18" customHeight="1">
      <c r="A1163">
        <v>1162</v>
      </c>
      <c r="B1163" t="s">
        <v>1250</v>
      </c>
      <c r="C1163" t="s">
        <v>108</v>
      </c>
      <c r="D1163" s="2">
        <v>0</v>
      </c>
      <c r="E1163" s="2">
        <v>0</v>
      </c>
      <c r="F1163" s="2">
        <v>0</v>
      </c>
      <c r="G1163" s="2">
        <v>0</v>
      </c>
      <c r="H1163" s="2">
        <v>0.336312</v>
      </c>
      <c r="I1163" s="2">
        <v>0</v>
      </c>
      <c r="J1163" s="5">
        <f t="shared" si="36"/>
        <v>0.336312</v>
      </c>
      <c r="K1163" s="5">
        <f t="shared" si="37"/>
        <v>0.336312</v>
      </c>
      <c r="L1163" s="6">
        <f>K1163/'Quellen &amp; Annahmen'!$B$2</f>
        <v>3.046279789954592E-6</v>
      </c>
      <c r="M1163" s="7" t="s">
        <v>187</v>
      </c>
      <c r="N1163" s="7" t="s">
        <v>188</v>
      </c>
    </row>
    <row r="1164" spans="1:14" ht="18" customHeight="1">
      <c r="A1164">
        <v>1163</v>
      </c>
      <c r="B1164" t="s">
        <v>1251</v>
      </c>
      <c r="C1164" t="s">
        <v>50</v>
      </c>
      <c r="D1164" s="2">
        <v>0</v>
      </c>
      <c r="E1164" s="2">
        <v>0</v>
      </c>
      <c r="F1164" s="2">
        <v>0</v>
      </c>
      <c r="G1164" s="2">
        <v>0</v>
      </c>
      <c r="H1164" s="2">
        <v>0.336312</v>
      </c>
      <c r="I1164" s="2">
        <v>0</v>
      </c>
      <c r="J1164" s="5">
        <f t="shared" si="36"/>
        <v>0.336312</v>
      </c>
      <c r="K1164" s="5">
        <f t="shared" si="37"/>
        <v>0.336312</v>
      </c>
      <c r="L1164" s="6">
        <f>K1164/'Quellen &amp; Annahmen'!$B$2</f>
        <v>3.046279789954592E-6</v>
      </c>
      <c r="M1164" s="7" t="s">
        <v>187</v>
      </c>
      <c r="N1164" s="7" t="s">
        <v>188</v>
      </c>
    </row>
    <row r="1165" spans="1:14" ht="18" customHeight="1">
      <c r="A1165">
        <v>1164</v>
      </c>
      <c r="B1165" t="s">
        <v>1252</v>
      </c>
      <c r="C1165" t="s">
        <v>23</v>
      </c>
      <c r="D1165" s="2">
        <v>0</v>
      </c>
      <c r="E1165" s="2">
        <v>0</v>
      </c>
      <c r="F1165" s="2">
        <v>0</v>
      </c>
      <c r="G1165" s="2">
        <v>0</v>
      </c>
      <c r="H1165" s="2">
        <v>0.336312</v>
      </c>
      <c r="I1165" s="2">
        <v>0</v>
      </c>
      <c r="J1165" s="5">
        <f t="shared" si="36"/>
        <v>0.336312</v>
      </c>
      <c r="K1165" s="5">
        <f t="shared" si="37"/>
        <v>0.336312</v>
      </c>
      <c r="L1165" s="6">
        <f>K1165/'Quellen &amp; Annahmen'!$B$2</f>
        <v>3.046279789954592E-6</v>
      </c>
      <c r="M1165" s="7" t="s">
        <v>187</v>
      </c>
      <c r="N1165" s="7" t="s">
        <v>188</v>
      </c>
    </row>
    <row r="1166" spans="1:14" ht="18" customHeight="1">
      <c r="A1166">
        <v>1165</v>
      </c>
      <c r="B1166" t="s">
        <v>1253</v>
      </c>
      <c r="C1166" t="s">
        <v>23</v>
      </c>
      <c r="D1166" s="2">
        <v>0</v>
      </c>
      <c r="E1166" s="2">
        <v>0</v>
      </c>
      <c r="F1166" s="2">
        <v>0</v>
      </c>
      <c r="G1166" s="2">
        <v>0</v>
      </c>
      <c r="H1166" s="2">
        <v>0.336312</v>
      </c>
      <c r="I1166" s="2">
        <v>0</v>
      </c>
      <c r="J1166" s="5">
        <f t="shared" si="36"/>
        <v>0.336312</v>
      </c>
      <c r="K1166" s="5">
        <f t="shared" si="37"/>
        <v>0.336312</v>
      </c>
      <c r="L1166" s="6">
        <f>K1166/'Quellen &amp; Annahmen'!$B$2</f>
        <v>3.046279789954592E-6</v>
      </c>
      <c r="M1166" s="7" t="s">
        <v>187</v>
      </c>
      <c r="N1166" s="7" t="s">
        <v>188</v>
      </c>
    </row>
    <row r="1167" spans="1:14" ht="18" customHeight="1">
      <c r="A1167">
        <v>1166</v>
      </c>
      <c r="B1167" t="s">
        <v>1254</v>
      </c>
      <c r="C1167" t="s">
        <v>50</v>
      </c>
      <c r="D1167" s="2">
        <v>0</v>
      </c>
      <c r="E1167" s="2">
        <v>0</v>
      </c>
      <c r="F1167" s="2">
        <v>0</v>
      </c>
      <c r="G1167" s="2">
        <v>0</v>
      </c>
      <c r="H1167" s="2">
        <v>0.336312</v>
      </c>
      <c r="I1167" s="2">
        <v>0</v>
      </c>
      <c r="J1167" s="5">
        <f t="shared" si="36"/>
        <v>0.336312</v>
      </c>
      <c r="K1167" s="5">
        <f t="shared" si="37"/>
        <v>0.336312</v>
      </c>
      <c r="L1167" s="6">
        <f>K1167/'Quellen &amp; Annahmen'!$B$2</f>
        <v>3.046279789954592E-6</v>
      </c>
      <c r="M1167" s="7" t="s">
        <v>187</v>
      </c>
      <c r="N1167" s="7" t="s">
        <v>188</v>
      </c>
    </row>
    <row r="1168" spans="1:14" ht="18" customHeight="1">
      <c r="A1168">
        <v>1167</v>
      </c>
      <c r="B1168" t="s">
        <v>1255</v>
      </c>
      <c r="C1168" t="s">
        <v>50</v>
      </c>
      <c r="D1168" s="2">
        <v>0</v>
      </c>
      <c r="E1168" s="2">
        <v>0</v>
      </c>
      <c r="F1168" s="2">
        <v>0</v>
      </c>
      <c r="G1168" s="2">
        <v>0</v>
      </c>
      <c r="H1168" s="2">
        <v>0.336312</v>
      </c>
      <c r="I1168" s="2">
        <v>0</v>
      </c>
      <c r="J1168" s="5">
        <f t="shared" si="36"/>
        <v>0.336312</v>
      </c>
      <c r="K1168" s="5">
        <f t="shared" si="37"/>
        <v>0.336312</v>
      </c>
      <c r="L1168" s="6">
        <f>K1168/'Quellen &amp; Annahmen'!$B$2</f>
        <v>3.046279789954592E-6</v>
      </c>
      <c r="M1168" s="7" t="s">
        <v>187</v>
      </c>
      <c r="N1168" s="7" t="s">
        <v>188</v>
      </c>
    </row>
    <row r="1169" spans="1:14" ht="18" customHeight="1">
      <c r="A1169">
        <v>1168</v>
      </c>
      <c r="B1169" t="s">
        <v>1256</v>
      </c>
      <c r="C1169" t="s">
        <v>108</v>
      </c>
      <c r="D1169" s="2">
        <v>0</v>
      </c>
      <c r="E1169" s="2">
        <v>0</v>
      </c>
      <c r="F1169" s="2">
        <v>0</v>
      </c>
      <c r="G1169" s="2">
        <v>0</v>
      </c>
      <c r="H1169" s="2">
        <v>0.336312</v>
      </c>
      <c r="I1169" s="2">
        <v>0</v>
      </c>
      <c r="J1169" s="5">
        <f t="shared" si="36"/>
        <v>0.336312</v>
      </c>
      <c r="K1169" s="5">
        <f t="shared" si="37"/>
        <v>0.336312</v>
      </c>
      <c r="L1169" s="6">
        <f>K1169/'Quellen &amp; Annahmen'!$B$2</f>
        <v>3.046279789954592E-6</v>
      </c>
      <c r="M1169" s="7" t="s">
        <v>187</v>
      </c>
      <c r="N1169" s="7" t="s">
        <v>188</v>
      </c>
    </row>
    <row r="1170" spans="1:14" ht="18" customHeight="1">
      <c r="A1170">
        <v>1169</v>
      </c>
      <c r="B1170" t="s">
        <v>1257</v>
      </c>
      <c r="C1170" t="s">
        <v>23</v>
      </c>
      <c r="D1170" s="2">
        <v>0</v>
      </c>
      <c r="E1170" s="2">
        <v>0</v>
      </c>
      <c r="F1170" s="2">
        <v>0</v>
      </c>
      <c r="G1170" s="2">
        <v>0</v>
      </c>
      <c r="H1170" s="2">
        <v>0.336312</v>
      </c>
      <c r="I1170" s="2">
        <v>0</v>
      </c>
      <c r="J1170" s="5">
        <f t="shared" si="36"/>
        <v>0.336312</v>
      </c>
      <c r="K1170" s="5">
        <f t="shared" si="37"/>
        <v>0.336312</v>
      </c>
      <c r="L1170" s="6">
        <f>K1170/'Quellen &amp; Annahmen'!$B$2</f>
        <v>3.046279789954592E-6</v>
      </c>
      <c r="M1170" s="7" t="s">
        <v>187</v>
      </c>
      <c r="N1170" s="7" t="s">
        <v>188</v>
      </c>
    </row>
    <row r="1171" spans="1:14" ht="18" customHeight="1">
      <c r="A1171">
        <v>1170</v>
      </c>
      <c r="B1171" t="s">
        <v>1258</v>
      </c>
      <c r="C1171" t="s">
        <v>27</v>
      </c>
      <c r="D1171" s="2">
        <v>0</v>
      </c>
      <c r="E1171" s="2">
        <v>0</v>
      </c>
      <c r="F1171" s="2">
        <v>0</v>
      </c>
      <c r="G1171" s="2">
        <v>0</v>
      </c>
      <c r="H1171" s="2">
        <v>0.336312</v>
      </c>
      <c r="I1171" s="2">
        <v>0</v>
      </c>
      <c r="J1171" s="5">
        <f t="shared" si="36"/>
        <v>0.336312</v>
      </c>
      <c r="K1171" s="5">
        <f t="shared" si="37"/>
        <v>0.336312</v>
      </c>
      <c r="L1171" s="6">
        <f>K1171/'Quellen &amp; Annahmen'!$B$2</f>
        <v>3.046279789954592E-6</v>
      </c>
      <c r="M1171" s="7" t="s">
        <v>187</v>
      </c>
      <c r="N1171" s="7" t="s">
        <v>188</v>
      </c>
    </row>
    <row r="1172" spans="1:14" ht="18" customHeight="1">
      <c r="A1172">
        <v>1171</v>
      </c>
      <c r="B1172" t="s">
        <v>1259</v>
      </c>
      <c r="C1172" t="s">
        <v>33</v>
      </c>
      <c r="D1172" s="2">
        <v>0</v>
      </c>
      <c r="E1172" s="2">
        <v>0</v>
      </c>
      <c r="F1172" s="2">
        <v>0</v>
      </c>
      <c r="G1172" s="2">
        <v>0</v>
      </c>
      <c r="H1172" s="2">
        <v>0.336312</v>
      </c>
      <c r="I1172" s="2">
        <v>0</v>
      </c>
      <c r="J1172" s="5">
        <f t="shared" si="36"/>
        <v>0.336312</v>
      </c>
      <c r="K1172" s="5">
        <f t="shared" si="37"/>
        <v>0.336312</v>
      </c>
      <c r="L1172" s="6">
        <f>K1172/'Quellen &amp; Annahmen'!$B$2</f>
        <v>3.046279789954592E-6</v>
      </c>
      <c r="M1172" s="7" t="s">
        <v>187</v>
      </c>
      <c r="N1172" s="7" t="s">
        <v>188</v>
      </c>
    </row>
    <row r="1173" spans="1:14" ht="18" customHeight="1">
      <c r="A1173">
        <v>1172</v>
      </c>
      <c r="B1173" t="s">
        <v>1260</v>
      </c>
      <c r="C1173" t="s">
        <v>108</v>
      </c>
      <c r="D1173" s="2">
        <v>0</v>
      </c>
      <c r="E1173" s="2">
        <v>0</v>
      </c>
      <c r="F1173" s="2">
        <v>0</v>
      </c>
      <c r="G1173" s="2">
        <v>0</v>
      </c>
      <c r="H1173" s="2">
        <v>0.336312</v>
      </c>
      <c r="I1173" s="2">
        <v>0</v>
      </c>
      <c r="J1173" s="5">
        <f t="shared" si="36"/>
        <v>0.336312</v>
      </c>
      <c r="K1173" s="5">
        <f t="shared" si="37"/>
        <v>0.336312</v>
      </c>
      <c r="L1173" s="6">
        <f>K1173/'Quellen &amp; Annahmen'!$B$2</f>
        <v>3.046279789954592E-6</v>
      </c>
      <c r="M1173" s="7" t="s">
        <v>187</v>
      </c>
      <c r="N1173" s="7" t="s">
        <v>188</v>
      </c>
    </row>
    <row r="1174" spans="1:14" ht="18" customHeight="1">
      <c r="A1174">
        <v>1173</v>
      </c>
      <c r="B1174" t="s">
        <v>1261</v>
      </c>
      <c r="C1174" t="s">
        <v>33</v>
      </c>
      <c r="D1174" s="2">
        <v>0</v>
      </c>
      <c r="E1174" s="2">
        <v>0</v>
      </c>
      <c r="F1174" s="2">
        <v>0</v>
      </c>
      <c r="G1174" s="2">
        <v>0</v>
      </c>
      <c r="H1174" s="2">
        <v>0.336312</v>
      </c>
      <c r="I1174" s="2">
        <v>0</v>
      </c>
      <c r="J1174" s="5">
        <f t="shared" si="36"/>
        <v>0.336312</v>
      </c>
      <c r="K1174" s="5">
        <f t="shared" si="37"/>
        <v>0.336312</v>
      </c>
      <c r="L1174" s="6">
        <f>K1174/'Quellen &amp; Annahmen'!$B$2</f>
        <v>3.046279789954592E-6</v>
      </c>
      <c r="M1174" s="7" t="s">
        <v>187</v>
      </c>
      <c r="N1174" s="7" t="s">
        <v>188</v>
      </c>
    </row>
    <row r="1175" spans="1:14" ht="18" customHeight="1">
      <c r="A1175">
        <v>1174</v>
      </c>
      <c r="B1175" t="s">
        <v>1262</v>
      </c>
      <c r="C1175" t="s">
        <v>253</v>
      </c>
      <c r="D1175" s="2">
        <v>0</v>
      </c>
      <c r="E1175" s="2">
        <v>0</v>
      </c>
      <c r="F1175" s="2">
        <v>0</v>
      </c>
      <c r="G1175" s="2">
        <v>0</v>
      </c>
      <c r="H1175" s="2">
        <v>0.336312</v>
      </c>
      <c r="I1175" s="2">
        <v>0</v>
      </c>
      <c r="J1175" s="5">
        <f t="shared" si="36"/>
        <v>0.336312</v>
      </c>
      <c r="K1175" s="5">
        <f t="shared" si="37"/>
        <v>0.336312</v>
      </c>
      <c r="L1175" s="6">
        <f>K1175/'Quellen &amp; Annahmen'!$B$2</f>
        <v>3.046279789954592E-6</v>
      </c>
      <c r="M1175" s="7" t="s">
        <v>187</v>
      </c>
      <c r="N1175" s="7" t="s">
        <v>188</v>
      </c>
    </row>
    <row r="1176" spans="1:14" ht="18" customHeight="1">
      <c r="A1176">
        <v>1175</v>
      </c>
      <c r="B1176" t="s">
        <v>1263</v>
      </c>
      <c r="C1176" t="s">
        <v>23</v>
      </c>
      <c r="D1176" s="2">
        <v>0</v>
      </c>
      <c r="E1176" s="2">
        <v>0</v>
      </c>
      <c r="F1176" s="2">
        <v>0</v>
      </c>
      <c r="G1176" s="2">
        <v>0</v>
      </c>
      <c r="H1176" s="2">
        <v>0.336312</v>
      </c>
      <c r="I1176" s="2">
        <v>0</v>
      </c>
      <c r="J1176" s="5">
        <f t="shared" si="36"/>
        <v>0.336312</v>
      </c>
      <c r="K1176" s="5">
        <f t="shared" si="37"/>
        <v>0.336312</v>
      </c>
      <c r="L1176" s="6">
        <f>K1176/'Quellen &amp; Annahmen'!$B$2</f>
        <v>3.046279789954592E-6</v>
      </c>
      <c r="M1176" s="7" t="s">
        <v>187</v>
      </c>
      <c r="N1176" s="7" t="s">
        <v>188</v>
      </c>
    </row>
    <row r="1177" spans="1:14" ht="18" customHeight="1">
      <c r="A1177">
        <v>1176</v>
      </c>
      <c r="B1177" t="s">
        <v>1264</v>
      </c>
      <c r="C1177" t="s">
        <v>50</v>
      </c>
      <c r="D1177" s="2">
        <v>0</v>
      </c>
      <c r="E1177" s="2">
        <v>0</v>
      </c>
      <c r="F1177" s="2">
        <v>0</v>
      </c>
      <c r="G1177" s="2">
        <v>0</v>
      </c>
      <c r="H1177" s="2">
        <v>0.336312</v>
      </c>
      <c r="I1177" s="2">
        <v>0</v>
      </c>
      <c r="J1177" s="5">
        <f t="shared" si="36"/>
        <v>0.336312</v>
      </c>
      <c r="K1177" s="5">
        <f t="shared" si="37"/>
        <v>0.336312</v>
      </c>
      <c r="L1177" s="6">
        <f>K1177/'Quellen &amp; Annahmen'!$B$2</f>
        <v>3.046279789954592E-6</v>
      </c>
      <c r="M1177" s="7" t="s">
        <v>187</v>
      </c>
      <c r="N1177" s="7" t="s">
        <v>188</v>
      </c>
    </row>
    <row r="1178" spans="1:14" ht="18" customHeight="1">
      <c r="A1178">
        <v>1177</v>
      </c>
      <c r="B1178" t="s">
        <v>1265</v>
      </c>
      <c r="C1178" t="s">
        <v>25</v>
      </c>
      <c r="D1178" s="2">
        <v>0</v>
      </c>
      <c r="E1178" s="2">
        <v>0</v>
      </c>
      <c r="F1178" s="2">
        <v>0</v>
      </c>
      <c r="G1178" s="2">
        <v>0</v>
      </c>
      <c r="H1178" s="2">
        <v>0.336312</v>
      </c>
      <c r="I1178" s="2">
        <v>0</v>
      </c>
      <c r="J1178" s="5">
        <f t="shared" si="36"/>
        <v>0.336312</v>
      </c>
      <c r="K1178" s="5">
        <f t="shared" si="37"/>
        <v>0.336312</v>
      </c>
      <c r="L1178" s="6">
        <f>K1178/'Quellen &amp; Annahmen'!$B$2</f>
        <v>3.046279789954592E-6</v>
      </c>
      <c r="M1178" s="7" t="s">
        <v>187</v>
      </c>
      <c r="N1178" s="7" t="s">
        <v>188</v>
      </c>
    </row>
    <row r="1179" spans="1:14" ht="18" customHeight="1">
      <c r="A1179">
        <v>1178</v>
      </c>
      <c r="B1179" t="s">
        <v>1266</v>
      </c>
      <c r="C1179" t="s">
        <v>38</v>
      </c>
      <c r="D1179" s="2">
        <v>0</v>
      </c>
      <c r="E1179" s="2">
        <v>0</v>
      </c>
      <c r="F1179" s="2">
        <v>0</v>
      </c>
      <c r="G1179" s="2">
        <v>0</v>
      </c>
      <c r="H1179" s="2">
        <v>0.336312</v>
      </c>
      <c r="I1179" s="2">
        <v>0</v>
      </c>
      <c r="J1179" s="5">
        <f t="shared" si="36"/>
        <v>0.336312</v>
      </c>
      <c r="K1179" s="5">
        <f t="shared" si="37"/>
        <v>0.336312</v>
      </c>
      <c r="L1179" s="6">
        <f>K1179/'Quellen &amp; Annahmen'!$B$2</f>
        <v>3.046279789954592E-6</v>
      </c>
      <c r="M1179" s="7" t="s">
        <v>187</v>
      </c>
      <c r="N1179" s="7" t="s">
        <v>188</v>
      </c>
    </row>
    <row r="1180" spans="1:14" ht="18" customHeight="1">
      <c r="A1180">
        <v>1179</v>
      </c>
      <c r="B1180" t="s">
        <v>1267</v>
      </c>
      <c r="C1180" t="s">
        <v>50</v>
      </c>
      <c r="D1180" s="2">
        <v>0</v>
      </c>
      <c r="E1180" s="2">
        <v>0</v>
      </c>
      <c r="F1180" s="2">
        <v>0</v>
      </c>
      <c r="G1180" s="2">
        <v>0</v>
      </c>
      <c r="H1180" s="2">
        <v>0.336312</v>
      </c>
      <c r="I1180" s="2">
        <v>0</v>
      </c>
      <c r="J1180" s="5">
        <f t="shared" si="36"/>
        <v>0.336312</v>
      </c>
      <c r="K1180" s="5">
        <f t="shared" si="37"/>
        <v>0.336312</v>
      </c>
      <c r="L1180" s="6">
        <f>K1180/'Quellen &amp; Annahmen'!$B$2</f>
        <v>3.046279789954592E-6</v>
      </c>
      <c r="M1180" s="7" t="s">
        <v>187</v>
      </c>
      <c r="N1180" s="7" t="s">
        <v>188</v>
      </c>
    </row>
    <row r="1181" spans="1:14" ht="18" customHeight="1">
      <c r="A1181">
        <v>1180</v>
      </c>
      <c r="B1181" t="s">
        <v>1268</v>
      </c>
      <c r="C1181" t="s">
        <v>41</v>
      </c>
      <c r="D1181" s="2">
        <v>0</v>
      </c>
      <c r="E1181" s="2">
        <v>0</v>
      </c>
      <c r="F1181" s="2">
        <v>0</v>
      </c>
      <c r="G1181" s="2">
        <v>0</v>
      </c>
      <c r="H1181" s="2">
        <v>0.336312</v>
      </c>
      <c r="I1181" s="2">
        <v>0</v>
      </c>
      <c r="J1181" s="5">
        <f t="shared" si="36"/>
        <v>0.336312</v>
      </c>
      <c r="K1181" s="5">
        <f t="shared" si="37"/>
        <v>0.336312</v>
      </c>
      <c r="L1181" s="6">
        <f>K1181/'Quellen &amp; Annahmen'!$B$2</f>
        <v>3.046279789954592E-6</v>
      </c>
      <c r="M1181" s="7" t="s">
        <v>187</v>
      </c>
      <c r="N1181" s="7" t="s">
        <v>188</v>
      </c>
    </row>
    <row r="1182" spans="1:14" ht="18" customHeight="1">
      <c r="A1182">
        <v>1181</v>
      </c>
      <c r="B1182" t="s">
        <v>1269</v>
      </c>
      <c r="C1182" t="s">
        <v>38</v>
      </c>
      <c r="D1182" s="2">
        <v>0</v>
      </c>
      <c r="E1182" s="2">
        <v>0</v>
      </c>
      <c r="F1182" s="2">
        <v>0</v>
      </c>
      <c r="G1182" s="2">
        <v>0</v>
      </c>
      <c r="H1182" s="2">
        <v>0.336312</v>
      </c>
      <c r="I1182" s="2">
        <v>0</v>
      </c>
      <c r="J1182" s="5">
        <f t="shared" si="36"/>
        <v>0.336312</v>
      </c>
      <c r="K1182" s="5">
        <f t="shared" si="37"/>
        <v>0.336312</v>
      </c>
      <c r="L1182" s="6">
        <f>K1182/'Quellen &amp; Annahmen'!$B$2</f>
        <v>3.046279789954592E-6</v>
      </c>
      <c r="M1182" s="7" t="s">
        <v>187</v>
      </c>
      <c r="N1182" s="7" t="s">
        <v>188</v>
      </c>
    </row>
    <row r="1183" spans="1:14" ht="18" customHeight="1">
      <c r="A1183">
        <v>1182</v>
      </c>
      <c r="B1183" t="s">
        <v>1270</v>
      </c>
      <c r="C1183" t="s">
        <v>23</v>
      </c>
      <c r="D1183" s="2">
        <v>0</v>
      </c>
      <c r="E1183" s="2">
        <v>0</v>
      </c>
      <c r="F1183" s="2">
        <v>0</v>
      </c>
      <c r="G1183" s="2">
        <v>0</v>
      </c>
      <c r="H1183" s="2">
        <v>0.336312</v>
      </c>
      <c r="I1183" s="2">
        <v>0</v>
      </c>
      <c r="J1183" s="5">
        <f t="shared" si="36"/>
        <v>0.336312</v>
      </c>
      <c r="K1183" s="5">
        <f t="shared" si="37"/>
        <v>0.336312</v>
      </c>
      <c r="L1183" s="6">
        <f>K1183/'Quellen &amp; Annahmen'!$B$2</f>
        <v>3.046279789954592E-6</v>
      </c>
      <c r="M1183" s="7" t="s">
        <v>187</v>
      </c>
      <c r="N1183" s="7" t="s">
        <v>188</v>
      </c>
    </row>
    <row r="1184" spans="1:14" ht="18" customHeight="1">
      <c r="A1184">
        <v>1183</v>
      </c>
      <c r="B1184" t="s">
        <v>1271</v>
      </c>
      <c r="C1184" t="s">
        <v>33</v>
      </c>
      <c r="D1184" s="2">
        <v>0</v>
      </c>
      <c r="E1184" s="2">
        <v>0</v>
      </c>
      <c r="F1184" s="2">
        <v>0</v>
      </c>
      <c r="G1184" s="2">
        <v>0</v>
      </c>
      <c r="H1184" s="2">
        <v>0.336312</v>
      </c>
      <c r="I1184" s="2">
        <v>0</v>
      </c>
      <c r="J1184" s="5">
        <f t="shared" si="36"/>
        <v>0.336312</v>
      </c>
      <c r="K1184" s="5">
        <f t="shared" si="37"/>
        <v>0.336312</v>
      </c>
      <c r="L1184" s="6">
        <f>K1184/'Quellen &amp; Annahmen'!$B$2</f>
        <v>3.046279789954592E-6</v>
      </c>
      <c r="M1184" s="7" t="s">
        <v>187</v>
      </c>
      <c r="N1184" s="7" t="s">
        <v>188</v>
      </c>
    </row>
    <row r="1185" spans="1:14" ht="18" customHeight="1">
      <c r="A1185">
        <v>1184</v>
      </c>
      <c r="B1185" t="s">
        <v>1272</v>
      </c>
      <c r="C1185" t="s">
        <v>253</v>
      </c>
      <c r="D1185" s="2">
        <v>0</v>
      </c>
      <c r="E1185" s="2">
        <v>0</v>
      </c>
      <c r="F1185" s="2">
        <v>0</v>
      </c>
      <c r="G1185" s="2">
        <v>0</v>
      </c>
      <c r="H1185" s="2">
        <v>0.336312</v>
      </c>
      <c r="I1185" s="2">
        <v>0</v>
      </c>
      <c r="J1185" s="5">
        <f t="shared" si="36"/>
        <v>0.336312</v>
      </c>
      <c r="K1185" s="5">
        <f t="shared" si="37"/>
        <v>0.336312</v>
      </c>
      <c r="L1185" s="6">
        <f>K1185/'Quellen &amp; Annahmen'!$B$2</f>
        <v>3.046279789954592E-6</v>
      </c>
      <c r="M1185" s="7" t="s">
        <v>187</v>
      </c>
      <c r="N1185" s="7" t="s">
        <v>188</v>
      </c>
    </row>
    <row r="1186" spans="1:14" ht="18" customHeight="1">
      <c r="A1186">
        <v>1185</v>
      </c>
      <c r="B1186" t="s">
        <v>1273</v>
      </c>
      <c r="C1186" t="s">
        <v>27</v>
      </c>
      <c r="D1186" s="2">
        <v>0</v>
      </c>
      <c r="E1186" s="2">
        <v>0</v>
      </c>
      <c r="F1186" s="2">
        <v>0</v>
      </c>
      <c r="G1186" s="2">
        <v>0</v>
      </c>
      <c r="H1186" s="2">
        <v>0.336312</v>
      </c>
      <c r="I1186" s="2">
        <v>0</v>
      </c>
      <c r="J1186" s="5">
        <f t="shared" si="36"/>
        <v>0.336312</v>
      </c>
      <c r="K1186" s="5">
        <f t="shared" si="37"/>
        <v>0.336312</v>
      </c>
      <c r="L1186" s="6">
        <f>K1186/'Quellen &amp; Annahmen'!$B$2</f>
        <v>3.046279789954592E-6</v>
      </c>
      <c r="M1186" s="7" t="s">
        <v>187</v>
      </c>
      <c r="N1186" s="7" t="s">
        <v>188</v>
      </c>
    </row>
    <row r="1187" spans="1:14" ht="18" customHeight="1">
      <c r="A1187">
        <v>1186</v>
      </c>
      <c r="B1187" t="s">
        <v>1274</v>
      </c>
      <c r="C1187" t="s">
        <v>263</v>
      </c>
      <c r="D1187" s="2">
        <v>0</v>
      </c>
      <c r="E1187" s="2">
        <v>0</v>
      </c>
      <c r="F1187" s="2">
        <v>0</v>
      </c>
      <c r="G1187" s="2">
        <v>0</v>
      </c>
      <c r="H1187" s="2">
        <v>0.336312</v>
      </c>
      <c r="I1187" s="2">
        <v>0</v>
      </c>
      <c r="J1187" s="5">
        <f t="shared" si="36"/>
        <v>0.336312</v>
      </c>
      <c r="K1187" s="5">
        <f t="shared" si="37"/>
        <v>0.336312</v>
      </c>
      <c r="L1187" s="6">
        <f>K1187/'Quellen &amp; Annahmen'!$B$2</f>
        <v>3.046279789954592E-6</v>
      </c>
      <c r="M1187" s="7" t="s">
        <v>187</v>
      </c>
      <c r="N1187" s="7" t="s">
        <v>188</v>
      </c>
    </row>
    <row r="1188" spans="1:14" ht="18" customHeight="1">
      <c r="A1188">
        <v>1187</v>
      </c>
      <c r="B1188" t="s">
        <v>1275</v>
      </c>
      <c r="C1188" t="s">
        <v>38</v>
      </c>
      <c r="D1188" s="2">
        <v>0</v>
      </c>
      <c r="E1188" s="2">
        <v>0</v>
      </c>
      <c r="F1188" s="2">
        <v>0</v>
      </c>
      <c r="G1188" s="2">
        <v>0</v>
      </c>
      <c r="H1188" s="2">
        <v>0.336312</v>
      </c>
      <c r="I1188" s="2">
        <v>0</v>
      </c>
      <c r="J1188" s="5">
        <f t="shared" si="36"/>
        <v>0.336312</v>
      </c>
      <c r="K1188" s="5">
        <f t="shared" si="37"/>
        <v>0.336312</v>
      </c>
      <c r="L1188" s="6">
        <f>K1188/'Quellen &amp; Annahmen'!$B$2</f>
        <v>3.046279789954592E-6</v>
      </c>
      <c r="M1188" s="7" t="s">
        <v>187</v>
      </c>
      <c r="N1188" s="7" t="s">
        <v>188</v>
      </c>
    </row>
    <row r="1189" spans="1:14" ht="18" customHeight="1">
      <c r="A1189">
        <v>1188</v>
      </c>
      <c r="B1189" t="s">
        <v>1276</v>
      </c>
      <c r="C1189" t="s">
        <v>108</v>
      </c>
      <c r="D1189" s="2">
        <v>0</v>
      </c>
      <c r="E1189" s="2">
        <v>0</v>
      </c>
      <c r="F1189" s="2">
        <v>0</v>
      </c>
      <c r="G1189" s="2">
        <v>0</v>
      </c>
      <c r="H1189" s="2">
        <v>0.336312</v>
      </c>
      <c r="I1189" s="2">
        <v>0</v>
      </c>
      <c r="J1189" s="5">
        <f t="shared" si="36"/>
        <v>0.336312</v>
      </c>
      <c r="K1189" s="5">
        <f t="shared" si="37"/>
        <v>0.336312</v>
      </c>
      <c r="L1189" s="6">
        <f>K1189/'Quellen &amp; Annahmen'!$B$2</f>
        <v>3.046279789954592E-6</v>
      </c>
      <c r="M1189" s="7" t="s">
        <v>187</v>
      </c>
      <c r="N1189" s="7" t="s">
        <v>188</v>
      </c>
    </row>
    <row r="1190" spans="1:14" ht="18" customHeight="1">
      <c r="A1190">
        <v>1189</v>
      </c>
      <c r="B1190" t="s">
        <v>1277</v>
      </c>
      <c r="C1190" t="s">
        <v>50</v>
      </c>
      <c r="D1190" s="2">
        <v>0</v>
      </c>
      <c r="E1190" s="2">
        <v>0</v>
      </c>
      <c r="F1190" s="2">
        <v>0</v>
      </c>
      <c r="G1190" s="2">
        <v>0</v>
      </c>
      <c r="H1190" s="2">
        <v>0.336312</v>
      </c>
      <c r="I1190" s="2">
        <v>0</v>
      </c>
      <c r="J1190" s="5">
        <f t="shared" si="36"/>
        <v>0.336312</v>
      </c>
      <c r="K1190" s="5">
        <f t="shared" si="37"/>
        <v>0.336312</v>
      </c>
      <c r="L1190" s="6">
        <f>K1190/'Quellen &amp; Annahmen'!$B$2</f>
        <v>3.046279789954592E-6</v>
      </c>
      <c r="M1190" s="7" t="s">
        <v>187</v>
      </c>
      <c r="N1190" s="7" t="s">
        <v>188</v>
      </c>
    </row>
    <row r="1191" spans="1:14" ht="18" customHeight="1">
      <c r="A1191">
        <v>1190</v>
      </c>
      <c r="B1191" t="s">
        <v>1278</v>
      </c>
      <c r="C1191" t="s">
        <v>25</v>
      </c>
      <c r="D1191" s="2">
        <v>0</v>
      </c>
      <c r="E1191" s="2">
        <v>0</v>
      </c>
      <c r="F1191" s="2">
        <v>0</v>
      </c>
      <c r="G1191" s="2">
        <v>0</v>
      </c>
      <c r="H1191" s="2">
        <v>0.336312</v>
      </c>
      <c r="I1191" s="2">
        <v>0</v>
      </c>
      <c r="J1191" s="5">
        <f t="shared" si="36"/>
        <v>0.336312</v>
      </c>
      <c r="K1191" s="5">
        <f t="shared" si="37"/>
        <v>0.336312</v>
      </c>
      <c r="L1191" s="6">
        <f>K1191/'Quellen &amp; Annahmen'!$B$2</f>
        <v>3.046279789954592E-6</v>
      </c>
      <c r="M1191" s="7" t="s">
        <v>187</v>
      </c>
      <c r="N1191" s="7" t="s">
        <v>188</v>
      </c>
    </row>
    <row r="1192" spans="1:14" ht="18" customHeight="1">
      <c r="A1192">
        <v>1191</v>
      </c>
      <c r="B1192" t="s">
        <v>1279</v>
      </c>
      <c r="C1192" t="s">
        <v>263</v>
      </c>
      <c r="D1192" s="2">
        <v>0</v>
      </c>
      <c r="E1192" s="2">
        <v>0</v>
      </c>
      <c r="F1192" s="2">
        <v>0</v>
      </c>
      <c r="G1192" s="2">
        <v>0</v>
      </c>
      <c r="H1192" s="2">
        <v>0.336312</v>
      </c>
      <c r="I1192" s="2">
        <v>0</v>
      </c>
      <c r="J1192" s="5">
        <f t="shared" si="36"/>
        <v>0.336312</v>
      </c>
      <c r="K1192" s="5">
        <f t="shared" si="37"/>
        <v>0.336312</v>
      </c>
      <c r="L1192" s="6">
        <f>K1192/'Quellen &amp; Annahmen'!$B$2</f>
        <v>3.046279789954592E-6</v>
      </c>
      <c r="M1192" s="7" t="s">
        <v>187</v>
      </c>
      <c r="N1192" s="7" t="s">
        <v>188</v>
      </c>
    </row>
    <row r="1193" spans="1:14" ht="18" customHeight="1">
      <c r="A1193">
        <v>1192</v>
      </c>
      <c r="B1193" t="s">
        <v>1280</v>
      </c>
      <c r="C1193" t="s">
        <v>33</v>
      </c>
      <c r="D1193" s="2">
        <v>0</v>
      </c>
      <c r="E1193" s="2">
        <v>0</v>
      </c>
      <c r="F1193" s="2">
        <v>0</v>
      </c>
      <c r="G1193" s="2">
        <v>0</v>
      </c>
      <c r="H1193" s="2">
        <v>0.336312</v>
      </c>
      <c r="I1193" s="2">
        <v>0</v>
      </c>
      <c r="J1193" s="5">
        <f t="shared" si="36"/>
        <v>0.336312</v>
      </c>
      <c r="K1193" s="5">
        <f t="shared" si="37"/>
        <v>0.336312</v>
      </c>
      <c r="L1193" s="6">
        <f>K1193/'Quellen &amp; Annahmen'!$B$2</f>
        <v>3.046279789954592E-6</v>
      </c>
      <c r="M1193" s="7" t="s">
        <v>187</v>
      </c>
      <c r="N1193" s="7" t="s">
        <v>188</v>
      </c>
    </row>
    <row r="1194" spans="1:14" ht="18" customHeight="1">
      <c r="A1194">
        <v>1193</v>
      </c>
      <c r="B1194" t="s">
        <v>1281</v>
      </c>
      <c r="C1194" t="s">
        <v>253</v>
      </c>
      <c r="D1194" s="2">
        <v>0</v>
      </c>
      <c r="E1194" s="2">
        <v>0</v>
      </c>
      <c r="F1194" s="2">
        <v>0</v>
      </c>
      <c r="G1194" s="2">
        <v>0</v>
      </c>
      <c r="H1194" s="2">
        <v>0.336312</v>
      </c>
      <c r="I1194" s="2">
        <v>0</v>
      </c>
      <c r="J1194" s="5">
        <f t="shared" si="36"/>
        <v>0.336312</v>
      </c>
      <c r="K1194" s="5">
        <f t="shared" si="37"/>
        <v>0.336312</v>
      </c>
      <c r="L1194" s="6">
        <f>K1194/'Quellen &amp; Annahmen'!$B$2</f>
        <v>3.046279789954592E-6</v>
      </c>
      <c r="M1194" s="7" t="s">
        <v>187</v>
      </c>
      <c r="N1194" s="7" t="s">
        <v>188</v>
      </c>
    </row>
    <row r="1195" spans="1:14" ht="18" customHeight="1">
      <c r="A1195">
        <v>1194</v>
      </c>
      <c r="B1195" t="s">
        <v>1282</v>
      </c>
      <c r="C1195" t="s">
        <v>38</v>
      </c>
      <c r="D1195" s="2">
        <v>0</v>
      </c>
      <c r="E1195" s="2">
        <v>0</v>
      </c>
      <c r="F1195" s="2">
        <v>0</v>
      </c>
      <c r="G1195" s="2">
        <v>0</v>
      </c>
      <c r="H1195" s="2">
        <v>0.336312</v>
      </c>
      <c r="I1195" s="2">
        <v>0</v>
      </c>
      <c r="J1195" s="5">
        <f t="shared" si="36"/>
        <v>0.336312</v>
      </c>
      <c r="K1195" s="5">
        <f t="shared" si="37"/>
        <v>0.336312</v>
      </c>
      <c r="L1195" s="6">
        <f>K1195/'Quellen &amp; Annahmen'!$B$2</f>
        <v>3.046279789954592E-6</v>
      </c>
      <c r="M1195" s="7" t="s">
        <v>187</v>
      </c>
      <c r="N1195" s="7" t="s">
        <v>188</v>
      </c>
    </row>
    <row r="1196" spans="1:14" ht="18" customHeight="1">
      <c r="A1196">
        <v>1195</v>
      </c>
      <c r="B1196" t="s">
        <v>1283</v>
      </c>
      <c r="C1196" t="s">
        <v>27</v>
      </c>
      <c r="D1196" s="2">
        <v>0</v>
      </c>
      <c r="E1196" s="2">
        <v>0</v>
      </c>
      <c r="F1196" s="2">
        <v>0</v>
      </c>
      <c r="G1196" s="2">
        <v>0</v>
      </c>
      <c r="H1196" s="2">
        <v>0.336312</v>
      </c>
      <c r="I1196" s="2">
        <v>0</v>
      </c>
      <c r="J1196" s="5">
        <f t="shared" si="36"/>
        <v>0.336312</v>
      </c>
      <c r="K1196" s="5">
        <f t="shared" si="37"/>
        <v>0.336312</v>
      </c>
      <c r="L1196" s="6">
        <f>K1196/'Quellen &amp; Annahmen'!$B$2</f>
        <v>3.046279789954592E-6</v>
      </c>
      <c r="M1196" s="7" t="s">
        <v>187</v>
      </c>
      <c r="N1196" s="7" t="s">
        <v>188</v>
      </c>
    </row>
    <row r="1197" spans="1:14" ht="18" customHeight="1">
      <c r="A1197">
        <v>1196</v>
      </c>
      <c r="B1197" t="s">
        <v>1284</v>
      </c>
      <c r="C1197" t="s">
        <v>38</v>
      </c>
      <c r="D1197" s="2">
        <v>0</v>
      </c>
      <c r="E1197" s="2">
        <v>0</v>
      </c>
      <c r="F1197" s="2">
        <v>0</v>
      </c>
      <c r="G1197" s="2">
        <v>0</v>
      </c>
      <c r="H1197" s="2">
        <v>0.336312</v>
      </c>
      <c r="I1197" s="2">
        <v>0</v>
      </c>
      <c r="J1197" s="5">
        <f t="shared" si="36"/>
        <v>0.336312</v>
      </c>
      <c r="K1197" s="5">
        <f t="shared" si="37"/>
        <v>0.336312</v>
      </c>
      <c r="L1197" s="6">
        <f>K1197/'Quellen &amp; Annahmen'!$B$2</f>
        <v>3.046279789954592E-6</v>
      </c>
      <c r="M1197" s="7" t="s">
        <v>187</v>
      </c>
      <c r="N1197" s="7" t="s">
        <v>188</v>
      </c>
    </row>
    <row r="1198" spans="1:14" ht="18" customHeight="1">
      <c r="A1198">
        <v>1197</v>
      </c>
      <c r="B1198" t="s">
        <v>1285</v>
      </c>
      <c r="C1198" t="s">
        <v>23</v>
      </c>
      <c r="D1198" s="2">
        <v>0</v>
      </c>
      <c r="E1198" s="2">
        <v>0</v>
      </c>
      <c r="F1198" s="2">
        <v>0</v>
      </c>
      <c r="G1198" s="2">
        <v>0</v>
      </c>
      <c r="H1198" s="2">
        <v>0.336312</v>
      </c>
      <c r="I1198" s="2">
        <v>0</v>
      </c>
      <c r="J1198" s="5">
        <f t="shared" si="36"/>
        <v>0.336312</v>
      </c>
      <c r="K1198" s="5">
        <f t="shared" si="37"/>
        <v>0.336312</v>
      </c>
      <c r="L1198" s="6">
        <f>K1198/'Quellen &amp; Annahmen'!$B$2</f>
        <v>3.046279789954592E-6</v>
      </c>
      <c r="M1198" s="7" t="s">
        <v>187</v>
      </c>
      <c r="N1198" s="7" t="s">
        <v>188</v>
      </c>
    </row>
    <row r="1199" spans="1:14" ht="18" customHeight="1">
      <c r="A1199">
        <v>1198</v>
      </c>
      <c r="B1199" t="s">
        <v>1286</v>
      </c>
      <c r="C1199" t="s">
        <v>23</v>
      </c>
      <c r="D1199" s="2">
        <v>0</v>
      </c>
      <c r="E1199" s="2">
        <v>0</v>
      </c>
      <c r="F1199" s="2">
        <v>0</v>
      </c>
      <c r="G1199" s="2">
        <v>0</v>
      </c>
      <c r="H1199" s="2">
        <v>0.336312</v>
      </c>
      <c r="I1199" s="2">
        <v>0</v>
      </c>
      <c r="J1199" s="5">
        <f t="shared" si="36"/>
        <v>0.336312</v>
      </c>
      <c r="K1199" s="5">
        <f t="shared" si="37"/>
        <v>0.336312</v>
      </c>
      <c r="L1199" s="6">
        <f>K1199/'Quellen &amp; Annahmen'!$B$2</f>
        <v>3.046279789954592E-6</v>
      </c>
      <c r="M1199" s="7" t="s">
        <v>187</v>
      </c>
      <c r="N1199" s="7" t="s">
        <v>188</v>
      </c>
    </row>
    <row r="1200" spans="1:14" ht="18" customHeight="1">
      <c r="A1200">
        <v>1199</v>
      </c>
      <c r="B1200" t="s">
        <v>1287</v>
      </c>
      <c r="C1200" t="s">
        <v>263</v>
      </c>
      <c r="D1200" s="2">
        <v>0</v>
      </c>
      <c r="E1200" s="2">
        <v>0</v>
      </c>
      <c r="F1200" s="2">
        <v>0</v>
      </c>
      <c r="G1200" s="2">
        <v>0</v>
      </c>
      <c r="H1200" s="2">
        <v>0.336312</v>
      </c>
      <c r="I1200" s="2">
        <v>0</v>
      </c>
      <c r="J1200" s="5">
        <f t="shared" si="36"/>
        <v>0.336312</v>
      </c>
      <c r="K1200" s="5">
        <f t="shared" si="37"/>
        <v>0.336312</v>
      </c>
      <c r="L1200" s="6">
        <f>K1200/'Quellen &amp; Annahmen'!$B$2</f>
        <v>3.046279789954592E-6</v>
      </c>
      <c r="M1200" s="7" t="s">
        <v>187</v>
      </c>
      <c r="N1200" s="7" t="s">
        <v>188</v>
      </c>
    </row>
    <row r="1201" spans="1:14" ht="18" customHeight="1">
      <c r="A1201">
        <v>1200</v>
      </c>
      <c r="B1201" t="s">
        <v>1288</v>
      </c>
      <c r="C1201" t="s">
        <v>27</v>
      </c>
      <c r="D1201" s="2">
        <v>0</v>
      </c>
      <c r="E1201" s="2">
        <v>0</v>
      </c>
      <c r="F1201" s="2">
        <v>0</v>
      </c>
      <c r="G1201" s="2">
        <v>0</v>
      </c>
      <c r="H1201" s="2">
        <v>0.336312</v>
      </c>
      <c r="I1201" s="2">
        <v>0</v>
      </c>
      <c r="J1201" s="5">
        <f t="shared" si="36"/>
        <v>0.336312</v>
      </c>
      <c r="K1201" s="5">
        <f t="shared" si="37"/>
        <v>0.336312</v>
      </c>
      <c r="L1201" s="6">
        <f>K1201/'Quellen &amp; Annahmen'!$B$2</f>
        <v>3.046279789954592E-6</v>
      </c>
      <c r="M1201" s="7" t="s">
        <v>187</v>
      </c>
      <c r="N1201" s="7" t="s">
        <v>188</v>
      </c>
    </row>
    <row r="1202" spans="1:14" ht="18" customHeight="1">
      <c r="A1202">
        <v>1201</v>
      </c>
      <c r="B1202" t="s">
        <v>1289</v>
      </c>
      <c r="C1202" t="s">
        <v>38</v>
      </c>
      <c r="D1202" s="2">
        <v>0</v>
      </c>
      <c r="E1202" s="2">
        <v>0</v>
      </c>
      <c r="F1202" s="2">
        <v>0</v>
      </c>
      <c r="G1202" s="2">
        <v>0</v>
      </c>
      <c r="H1202" s="2">
        <v>0.336312</v>
      </c>
      <c r="I1202" s="2">
        <v>0</v>
      </c>
      <c r="J1202" s="5">
        <f t="shared" si="36"/>
        <v>0.336312</v>
      </c>
      <c r="K1202" s="5">
        <f t="shared" si="37"/>
        <v>0.336312</v>
      </c>
      <c r="L1202" s="6">
        <f>K1202/'Quellen &amp; Annahmen'!$B$2</f>
        <v>3.046279789954592E-6</v>
      </c>
      <c r="M1202" s="7" t="s">
        <v>187</v>
      </c>
      <c r="N1202" s="7" t="s">
        <v>188</v>
      </c>
    </row>
    <row r="1203" spans="1:14" ht="18" customHeight="1">
      <c r="A1203">
        <v>1202</v>
      </c>
      <c r="B1203" t="s">
        <v>1290</v>
      </c>
      <c r="C1203" t="s">
        <v>50</v>
      </c>
      <c r="D1203" s="2">
        <v>0</v>
      </c>
      <c r="E1203" s="2">
        <v>0</v>
      </c>
      <c r="F1203" s="2">
        <v>0</v>
      </c>
      <c r="G1203" s="2">
        <v>0</v>
      </c>
      <c r="H1203" s="2">
        <v>0.336312</v>
      </c>
      <c r="I1203" s="2">
        <v>0</v>
      </c>
      <c r="J1203" s="5">
        <f t="shared" si="36"/>
        <v>0.336312</v>
      </c>
      <c r="K1203" s="5">
        <f t="shared" si="37"/>
        <v>0.336312</v>
      </c>
      <c r="L1203" s="6">
        <f>K1203/'Quellen &amp; Annahmen'!$B$2</f>
        <v>3.046279789954592E-6</v>
      </c>
      <c r="M1203" s="7" t="s">
        <v>187</v>
      </c>
      <c r="N1203" s="7" t="s">
        <v>188</v>
      </c>
    </row>
    <row r="1204" spans="1:14" ht="18" customHeight="1">
      <c r="A1204">
        <v>1203</v>
      </c>
      <c r="B1204" t="s">
        <v>1291</v>
      </c>
      <c r="C1204" t="s">
        <v>38</v>
      </c>
      <c r="D1204" s="2">
        <v>0</v>
      </c>
      <c r="E1204" s="2">
        <v>0</v>
      </c>
      <c r="F1204" s="2">
        <v>0</v>
      </c>
      <c r="G1204" s="2">
        <v>0</v>
      </c>
      <c r="H1204" s="2">
        <v>0.336312</v>
      </c>
      <c r="I1204" s="2">
        <v>0</v>
      </c>
      <c r="J1204" s="5">
        <f t="shared" si="36"/>
        <v>0.336312</v>
      </c>
      <c r="K1204" s="5">
        <f t="shared" si="37"/>
        <v>0.336312</v>
      </c>
      <c r="L1204" s="6">
        <f>K1204/'Quellen &amp; Annahmen'!$B$2</f>
        <v>3.046279789954592E-6</v>
      </c>
      <c r="M1204" s="7" t="s">
        <v>187</v>
      </c>
      <c r="N1204" s="7" t="s">
        <v>188</v>
      </c>
    </row>
    <row r="1205" spans="1:14" ht="18" customHeight="1">
      <c r="A1205">
        <v>1204</v>
      </c>
      <c r="B1205" t="s">
        <v>1292</v>
      </c>
      <c r="C1205" t="s">
        <v>108</v>
      </c>
      <c r="D1205" s="2">
        <v>0</v>
      </c>
      <c r="E1205" s="2">
        <v>0</v>
      </c>
      <c r="F1205" s="2">
        <v>0</v>
      </c>
      <c r="G1205" s="2">
        <v>0</v>
      </c>
      <c r="H1205" s="2">
        <v>0.336312</v>
      </c>
      <c r="I1205" s="2">
        <v>0</v>
      </c>
      <c r="J1205" s="5">
        <f t="shared" si="36"/>
        <v>0.336312</v>
      </c>
      <c r="K1205" s="5">
        <f t="shared" si="37"/>
        <v>0.336312</v>
      </c>
      <c r="L1205" s="6">
        <f>K1205/'Quellen &amp; Annahmen'!$B$2</f>
        <v>3.046279789954592E-6</v>
      </c>
      <c r="M1205" s="7" t="s">
        <v>187</v>
      </c>
      <c r="N1205" s="7" t="s">
        <v>188</v>
      </c>
    </row>
    <row r="1206" spans="1:14" ht="18" customHeight="1">
      <c r="A1206">
        <v>1205</v>
      </c>
      <c r="B1206" t="s">
        <v>1293</v>
      </c>
      <c r="C1206" t="s">
        <v>27</v>
      </c>
      <c r="D1206" s="2">
        <v>0</v>
      </c>
      <c r="E1206" s="2">
        <v>0</v>
      </c>
      <c r="F1206" s="2">
        <v>0</v>
      </c>
      <c r="G1206" s="2">
        <v>0</v>
      </c>
      <c r="H1206" s="2">
        <v>0.336312</v>
      </c>
      <c r="I1206" s="2">
        <v>0</v>
      </c>
      <c r="J1206" s="5">
        <f t="shared" si="36"/>
        <v>0.336312</v>
      </c>
      <c r="K1206" s="5">
        <f t="shared" si="37"/>
        <v>0.336312</v>
      </c>
      <c r="L1206" s="6">
        <f>K1206/'Quellen &amp; Annahmen'!$B$2</f>
        <v>3.046279789954592E-6</v>
      </c>
      <c r="M1206" s="7" t="s">
        <v>187</v>
      </c>
      <c r="N1206" s="7" t="s">
        <v>188</v>
      </c>
    </row>
    <row r="1207" spans="1:14" ht="18" customHeight="1">
      <c r="A1207">
        <v>1206</v>
      </c>
      <c r="B1207" t="s">
        <v>1294</v>
      </c>
      <c r="C1207" t="s">
        <v>23</v>
      </c>
      <c r="D1207" s="2">
        <v>0</v>
      </c>
      <c r="E1207" s="2">
        <v>0</v>
      </c>
      <c r="F1207" s="2">
        <v>0</v>
      </c>
      <c r="G1207" s="2">
        <v>0</v>
      </c>
      <c r="H1207" s="2">
        <v>0.336312</v>
      </c>
      <c r="I1207" s="2">
        <v>0</v>
      </c>
      <c r="J1207" s="5">
        <f t="shared" si="36"/>
        <v>0.336312</v>
      </c>
      <c r="K1207" s="5">
        <f t="shared" si="37"/>
        <v>0.336312</v>
      </c>
      <c r="L1207" s="6">
        <f>K1207/'Quellen &amp; Annahmen'!$B$2</f>
        <v>3.046279789954592E-6</v>
      </c>
      <c r="M1207" s="7" t="s">
        <v>187</v>
      </c>
      <c r="N1207" s="7" t="s">
        <v>188</v>
      </c>
    </row>
    <row r="1208" spans="1:14" ht="18" customHeight="1">
      <c r="A1208">
        <v>1207</v>
      </c>
      <c r="B1208" t="s">
        <v>1295</v>
      </c>
      <c r="C1208" t="s">
        <v>23</v>
      </c>
      <c r="D1208" s="2">
        <v>0</v>
      </c>
      <c r="E1208" s="2">
        <v>0</v>
      </c>
      <c r="F1208" s="2">
        <v>0</v>
      </c>
      <c r="G1208" s="2">
        <v>0</v>
      </c>
      <c r="H1208" s="2">
        <v>0.336312</v>
      </c>
      <c r="I1208" s="2">
        <v>0</v>
      </c>
      <c r="J1208" s="5">
        <f t="shared" si="36"/>
        <v>0.336312</v>
      </c>
      <c r="K1208" s="5">
        <f t="shared" si="37"/>
        <v>0.336312</v>
      </c>
      <c r="L1208" s="6">
        <f>K1208/'Quellen &amp; Annahmen'!$B$2</f>
        <v>3.046279789954592E-6</v>
      </c>
      <c r="M1208" s="7" t="s">
        <v>187</v>
      </c>
      <c r="N1208" s="7" t="s">
        <v>188</v>
      </c>
    </row>
    <row r="1209" spans="1:14" ht="18" customHeight="1">
      <c r="A1209">
        <v>1208</v>
      </c>
      <c r="B1209" t="s">
        <v>1296</v>
      </c>
      <c r="C1209" t="s">
        <v>50</v>
      </c>
      <c r="D1209" s="2">
        <v>0</v>
      </c>
      <c r="E1209" s="2">
        <v>0</v>
      </c>
      <c r="F1209" s="2">
        <v>0</v>
      </c>
      <c r="G1209" s="2">
        <v>0</v>
      </c>
      <c r="H1209" s="2">
        <v>0.336312</v>
      </c>
      <c r="I1209" s="2">
        <v>0</v>
      </c>
      <c r="J1209" s="5">
        <f t="shared" si="36"/>
        <v>0.336312</v>
      </c>
      <c r="K1209" s="5">
        <f t="shared" si="37"/>
        <v>0.336312</v>
      </c>
      <c r="L1209" s="6">
        <f>K1209/'Quellen &amp; Annahmen'!$B$2</f>
        <v>3.046279789954592E-6</v>
      </c>
      <c r="M1209" s="7" t="s">
        <v>187</v>
      </c>
      <c r="N1209" s="7" t="s">
        <v>188</v>
      </c>
    </row>
    <row r="1210" spans="1:14" ht="18" customHeight="1">
      <c r="A1210">
        <v>1209</v>
      </c>
      <c r="B1210" t="s">
        <v>1297</v>
      </c>
      <c r="C1210" t="s">
        <v>263</v>
      </c>
      <c r="D1210" s="2">
        <v>0</v>
      </c>
      <c r="E1210" s="2">
        <v>0</v>
      </c>
      <c r="F1210" s="2">
        <v>0</v>
      </c>
      <c r="G1210" s="2">
        <v>0</v>
      </c>
      <c r="H1210" s="2">
        <v>0.336312</v>
      </c>
      <c r="I1210" s="2">
        <v>0</v>
      </c>
      <c r="J1210" s="5">
        <f t="shared" si="36"/>
        <v>0.336312</v>
      </c>
      <c r="K1210" s="5">
        <f t="shared" si="37"/>
        <v>0.336312</v>
      </c>
      <c r="L1210" s="6">
        <f>K1210/'Quellen &amp; Annahmen'!$B$2</f>
        <v>3.046279789954592E-6</v>
      </c>
      <c r="M1210" s="7" t="s">
        <v>187</v>
      </c>
      <c r="N1210" s="7" t="s">
        <v>188</v>
      </c>
    </row>
    <row r="1211" spans="1:14" ht="18" customHeight="1">
      <c r="A1211">
        <v>1210</v>
      </c>
      <c r="B1211" t="s">
        <v>1298</v>
      </c>
      <c r="C1211" t="s">
        <v>263</v>
      </c>
      <c r="D1211" s="2">
        <v>0</v>
      </c>
      <c r="E1211" s="2">
        <v>0</v>
      </c>
      <c r="F1211" s="2">
        <v>0</v>
      </c>
      <c r="G1211" s="2">
        <v>0</v>
      </c>
      <c r="H1211" s="2">
        <v>0.336312</v>
      </c>
      <c r="I1211" s="2">
        <v>0</v>
      </c>
      <c r="J1211" s="5">
        <f t="shared" si="36"/>
        <v>0.336312</v>
      </c>
      <c r="K1211" s="5">
        <f t="shared" si="37"/>
        <v>0.336312</v>
      </c>
      <c r="L1211" s="6">
        <f>K1211/'Quellen &amp; Annahmen'!$B$2</f>
        <v>3.046279789954592E-6</v>
      </c>
      <c r="M1211" s="7" t="s">
        <v>187</v>
      </c>
      <c r="N1211" s="7" t="s">
        <v>188</v>
      </c>
    </row>
    <row r="1212" spans="1:14" ht="18" customHeight="1">
      <c r="A1212">
        <v>1211</v>
      </c>
      <c r="B1212" t="s">
        <v>1299</v>
      </c>
      <c r="C1212" t="s">
        <v>263</v>
      </c>
      <c r="D1212" s="2">
        <v>0</v>
      </c>
      <c r="E1212" s="2">
        <v>0</v>
      </c>
      <c r="F1212" s="2">
        <v>0</v>
      </c>
      <c r="G1212" s="2">
        <v>0</v>
      </c>
      <c r="H1212" s="2">
        <v>0.336312</v>
      </c>
      <c r="I1212" s="2">
        <v>0</v>
      </c>
      <c r="J1212" s="5">
        <f t="shared" si="36"/>
        <v>0.336312</v>
      </c>
      <c r="K1212" s="5">
        <f t="shared" si="37"/>
        <v>0.336312</v>
      </c>
      <c r="L1212" s="6">
        <f>K1212/'Quellen &amp; Annahmen'!$B$2</f>
        <v>3.046279789954592E-6</v>
      </c>
      <c r="M1212" s="7" t="s">
        <v>187</v>
      </c>
      <c r="N1212" s="7" t="s">
        <v>188</v>
      </c>
    </row>
    <row r="1213" spans="1:14" ht="18" customHeight="1">
      <c r="A1213">
        <v>1212</v>
      </c>
      <c r="B1213" t="s">
        <v>1300</v>
      </c>
      <c r="C1213" t="s">
        <v>23</v>
      </c>
      <c r="D1213" s="2">
        <v>0</v>
      </c>
      <c r="E1213" s="2">
        <v>0</v>
      </c>
      <c r="F1213" s="2">
        <v>0</v>
      </c>
      <c r="G1213" s="2">
        <v>0</v>
      </c>
      <c r="H1213" s="2">
        <v>0.336312</v>
      </c>
      <c r="I1213" s="2">
        <v>0</v>
      </c>
      <c r="J1213" s="5">
        <f t="shared" si="36"/>
        <v>0.336312</v>
      </c>
      <c r="K1213" s="5">
        <f t="shared" si="37"/>
        <v>0.336312</v>
      </c>
      <c r="L1213" s="6">
        <f>K1213/'Quellen &amp; Annahmen'!$B$2</f>
        <v>3.046279789954592E-6</v>
      </c>
      <c r="M1213" s="7" t="s">
        <v>187</v>
      </c>
      <c r="N1213" s="7" t="s">
        <v>188</v>
      </c>
    </row>
    <row r="1214" spans="1:14" ht="18" customHeight="1">
      <c r="A1214">
        <v>1213</v>
      </c>
      <c r="B1214" t="s">
        <v>1301</v>
      </c>
      <c r="C1214" t="s">
        <v>33</v>
      </c>
      <c r="D1214" s="2">
        <v>0</v>
      </c>
      <c r="E1214" s="2">
        <v>0</v>
      </c>
      <c r="F1214" s="2">
        <v>0</v>
      </c>
      <c r="G1214" s="2">
        <v>0</v>
      </c>
      <c r="H1214" s="2">
        <v>0.336312</v>
      </c>
      <c r="I1214" s="2">
        <v>0</v>
      </c>
      <c r="J1214" s="5">
        <f t="shared" si="36"/>
        <v>0.336312</v>
      </c>
      <c r="K1214" s="5">
        <f t="shared" si="37"/>
        <v>0.336312</v>
      </c>
      <c r="L1214" s="6">
        <f>K1214/'Quellen &amp; Annahmen'!$B$2</f>
        <v>3.046279789954592E-6</v>
      </c>
      <c r="M1214" s="7" t="s">
        <v>187</v>
      </c>
      <c r="N1214" s="7" t="s">
        <v>188</v>
      </c>
    </row>
    <row r="1215" spans="1:14" ht="18" customHeight="1">
      <c r="A1215">
        <v>1214</v>
      </c>
      <c r="B1215" t="s">
        <v>1302</v>
      </c>
      <c r="C1215" t="s">
        <v>38</v>
      </c>
      <c r="D1215" s="2">
        <v>0</v>
      </c>
      <c r="E1215" s="2">
        <v>0</v>
      </c>
      <c r="F1215" s="2">
        <v>0</v>
      </c>
      <c r="G1215" s="2">
        <v>0</v>
      </c>
      <c r="H1215" s="2">
        <v>0.336312</v>
      </c>
      <c r="I1215" s="2">
        <v>0</v>
      </c>
      <c r="J1215" s="5">
        <f t="shared" si="36"/>
        <v>0.336312</v>
      </c>
      <c r="K1215" s="5">
        <f t="shared" si="37"/>
        <v>0.336312</v>
      </c>
      <c r="L1215" s="6">
        <f>K1215/'Quellen &amp; Annahmen'!$B$2</f>
        <v>3.046279789954592E-6</v>
      </c>
      <c r="M1215" s="7" t="s">
        <v>187</v>
      </c>
      <c r="N1215" s="7" t="s">
        <v>188</v>
      </c>
    </row>
    <row r="1216" spans="1:14" ht="18" customHeight="1">
      <c r="A1216">
        <v>1215</v>
      </c>
      <c r="B1216" t="s">
        <v>1303</v>
      </c>
      <c r="C1216" t="s">
        <v>41</v>
      </c>
      <c r="D1216" s="2">
        <v>0</v>
      </c>
      <c r="E1216" s="2">
        <v>0</v>
      </c>
      <c r="F1216" s="2">
        <v>0</v>
      </c>
      <c r="G1216" s="2">
        <v>0</v>
      </c>
      <c r="H1216" s="2">
        <v>0.336312</v>
      </c>
      <c r="I1216" s="2">
        <v>0</v>
      </c>
      <c r="J1216" s="5">
        <f t="shared" si="36"/>
        <v>0.336312</v>
      </c>
      <c r="K1216" s="5">
        <f t="shared" si="37"/>
        <v>0.336312</v>
      </c>
      <c r="L1216" s="6">
        <f>K1216/'Quellen &amp; Annahmen'!$B$2</f>
        <v>3.046279789954592E-6</v>
      </c>
      <c r="M1216" s="7" t="s">
        <v>187</v>
      </c>
      <c r="N1216" s="7" t="s">
        <v>188</v>
      </c>
    </row>
    <row r="1217" spans="1:14" ht="18" customHeight="1">
      <c r="A1217">
        <v>1216</v>
      </c>
      <c r="B1217" t="s">
        <v>1304</v>
      </c>
      <c r="C1217" t="s">
        <v>50</v>
      </c>
      <c r="D1217" s="2">
        <v>0</v>
      </c>
      <c r="E1217" s="2">
        <v>0</v>
      </c>
      <c r="F1217" s="2">
        <v>0</v>
      </c>
      <c r="G1217" s="2">
        <v>0</v>
      </c>
      <c r="H1217" s="2">
        <v>0.336312</v>
      </c>
      <c r="I1217" s="2">
        <v>0</v>
      </c>
      <c r="J1217" s="5">
        <f t="shared" si="36"/>
        <v>0.336312</v>
      </c>
      <c r="K1217" s="5">
        <f t="shared" si="37"/>
        <v>0.336312</v>
      </c>
      <c r="L1217" s="6">
        <f>K1217/'Quellen &amp; Annahmen'!$B$2</f>
        <v>3.046279789954592E-6</v>
      </c>
      <c r="M1217" s="7" t="s">
        <v>187</v>
      </c>
      <c r="N1217" s="7" t="s">
        <v>188</v>
      </c>
    </row>
    <row r="1218" spans="1:14" ht="18" customHeight="1">
      <c r="A1218">
        <v>1217</v>
      </c>
      <c r="B1218" t="s">
        <v>1305</v>
      </c>
      <c r="C1218" t="s">
        <v>23</v>
      </c>
      <c r="D1218" s="2">
        <v>0</v>
      </c>
      <c r="E1218" s="2">
        <v>0</v>
      </c>
      <c r="F1218" s="2">
        <v>0</v>
      </c>
      <c r="G1218" s="2">
        <v>0</v>
      </c>
      <c r="H1218" s="2">
        <v>0.336312</v>
      </c>
      <c r="I1218" s="2">
        <v>0</v>
      </c>
      <c r="J1218" s="5">
        <f t="shared" ref="J1218:J1281" si="38">SUM(E1218:I1218)</f>
        <v>0.336312</v>
      </c>
      <c r="K1218" s="5">
        <f t="shared" ref="K1218:K1281" si="39">D1218+J1218</f>
        <v>0.336312</v>
      </c>
      <c r="L1218" s="6">
        <f>K1218/'Quellen &amp; Annahmen'!$B$2</f>
        <v>3.046279789954592E-6</v>
      </c>
      <c r="M1218" s="7" t="s">
        <v>187</v>
      </c>
      <c r="N1218" s="7" t="s">
        <v>188</v>
      </c>
    </row>
    <row r="1219" spans="1:14" ht="18" customHeight="1">
      <c r="A1219">
        <v>1218</v>
      </c>
      <c r="B1219" t="s">
        <v>1306</v>
      </c>
      <c r="C1219" t="s">
        <v>50</v>
      </c>
      <c r="D1219" s="2">
        <v>0</v>
      </c>
      <c r="E1219" s="2">
        <v>0</v>
      </c>
      <c r="F1219" s="2">
        <v>0</v>
      </c>
      <c r="G1219" s="2">
        <v>0</v>
      </c>
      <c r="H1219" s="2">
        <v>0.336312</v>
      </c>
      <c r="I1219" s="2">
        <v>0</v>
      </c>
      <c r="J1219" s="5">
        <f t="shared" si="38"/>
        <v>0.336312</v>
      </c>
      <c r="K1219" s="5">
        <f t="shared" si="39"/>
        <v>0.336312</v>
      </c>
      <c r="L1219" s="6">
        <f>K1219/'Quellen &amp; Annahmen'!$B$2</f>
        <v>3.046279789954592E-6</v>
      </c>
      <c r="M1219" s="7" t="s">
        <v>187</v>
      </c>
      <c r="N1219" s="7" t="s">
        <v>188</v>
      </c>
    </row>
    <row r="1220" spans="1:14" ht="18" customHeight="1">
      <c r="A1220">
        <v>1219</v>
      </c>
      <c r="B1220" t="s">
        <v>1307</v>
      </c>
      <c r="C1220" t="s">
        <v>263</v>
      </c>
      <c r="D1220" s="2">
        <v>0</v>
      </c>
      <c r="E1220" s="2">
        <v>0</v>
      </c>
      <c r="F1220" s="2">
        <v>0</v>
      </c>
      <c r="G1220" s="2">
        <v>0</v>
      </c>
      <c r="H1220" s="2">
        <v>0.336312</v>
      </c>
      <c r="I1220" s="2">
        <v>0</v>
      </c>
      <c r="J1220" s="5">
        <f t="shared" si="38"/>
        <v>0.336312</v>
      </c>
      <c r="K1220" s="5">
        <f t="shared" si="39"/>
        <v>0.336312</v>
      </c>
      <c r="L1220" s="6">
        <f>K1220/'Quellen &amp; Annahmen'!$B$2</f>
        <v>3.046279789954592E-6</v>
      </c>
      <c r="M1220" s="7" t="s">
        <v>187</v>
      </c>
      <c r="N1220" s="7" t="s">
        <v>188</v>
      </c>
    </row>
    <row r="1221" spans="1:14" ht="18" customHeight="1">
      <c r="A1221">
        <v>1220</v>
      </c>
      <c r="B1221" t="s">
        <v>1308</v>
      </c>
      <c r="C1221" t="s">
        <v>50</v>
      </c>
      <c r="D1221" s="2">
        <v>0</v>
      </c>
      <c r="E1221" s="2">
        <v>0</v>
      </c>
      <c r="F1221" s="2">
        <v>0</v>
      </c>
      <c r="G1221" s="2">
        <v>0</v>
      </c>
      <c r="H1221" s="2">
        <v>0.336312</v>
      </c>
      <c r="I1221" s="2">
        <v>0</v>
      </c>
      <c r="J1221" s="5">
        <f t="shared" si="38"/>
        <v>0.336312</v>
      </c>
      <c r="K1221" s="5">
        <f t="shared" si="39"/>
        <v>0.336312</v>
      </c>
      <c r="L1221" s="6">
        <f>K1221/'Quellen &amp; Annahmen'!$B$2</f>
        <v>3.046279789954592E-6</v>
      </c>
      <c r="M1221" s="7" t="s">
        <v>187</v>
      </c>
      <c r="N1221" s="7" t="s">
        <v>188</v>
      </c>
    </row>
    <row r="1222" spans="1:14" ht="18" customHeight="1">
      <c r="A1222">
        <v>1221</v>
      </c>
      <c r="B1222" t="s">
        <v>1309</v>
      </c>
      <c r="C1222" t="s">
        <v>108</v>
      </c>
      <c r="D1222" s="2">
        <v>0</v>
      </c>
      <c r="E1222" s="2">
        <v>0</v>
      </c>
      <c r="F1222" s="2">
        <v>0</v>
      </c>
      <c r="G1222" s="2">
        <v>0</v>
      </c>
      <c r="H1222" s="2">
        <v>0.336312</v>
      </c>
      <c r="I1222" s="2">
        <v>0</v>
      </c>
      <c r="J1222" s="5">
        <f t="shared" si="38"/>
        <v>0.336312</v>
      </c>
      <c r="K1222" s="5">
        <f t="shared" si="39"/>
        <v>0.336312</v>
      </c>
      <c r="L1222" s="6">
        <f>K1222/'Quellen &amp; Annahmen'!$B$2</f>
        <v>3.046279789954592E-6</v>
      </c>
      <c r="M1222" s="7" t="s">
        <v>187</v>
      </c>
      <c r="N1222" s="7" t="s">
        <v>188</v>
      </c>
    </row>
    <row r="1223" spans="1:14" ht="18" customHeight="1">
      <c r="A1223">
        <v>1222</v>
      </c>
      <c r="B1223" t="s">
        <v>1310</v>
      </c>
      <c r="C1223" t="s">
        <v>25</v>
      </c>
      <c r="D1223" s="2">
        <v>0</v>
      </c>
      <c r="E1223" s="2">
        <v>0</v>
      </c>
      <c r="F1223" s="2">
        <v>0</v>
      </c>
      <c r="G1223" s="2">
        <v>0</v>
      </c>
      <c r="H1223" s="2">
        <v>0.336312</v>
      </c>
      <c r="I1223" s="2">
        <v>0</v>
      </c>
      <c r="J1223" s="5">
        <f t="shared" si="38"/>
        <v>0.336312</v>
      </c>
      <c r="K1223" s="5">
        <f t="shared" si="39"/>
        <v>0.336312</v>
      </c>
      <c r="L1223" s="6">
        <f>K1223/'Quellen &amp; Annahmen'!$B$2</f>
        <v>3.046279789954592E-6</v>
      </c>
      <c r="M1223" s="7" t="s">
        <v>187</v>
      </c>
      <c r="N1223" s="7" t="s">
        <v>188</v>
      </c>
    </row>
    <row r="1224" spans="1:14" ht="18" customHeight="1">
      <c r="A1224">
        <v>1223</v>
      </c>
      <c r="B1224" t="s">
        <v>1311</v>
      </c>
      <c r="C1224" t="s">
        <v>108</v>
      </c>
      <c r="D1224" s="2">
        <v>0</v>
      </c>
      <c r="E1224" s="2">
        <v>0</v>
      </c>
      <c r="F1224" s="2">
        <v>0</v>
      </c>
      <c r="G1224" s="2">
        <v>0</v>
      </c>
      <c r="H1224" s="2">
        <v>0.336312</v>
      </c>
      <c r="I1224" s="2">
        <v>0</v>
      </c>
      <c r="J1224" s="5">
        <f t="shared" si="38"/>
        <v>0.336312</v>
      </c>
      <c r="K1224" s="5">
        <f t="shared" si="39"/>
        <v>0.336312</v>
      </c>
      <c r="L1224" s="6">
        <f>K1224/'Quellen &amp; Annahmen'!$B$2</f>
        <v>3.046279789954592E-6</v>
      </c>
      <c r="M1224" s="7" t="s">
        <v>187</v>
      </c>
      <c r="N1224" s="7" t="s">
        <v>188</v>
      </c>
    </row>
    <row r="1225" spans="1:14" ht="18" customHeight="1">
      <c r="A1225">
        <v>1224</v>
      </c>
      <c r="B1225" t="s">
        <v>1312</v>
      </c>
      <c r="C1225" t="s">
        <v>23</v>
      </c>
      <c r="D1225" s="2">
        <v>0</v>
      </c>
      <c r="E1225" s="2">
        <v>0</v>
      </c>
      <c r="F1225" s="2">
        <v>0</v>
      </c>
      <c r="G1225" s="2">
        <v>0</v>
      </c>
      <c r="H1225" s="2">
        <v>0.336312</v>
      </c>
      <c r="I1225" s="2">
        <v>0</v>
      </c>
      <c r="J1225" s="5">
        <f t="shared" si="38"/>
        <v>0.336312</v>
      </c>
      <c r="K1225" s="5">
        <f t="shared" si="39"/>
        <v>0.336312</v>
      </c>
      <c r="L1225" s="6">
        <f>K1225/'Quellen &amp; Annahmen'!$B$2</f>
        <v>3.046279789954592E-6</v>
      </c>
      <c r="M1225" s="7" t="s">
        <v>187</v>
      </c>
      <c r="N1225" s="7" t="s">
        <v>188</v>
      </c>
    </row>
    <row r="1226" spans="1:14" ht="18" customHeight="1">
      <c r="A1226">
        <v>1225</v>
      </c>
      <c r="B1226" t="s">
        <v>1313</v>
      </c>
      <c r="C1226" t="s">
        <v>33</v>
      </c>
      <c r="D1226" s="2">
        <v>0</v>
      </c>
      <c r="E1226" s="2">
        <v>0</v>
      </c>
      <c r="F1226" s="2">
        <v>0</v>
      </c>
      <c r="G1226" s="2">
        <v>0</v>
      </c>
      <c r="H1226" s="2">
        <v>0.336312</v>
      </c>
      <c r="I1226" s="2">
        <v>0</v>
      </c>
      <c r="J1226" s="5">
        <f t="shared" si="38"/>
        <v>0.336312</v>
      </c>
      <c r="K1226" s="5">
        <f t="shared" si="39"/>
        <v>0.336312</v>
      </c>
      <c r="L1226" s="6">
        <f>K1226/'Quellen &amp; Annahmen'!$B$2</f>
        <v>3.046279789954592E-6</v>
      </c>
      <c r="M1226" s="7" t="s">
        <v>187</v>
      </c>
      <c r="N1226" s="7" t="s">
        <v>188</v>
      </c>
    </row>
    <row r="1227" spans="1:14" ht="18" customHeight="1">
      <c r="A1227">
        <v>1226</v>
      </c>
      <c r="B1227" t="s">
        <v>1314</v>
      </c>
      <c r="C1227" t="s">
        <v>38</v>
      </c>
      <c r="D1227" s="2">
        <v>0</v>
      </c>
      <c r="E1227" s="2">
        <v>0</v>
      </c>
      <c r="F1227" s="2">
        <v>0</v>
      </c>
      <c r="G1227" s="2">
        <v>0</v>
      </c>
      <c r="H1227" s="2">
        <v>0.336312</v>
      </c>
      <c r="I1227" s="2">
        <v>0</v>
      </c>
      <c r="J1227" s="5">
        <f t="shared" si="38"/>
        <v>0.336312</v>
      </c>
      <c r="K1227" s="5">
        <f t="shared" si="39"/>
        <v>0.336312</v>
      </c>
      <c r="L1227" s="6">
        <f>K1227/'Quellen &amp; Annahmen'!$B$2</f>
        <v>3.046279789954592E-6</v>
      </c>
      <c r="M1227" s="7" t="s">
        <v>187</v>
      </c>
      <c r="N1227" s="7" t="s">
        <v>188</v>
      </c>
    </row>
    <row r="1228" spans="1:14" ht="18" customHeight="1">
      <c r="A1228">
        <v>1227</v>
      </c>
      <c r="B1228" t="s">
        <v>1315</v>
      </c>
      <c r="C1228" t="s">
        <v>108</v>
      </c>
      <c r="D1228" s="2">
        <v>0</v>
      </c>
      <c r="E1228" s="2">
        <v>0</v>
      </c>
      <c r="F1228" s="2">
        <v>0</v>
      </c>
      <c r="G1228" s="2">
        <v>0</v>
      </c>
      <c r="H1228" s="2">
        <v>0.336312</v>
      </c>
      <c r="I1228" s="2">
        <v>0</v>
      </c>
      <c r="J1228" s="5">
        <f t="shared" si="38"/>
        <v>0.336312</v>
      </c>
      <c r="K1228" s="5">
        <f t="shared" si="39"/>
        <v>0.336312</v>
      </c>
      <c r="L1228" s="6">
        <f>K1228/'Quellen &amp; Annahmen'!$B$2</f>
        <v>3.046279789954592E-6</v>
      </c>
      <c r="M1228" s="7" t="s">
        <v>187</v>
      </c>
      <c r="N1228" s="7" t="s">
        <v>188</v>
      </c>
    </row>
    <row r="1229" spans="1:14" ht="18" customHeight="1">
      <c r="A1229">
        <v>1228</v>
      </c>
      <c r="B1229" t="s">
        <v>1316</v>
      </c>
      <c r="C1229" t="s">
        <v>27</v>
      </c>
      <c r="D1229" s="2">
        <v>0</v>
      </c>
      <c r="E1229" s="2">
        <v>0</v>
      </c>
      <c r="F1229" s="2">
        <v>0</v>
      </c>
      <c r="G1229" s="2">
        <v>0</v>
      </c>
      <c r="H1229" s="2">
        <v>0.336312</v>
      </c>
      <c r="I1229" s="2">
        <v>0</v>
      </c>
      <c r="J1229" s="5">
        <f t="shared" si="38"/>
        <v>0.336312</v>
      </c>
      <c r="K1229" s="5">
        <f t="shared" si="39"/>
        <v>0.336312</v>
      </c>
      <c r="L1229" s="6">
        <f>K1229/'Quellen &amp; Annahmen'!$B$2</f>
        <v>3.046279789954592E-6</v>
      </c>
      <c r="M1229" s="7" t="s">
        <v>187</v>
      </c>
      <c r="N1229" s="7" t="s">
        <v>188</v>
      </c>
    </row>
    <row r="1230" spans="1:14" ht="18" customHeight="1">
      <c r="A1230">
        <v>1229</v>
      </c>
      <c r="B1230" t="s">
        <v>1317</v>
      </c>
      <c r="C1230" t="s">
        <v>253</v>
      </c>
      <c r="D1230" s="2">
        <v>0</v>
      </c>
      <c r="E1230" s="2">
        <v>0</v>
      </c>
      <c r="F1230" s="2">
        <v>0</v>
      </c>
      <c r="G1230" s="2">
        <v>0</v>
      </c>
      <c r="H1230" s="2">
        <v>0.336312</v>
      </c>
      <c r="I1230" s="2">
        <v>0</v>
      </c>
      <c r="J1230" s="5">
        <f t="shared" si="38"/>
        <v>0.336312</v>
      </c>
      <c r="K1230" s="5">
        <f t="shared" si="39"/>
        <v>0.336312</v>
      </c>
      <c r="L1230" s="6">
        <f>K1230/'Quellen &amp; Annahmen'!$B$2</f>
        <v>3.046279789954592E-6</v>
      </c>
      <c r="M1230" s="7" t="s">
        <v>187</v>
      </c>
      <c r="N1230" s="7" t="s">
        <v>188</v>
      </c>
    </row>
    <row r="1231" spans="1:14" ht="18" customHeight="1">
      <c r="A1231">
        <v>1230</v>
      </c>
      <c r="B1231" t="s">
        <v>1318</v>
      </c>
      <c r="C1231" t="s">
        <v>253</v>
      </c>
      <c r="D1231" s="2">
        <v>0</v>
      </c>
      <c r="E1231" s="2">
        <v>0</v>
      </c>
      <c r="F1231" s="2">
        <v>0</v>
      </c>
      <c r="G1231" s="2">
        <v>0</v>
      </c>
      <c r="H1231" s="2">
        <v>0.336312</v>
      </c>
      <c r="I1231" s="2">
        <v>0</v>
      </c>
      <c r="J1231" s="5">
        <f t="shared" si="38"/>
        <v>0.336312</v>
      </c>
      <c r="K1231" s="5">
        <f t="shared" si="39"/>
        <v>0.336312</v>
      </c>
      <c r="L1231" s="6">
        <f>K1231/'Quellen &amp; Annahmen'!$B$2</f>
        <v>3.046279789954592E-6</v>
      </c>
      <c r="M1231" s="7" t="s">
        <v>187</v>
      </c>
      <c r="N1231" s="7" t="s">
        <v>188</v>
      </c>
    </row>
    <row r="1232" spans="1:14" ht="18" customHeight="1">
      <c r="A1232">
        <v>1231</v>
      </c>
      <c r="B1232" t="s">
        <v>1319</v>
      </c>
      <c r="C1232" t="s">
        <v>33</v>
      </c>
      <c r="D1232" s="2">
        <v>0</v>
      </c>
      <c r="E1232" s="2">
        <v>0</v>
      </c>
      <c r="F1232" s="2">
        <v>0</v>
      </c>
      <c r="G1232" s="2">
        <v>0</v>
      </c>
      <c r="H1232" s="2">
        <v>0.336312</v>
      </c>
      <c r="I1232" s="2">
        <v>0</v>
      </c>
      <c r="J1232" s="5">
        <f t="shared" si="38"/>
        <v>0.336312</v>
      </c>
      <c r="K1232" s="5">
        <f t="shared" si="39"/>
        <v>0.336312</v>
      </c>
      <c r="L1232" s="6">
        <f>K1232/'Quellen &amp; Annahmen'!$B$2</f>
        <v>3.046279789954592E-6</v>
      </c>
      <c r="M1232" s="7" t="s">
        <v>187</v>
      </c>
      <c r="N1232" s="7" t="s">
        <v>188</v>
      </c>
    </row>
    <row r="1233" spans="1:14" ht="18" customHeight="1">
      <c r="A1233">
        <v>1232</v>
      </c>
      <c r="B1233" t="s">
        <v>1320</v>
      </c>
      <c r="C1233" t="s">
        <v>50</v>
      </c>
      <c r="D1233" s="2">
        <v>0</v>
      </c>
      <c r="E1233" s="2">
        <v>0</v>
      </c>
      <c r="F1233" s="2">
        <v>0</v>
      </c>
      <c r="G1233" s="2">
        <v>0</v>
      </c>
      <c r="H1233" s="2">
        <v>0.336312</v>
      </c>
      <c r="I1233" s="2">
        <v>0</v>
      </c>
      <c r="J1233" s="5">
        <f t="shared" si="38"/>
        <v>0.336312</v>
      </c>
      <c r="K1233" s="5">
        <f t="shared" si="39"/>
        <v>0.336312</v>
      </c>
      <c r="L1233" s="6">
        <f>K1233/'Quellen &amp; Annahmen'!$B$2</f>
        <v>3.046279789954592E-6</v>
      </c>
      <c r="M1233" s="7" t="s">
        <v>187</v>
      </c>
      <c r="N1233" s="7" t="s">
        <v>188</v>
      </c>
    </row>
    <row r="1234" spans="1:14" ht="18" customHeight="1">
      <c r="A1234">
        <v>1233</v>
      </c>
      <c r="B1234" t="s">
        <v>1321</v>
      </c>
      <c r="C1234" t="s">
        <v>27</v>
      </c>
      <c r="D1234" s="2">
        <v>0</v>
      </c>
      <c r="E1234" s="2">
        <v>0</v>
      </c>
      <c r="F1234" s="2">
        <v>0</v>
      </c>
      <c r="G1234" s="2">
        <v>0</v>
      </c>
      <c r="H1234" s="2">
        <v>0.336312</v>
      </c>
      <c r="I1234" s="2">
        <v>0</v>
      </c>
      <c r="J1234" s="5">
        <f t="shared" si="38"/>
        <v>0.336312</v>
      </c>
      <c r="K1234" s="5">
        <f t="shared" si="39"/>
        <v>0.336312</v>
      </c>
      <c r="L1234" s="6">
        <f>K1234/'Quellen &amp; Annahmen'!$B$2</f>
        <v>3.046279789954592E-6</v>
      </c>
      <c r="M1234" s="7" t="s">
        <v>187</v>
      </c>
      <c r="N1234" s="7" t="s">
        <v>188</v>
      </c>
    </row>
    <row r="1235" spans="1:14" ht="18" customHeight="1">
      <c r="A1235">
        <v>1234</v>
      </c>
      <c r="B1235" t="s">
        <v>1322</v>
      </c>
      <c r="C1235" t="s">
        <v>23</v>
      </c>
      <c r="D1235" s="2">
        <v>0</v>
      </c>
      <c r="E1235" s="2">
        <v>0</v>
      </c>
      <c r="F1235" s="2">
        <v>0</v>
      </c>
      <c r="G1235" s="2">
        <v>0</v>
      </c>
      <c r="H1235" s="2">
        <v>0.336312</v>
      </c>
      <c r="I1235" s="2">
        <v>0</v>
      </c>
      <c r="J1235" s="5">
        <f t="shared" si="38"/>
        <v>0.336312</v>
      </c>
      <c r="K1235" s="5">
        <f t="shared" si="39"/>
        <v>0.336312</v>
      </c>
      <c r="L1235" s="6">
        <f>K1235/'Quellen &amp; Annahmen'!$B$2</f>
        <v>3.046279789954592E-6</v>
      </c>
      <c r="M1235" s="7" t="s">
        <v>187</v>
      </c>
      <c r="N1235" s="7" t="s">
        <v>188</v>
      </c>
    </row>
    <row r="1236" spans="1:14" ht="18" customHeight="1">
      <c r="A1236">
        <v>1235</v>
      </c>
      <c r="B1236" t="s">
        <v>1323</v>
      </c>
      <c r="C1236" t="s">
        <v>263</v>
      </c>
      <c r="D1236" s="2">
        <v>0</v>
      </c>
      <c r="E1236" s="2">
        <v>0</v>
      </c>
      <c r="F1236" s="2">
        <v>0</v>
      </c>
      <c r="G1236" s="2">
        <v>0</v>
      </c>
      <c r="H1236" s="2">
        <v>0.336312</v>
      </c>
      <c r="I1236" s="2">
        <v>0</v>
      </c>
      <c r="J1236" s="5">
        <f t="shared" si="38"/>
        <v>0.336312</v>
      </c>
      <c r="K1236" s="5">
        <f t="shared" si="39"/>
        <v>0.336312</v>
      </c>
      <c r="L1236" s="6">
        <f>K1236/'Quellen &amp; Annahmen'!$B$2</f>
        <v>3.046279789954592E-6</v>
      </c>
      <c r="M1236" s="7" t="s">
        <v>187</v>
      </c>
      <c r="N1236" s="7" t="s">
        <v>188</v>
      </c>
    </row>
    <row r="1237" spans="1:14" ht="18" customHeight="1">
      <c r="A1237">
        <v>1236</v>
      </c>
      <c r="B1237" t="s">
        <v>1324</v>
      </c>
      <c r="C1237" t="s">
        <v>50</v>
      </c>
      <c r="D1237" s="2">
        <v>0</v>
      </c>
      <c r="E1237" s="2">
        <v>0</v>
      </c>
      <c r="F1237" s="2">
        <v>0</v>
      </c>
      <c r="G1237" s="2">
        <v>0</v>
      </c>
      <c r="H1237" s="2">
        <v>0.336312</v>
      </c>
      <c r="I1237" s="2">
        <v>0</v>
      </c>
      <c r="J1237" s="5">
        <f t="shared" si="38"/>
        <v>0.336312</v>
      </c>
      <c r="K1237" s="5">
        <f t="shared" si="39"/>
        <v>0.336312</v>
      </c>
      <c r="L1237" s="6">
        <f>K1237/'Quellen &amp; Annahmen'!$B$2</f>
        <v>3.046279789954592E-6</v>
      </c>
      <c r="M1237" s="7" t="s">
        <v>187</v>
      </c>
      <c r="N1237" s="7" t="s">
        <v>188</v>
      </c>
    </row>
    <row r="1238" spans="1:14" ht="18" customHeight="1">
      <c r="A1238">
        <v>1237</v>
      </c>
      <c r="B1238" t="s">
        <v>1325</v>
      </c>
      <c r="C1238" t="s">
        <v>33</v>
      </c>
      <c r="D1238" s="2">
        <v>0</v>
      </c>
      <c r="E1238" s="2">
        <v>0</v>
      </c>
      <c r="F1238" s="2">
        <v>0</v>
      </c>
      <c r="G1238" s="2">
        <v>0</v>
      </c>
      <c r="H1238" s="2">
        <v>0.336312</v>
      </c>
      <c r="I1238" s="2">
        <v>0</v>
      </c>
      <c r="J1238" s="5">
        <f t="shared" si="38"/>
        <v>0.336312</v>
      </c>
      <c r="K1238" s="5">
        <f t="shared" si="39"/>
        <v>0.336312</v>
      </c>
      <c r="L1238" s="6">
        <f>K1238/'Quellen &amp; Annahmen'!$B$2</f>
        <v>3.046279789954592E-6</v>
      </c>
      <c r="M1238" s="7" t="s">
        <v>187</v>
      </c>
      <c r="N1238" s="7" t="s">
        <v>188</v>
      </c>
    </row>
    <row r="1239" spans="1:14" ht="18" customHeight="1">
      <c r="A1239">
        <v>1238</v>
      </c>
      <c r="B1239" t="s">
        <v>1326</v>
      </c>
      <c r="C1239" t="s">
        <v>50</v>
      </c>
      <c r="D1239" s="2">
        <v>0</v>
      </c>
      <c r="E1239" s="2">
        <v>0</v>
      </c>
      <c r="F1239" s="2">
        <v>0</v>
      </c>
      <c r="G1239" s="2">
        <v>0</v>
      </c>
      <c r="H1239" s="2">
        <v>0.336312</v>
      </c>
      <c r="I1239" s="2">
        <v>0</v>
      </c>
      <c r="J1239" s="5">
        <f t="shared" si="38"/>
        <v>0.336312</v>
      </c>
      <c r="K1239" s="5">
        <f t="shared" si="39"/>
        <v>0.336312</v>
      </c>
      <c r="L1239" s="6">
        <f>K1239/'Quellen &amp; Annahmen'!$B$2</f>
        <v>3.046279789954592E-6</v>
      </c>
      <c r="M1239" s="7" t="s">
        <v>187</v>
      </c>
      <c r="N1239" s="7" t="s">
        <v>188</v>
      </c>
    </row>
    <row r="1240" spans="1:14" ht="18" customHeight="1">
      <c r="A1240">
        <v>1239</v>
      </c>
      <c r="B1240" t="s">
        <v>1327</v>
      </c>
      <c r="C1240" t="s">
        <v>41</v>
      </c>
      <c r="D1240" s="2">
        <v>0</v>
      </c>
      <c r="E1240" s="2">
        <v>0</v>
      </c>
      <c r="F1240" s="2">
        <v>0</v>
      </c>
      <c r="G1240" s="2">
        <v>0</v>
      </c>
      <c r="H1240" s="2">
        <v>0.336312</v>
      </c>
      <c r="I1240" s="2">
        <v>0</v>
      </c>
      <c r="J1240" s="5">
        <f t="shared" si="38"/>
        <v>0.336312</v>
      </c>
      <c r="K1240" s="5">
        <f t="shared" si="39"/>
        <v>0.336312</v>
      </c>
      <c r="L1240" s="6">
        <f>K1240/'Quellen &amp; Annahmen'!$B$2</f>
        <v>3.046279789954592E-6</v>
      </c>
      <c r="M1240" s="7" t="s">
        <v>187</v>
      </c>
      <c r="N1240" s="7" t="s">
        <v>188</v>
      </c>
    </row>
    <row r="1241" spans="1:14" ht="18" customHeight="1">
      <c r="A1241">
        <v>1240</v>
      </c>
      <c r="B1241" t="s">
        <v>1328</v>
      </c>
      <c r="C1241" t="s">
        <v>263</v>
      </c>
      <c r="D1241" s="2">
        <v>0</v>
      </c>
      <c r="E1241" s="2">
        <v>0</v>
      </c>
      <c r="F1241" s="2">
        <v>0</v>
      </c>
      <c r="G1241" s="2">
        <v>0</v>
      </c>
      <c r="H1241" s="2">
        <v>0.336312</v>
      </c>
      <c r="I1241" s="2">
        <v>0</v>
      </c>
      <c r="J1241" s="5">
        <f t="shared" si="38"/>
        <v>0.336312</v>
      </c>
      <c r="K1241" s="5">
        <f t="shared" si="39"/>
        <v>0.336312</v>
      </c>
      <c r="L1241" s="6">
        <f>K1241/'Quellen &amp; Annahmen'!$B$2</f>
        <v>3.046279789954592E-6</v>
      </c>
      <c r="M1241" s="7" t="s">
        <v>187</v>
      </c>
      <c r="N1241" s="7" t="s">
        <v>188</v>
      </c>
    </row>
    <row r="1242" spans="1:14" ht="18" customHeight="1">
      <c r="A1242">
        <v>1241</v>
      </c>
      <c r="B1242" t="s">
        <v>1329</v>
      </c>
      <c r="C1242" t="s">
        <v>23</v>
      </c>
      <c r="D1242" s="2">
        <v>0</v>
      </c>
      <c r="E1242" s="2">
        <v>0</v>
      </c>
      <c r="F1242" s="2">
        <v>0</v>
      </c>
      <c r="G1242" s="2">
        <v>0</v>
      </c>
      <c r="H1242" s="2">
        <v>0.336312</v>
      </c>
      <c r="I1242" s="2">
        <v>0</v>
      </c>
      <c r="J1242" s="5">
        <f t="shared" si="38"/>
        <v>0.336312</v>
      </c>
      <c r="K1242" s="5">
        <f t="shared" si="39"/>
        <v>0.336312</v>
      </c>
      <c r="L1242" s="6">
        <f>K1242/'Quellen &amp; Annahmen'!$B$2</f>
        <v>3.046279789954592E-6</v>
      </c>
      <c r="M1242" s="7" t="s">
        <v>187</v>
      </c>
      <c r="N1242" s="7" t="s">
        <v>188</v>
      </c>
    </row>
    <row r="1243" spans="1:14" ht="18" customHeight="1">
      <c r="A1243">
        <v>1242</v>
      </c>
      <c r="B1243" t="s">
        <v>1330</v>
      </c>
      <c r="C1243" t="s">
        <v>38</v>
      </c>
      <c r="D1243" s="2">
        <v>0</v>
      </c>
      <c r="E1243" s="2">
        <v>0</v>
      </c>
      <c r="F1243" s="2">
        <v>0</v>
      </c>
      <c r="G1243" s="2">
        <v>0</v>
      </c>
      <c r="H1243" s="2">
        <v>0.336312</v>
      </c>
      <c r="I1243" s="2">
        <v>0</v>
      </c>
      <c r="J1243" s="5">
        <f t="shared" si="38"/>
        <v>0.336312</v>
      </c>
      <c r="K1243" s="5">
        <f t="shared" si="39"/>
        <v>0.336312</v>
      </c>
      <c r="L1243" s="6">
        <f>K1243/'Quellen &amp; Annahmen'!$B$2</f>
        <v>3.046279789954592E-6</v>
      </c>
      <c r="M1243" s="7" t="s">
        <v>187</v>
      </c>
      <c r="N1243" s="7" t="s">
        <v>188</v>
      </c>
    </row>
    <row r="1244" spans="1:14" ht="18" customHeight="1">
      <c r="A1244">
        <v>1243</v>
      </c>
      <c r="B1244" t="s">
        <v>1331</v>
      </c>
      <c r="C1244" t="s">
        <v>50</v>
      </c>
      <c r="D1244" s="2">
        <v>0</v>
      </c>
      <c r="E1244" s="2">
        <v>0</v>
      </c>
      <c r="F1244" s="2">
        <v>0</v>
      </c>
      <c r="G1244" s="2">
        <v>0</v>
      </c>
      <c r="H1244" s="2">
        <v>0.336312</v>
      </c>
      <c r="I1244" s="2">
        <v>0</v>
      </c>
      <c r="J1244" s="5">
        <f t="shared" si="38"/>
        <v>0.336312</v>
      </c>
      <c r="K1244" s="5">
        <f t="shared" si="39"/>
        <v>0.336312</v>
      </c>
      <c r="L1244" s="6">
        <f>K1244/'Quellen &amp; Annahmen'!$B$2</f>
        <v>3.046279789954592E-6</v>
      </c>
      <c r="M1244" s="7" t="s">
        <v>187</v>
      </c>
      <c r="N1244" s="7" t="s">
        <v>188</v>
      </c>
    </row>
    <row r="1245" spans="1:14" ht="18" customHeight="1">
      <c r="A1245">
        <v>1244</v>
      </c>
      <c r="B1245" t="s">
        <v>1332</v>
      </c>
      <c r="C1245" t="s">
        <v>50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0.22820799999999999</v>
      </c>
      <c r="J1245" s="5">
        <f t="shared" si="38"/>
        <v>0.22820799999999999</v>
      </c>
      <c r="K1245" s="5">
        <f t="shared" si="39"/>
        <v>0.22820799999999999</v>
      </c>
      <c r="L1245" s="6">
        <f>K1245/'Quellen &amp; Annahmen'!$B$2</f>
        <v>2.0670847852766404E-6</v>
      </c>
      <c r="M1245" s="7" t="s">
        <v>943</v>
      </c>
      <c r="N1245" s="7" t="s">
        <v>944</v>
      </c>
    </row>
    <row r="1246" spans="1:14" ht="18" customHeight="1">
      <c r="A1246">
        <v>1245</v>
      </c>
      <c r="B1246" t="s">
        <v>1333</v>
      </c>
      <c r="C1246" t="s">
        <v>41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0.22820799999999999</v>
      </c>
      <c r="J1246" s="5">
        <f t="shared" si="38"/>
        <v>0.22820799999999999</v>
      </c>
      <c r="K1246" s="5">
        <f t="shared" si="39"/>
        <v>0.22820799999999999</v>
      </c>
      <c r="L1246" s="6">
        <f>K1246/'Quellen &amp; Annahmen'!$B$2</f>
        <v>2.0670847852766404E-6</v>
      </c>
      <c r="M1246" s="7" t="s">
        <v>943</v>
      </c>
      <c r="N1246" s="7" t="s">
        <v>944</v>
      </c>
    </row>
    <row r="1247" spans="1:14" ht="18" customHeight="1">
      <c r="A1247">
        <v>1246</v>
      </c>
      <c r="B1247" t="s">
        <v>1334</v>
      </c>
      <c r="C1247" t="s">
        <v>124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0.22820799999999999</v>
      </c>
      <c r="J1247" s="5">
        <f t="shared" si="38"/>
        <v>0.22820799999999999</v>
      </c>
      <c r="K1247" s="5">
        <f t="shared" si="39"/>
        <v>0.22820799999999999</v>
      </c>
      <c r="L1247" s="6">
        <f>K1247/'Quellen &amp; Annahmen'!$B$2</f>
        <v>2.0670847852766404E-6</v>
      </c>
      <c r="M1247" s="7" t="s">
        <v>943</v>
      </c>
      <c r="N1247" s="7" t="s">
        <v>944</v>
      </c>
    </row>
    <row r="1248" spans="1:14" ht="18" customHeight="1">
      <c r="A1248">
        <v>1247</v>
      </c>
      <c r="B1248" t="s">
        <v>1335</v>
      </c>
      <c r="C1248" t="s">
        <v>253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0.22820799999999999</v>
      </c>
      <c r="J1248" s="5">
        <f t="shared" si="38"/>
        <v>0.22820799999999999</v>
      </c>
      <c r="K1248" s="5">
        <f t="shared" si="39"/>
        <v>0.22820799999999999</v>
      </c>
      <c r="L1248" s="6">
        <f>K1248/'Quellen &amp; Annahmen'!$B$2</f>
        <v>2.0670847852766404E-6</v>
      </c>
      <c r="M1248" s="7" t="s">
        <v>943</v>
      </c>
      <c r="N1248" s="7" t="s">
        <v>944</v>
      </c>
    </row>
    <row r="1249" spans="1:14" ht="18" customHeight="1">
      <c r="A1249">
        <v>1248</v>
      </c>
      <c r="B1249" t="s">
        <v>1336</v>
      </c>
      <c r="C1249" t="s">
        <v>41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0.22820799999999999</v>
      </c>
      <c r="J1249" s="5">
        <f t="shared" si="38"/>
        <v>0.22820799999999999</v>
      </c>
      <c r="K1249" s="5">
        <f t="shared" si="39"/>
        <v>0.22820799999999999</v>
      </c>
      <c r="L1249" s="6">
        <f>K1249/'Quellen &amp; Annahmen'!$B$2</f>
        <v>2.0670847852766404E-6</v>
      </c>
      <c r="M1249" s="7" t="s">
        <v>943</v>
      </c>
      <c r="N1249" s="7" t="s">
        <v>944</v>
      </c>
    </row>
    <row r="1250" spans="1:14" ht="18" customHeight="1">
      <c r="A1250">
        <v>1249</v>
      </c>
      <c r="B1250" t="s">
        <v>1337</v>
      </c>
      <c r="C1250" t="s">
        <v>23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0.114104</v>
      </c>
      <c r="J1250" s="5">
        <f t="shared" si="38"/>
        <v>0.114104</v>
      </c>
      <c r="K1250" s="5">
        <f t="shared" si="39"/>
        <v>0.114104</v>
      </c>
      <c r="L1250" s="6">
        <f>K1250/'Quellen &amp; Annahmen'!$B$2</f>
        <v>1.0335423926383202E-6</v>
      </c>
      <c r="M1250" s="7" t="s">
        <v>943</v>
      </c>
      <c r="N1250" s="7" t="s">
        <v>944</v>
      </c>
    </row>
    <row r="1251" spans="1:14" ht="18" customHeight="1">
      <c r="A1251">
        <v>1250</v>
      </c>
      <c r="B1251" t="s">
        <v>1338</v>
      </c>
      <c r="C1251" t="s">
        <v>23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0.114104</v>
      </c>
      <c r="J1251" s="5">
        <f t="shared" si="38"/>
        <v>0.114104</v>
      </c>
      <c r="K1251" s="5">
        <f t="shared" si="39"/>
        <v>0.114104</v>
      </c>
      <c r="L1251" s="6">
        <f>K1251/'Quellen &amp; Annahmen'!$B$2</f>
        <v>1.0335423926383202E-6</v>
      </c>
      <c r="M1251" s="7" t="s">
        <v>943</v>
      </c>
      <c r="N1251" s="7" t="s">
        <v>944</v>
      </c>
    </row>
    <row r="1252" spans="1:14" ht="18" customHeight="1">
      <c r="A1252">
        <v>1251</v>
      </c>
      <c r="B1252" t="s">
        <v>1339</v>
      </c>
      <c r="C1252" t="s">
        <v>50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0.114104</v>
      </c>
      <c r="J1252" s="5">
        <f t="shared" si="38"/>
        <v>0.114104</v>
      </c>
      <c r="K1252" s="5">
        <f t="shared" si="39"/>
        <v>0.114104</v>
      </c>
      <c r="L1252" s="6">
        <f>K1252/'Quellen &amp; Annahmen'!$B$2</f>
        <v>1.0335423926383202E-6</v>
      </c>
      <c r="M1252" s="7" t="s">
        <v>943</v>
      </c>
      <c r="N1252" s="7" t="s">
        <v>944</v>
      </c>
    </row>
    <row r="1253" spans="1:14" ht="18" customHeight="1">
      <c r="A1253">
        <v>1252</v>
      </c>
      <c r="B1253" t="s">
        <v>1340</v>
      </c>
      <c r="C1253" t="s">
        <v>25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0.114104</v>
      </c>
      <c r="J1253" s="5">
        <f t="shared" si="38"/>
        <v>0.114104</v>
      </c>
      <c r="K1253" s="5">
        <f t="shared" si="39"/>
        <v>0.114104</v>
      </c>
      <c r="L1253" s="6">
        <f>K1253/'Quellen &amp; Annahmen'!$B$2</f>
        <v>1.0335423926383202E-6</v>
      </c>
      <c r="M1253" s="7" t="s">
        <v>943</v>
      </c>
      <c r="N1253" s="7" t="s">
        <v>944</v>
      </c>
    </row>
    <row r="1254" spans="1:14" ht="18" customHeight="1">
      <c r="A1254">
        <v>1253</v>
      </c>
      <c r="B1254" t="s">
        <v>1341</v>
      </c>
      <c r="C1254" t="s">
        <v>50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0.114104</v>
      </c>
      <c r="J1254" s="5">
        <f t="shared" si="38"/>
        <v>0.114104</v>
      </c>
      <c r="K1254" s="5">
        <f t="shared" si="39"/>
        <v>0.114104</v>
      </c>
      <c r="L1254" s="6">
        <f>K1254/'Quellen &amp; Annahmen'!$B$2</f>
        <v>1.0335423926383202E-6</v>
      </c>
      <c r="M1254" s="7" t="s">
        <v>943</v>
      </c>
      <c r="N1254" s="7" t="s">
        <v>944</v>
      </c>
    </row>
    <row r="1255" spans="1:14" ht="18" customHeight="1">
      <c r="A1255">
        <v>1254</v>
      </c>
      <c r="B1255" t="s">
        <v>1342</v>
      </c>
      <c r="C1255" t="s">
        <v>33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5">
        <f t="shared" si="38"/>
        <v>0</v>
      </c>
      <c r="K1255" s="5">
        <f t="shared" si="39"/>
        <v>0</v>
      </c>
      <c r="L1255" s="6">
        <f>K1255/'Quellen &amp; Annahmen'!$B$2</f>
        <v>0</v>
      </c>
      <c r="M1255" s="7"/>
      <c r="N1255" s="7"/>
    </row>
    <row r="1256" spans="1:14" ht="18" customHeight="1">
      <c r="A1256">
        <v>1255</v>
      </c>
      <c r="B1256" t="s">
        <v>1343</v>
      </c>
      <c r="C1256" t="s">
        <v>253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5">
        <f t="shared" si="38"/>
        <v>0</v>
      </c>
      <c r="K1256" s="5">
        <f t="shared" si="39"/>
        <v>0</v>
      </c>
      <c r="L1256" s="6">
        <f>K1256/'Quellen &amp; Annahmen'!$B$2</f>
        <v>0</v>
      </c>
      <c r="M1256" s="7"/>
      <c r="N1256" s="7"/>
    </row>
    <row r="1257" spans="1:14" ht="18" customHeight="1">
      <c r="A1257">
        <v>1256</v>
      </c>
      <c r="B1257" t="s">
        <v>1344</v>
      </c>
      <c r="C1257" t="s">
        <v>25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5">
        <f t="shared" si="38"/>
        <v>0</v>
      </c>
      <c r="K1257" s="5">
        <f t="shared" si="39"/>
        <v>0</v>
      </c>
      <c r="L1257" s="6">
        <f>K1257/'Quellen &amp; Annahmen'!$B$2</f>
        <v>0</v>
      </c>
      <c r="M1257" s="7"/>
      <c r="N1257" s="7"/>
    </row>
    <row r="1258" spans="1:14" ht="18" customHeight="1">
      <c r="A1258">
        <v>1257</v>
      </c>
      <c r="B1258" t="s">
        <v>1345</v>
      </c>
      <c r="C1258" t="s">
        <v>27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5">
        <f t="shared" si="38"/>
        <v>0</v>
      </c>
      <c r="K1258" s="5">
        <f t="shared" si="39"/>
        <v>0</v>
      </c>
      <c r="L1258" s="6">
        <f>K1258/'Quellen &amp; Annahmen'!$B$2</f>
        <v>0</v>
      </c>
      <c r="M1258" s="7"/>
      <c r="N1258" s="7"/>
    </row>
    <row r="1259" spans="1:14" ht="18" customHeight="1">
      <c r="A1259">
        <v>1258</v>
      </c>
      <c r="B1259" t="s">
        <v>1346</v>
      </c>
      <c r="C1259" t="s">
        <v>124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5">
        <f t="shared" si="38"/>
        <v>0</v>
      </c>
      <c r="K1259" s="5">
        <f t="shared" si="39"/>
        <v>0</v>
      </c>
      <c r="L1259" s="6">
        <f>K1259/'Quellen &amp; Annahmen'!$B$2</f>
        <v>0</v>
      </c>
      <c r="M1259" s="7"/>
      <c r="N1259" s="7"/>
    </row>
    <row r="1260" spans="1:14" ht="18" customHeight="1">
      <c r="A1260">
        <v>1259</v>
      </c>
      <c r="B1260" t="s">
        <v>1347</v>
      </c>
      <c r="C1260" t="s">
        <v>27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5">
        <f t="shared" si="38"/>
        <v>0</v>
      </c>
      <c r="K1260" s="5">
        <f t="shared" si="39"/>
        <v>0</v>
      </c>
      <c r="L1260" s="6">
        <f>K1260/'Quellen &amp; Annahmen'!$B$2</f>
        <v>0</v>
      </c>
      <c r="M1260" s="7"/>
      <c r="N1260" s="7"/>
    </row>
    <row r="1261" spans="1:14" ht="18" customHeight="1">
      <c r="A1261">
        <v>1260</v>
      </c>
      <c r="B1261" t="s">
        <v>1348</v>
      </c>
      <c r="C1261" t="s">
        <v>263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5">
        <f t="shared" si="38"/>
        <v>0</v>
      </c>
      <c r="K1261" s="5">
        <f t="shared" si="39"/>
        <v>0</v>
      </c>
      <c r="L1261" s="6">
        <f>K1261/'Quellen &amp; Annahmen'!$B$2</f>
        <v>0</v>
      </c>
      <c r="M1261" s="7"/>
      <c r="N1261" s="7"/>
    </row>
    <row r="1262" spans="1:14" ht="18" customHeight="1">
      <c r="A1262">
        <v>1261</v>
      </c>
      <c r="B1262" t="s">
        <v>1349</v>
      </c>
      <c r="C1262" t="s">
        <v>253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5">
        <f t="shared" si="38"/>
        <v>0</v>
      </c>
      <c r="K1262" s="5">
        <f t="shared" si="39"/>
        <v>0</v>
      </c>
      <c r="L1262" s="6">
        <f>K1262/'Quellen &amp; Annahmen'!$B$2</f>
        <v>0</v>
      </c>
      <c r="M1262" s="7"/>
      <c r="N1262" s="7"/>
    </row>
    <row r="1263" spans="1:14" ht="18" customHeight="1">
      <c r="A1263">
        <v>1262</v>
      </c>
      <c r="B1263" t="s">
        <v>1350</v>
      </c>
      <c r="C1263" t="s">
        <v>27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5">
        <f t="shared" si="38"/>
        <v>0</v>
      </c>
      <c r="K1263" s="5">
        <f t="shared" si="39"/>
        <v>0</v>
      </c>
      <c r="L1263" s="6">
        <f>K1263/'Quellen &amp; Annahmen'!$B$2</f>
        <v>0</v>
      </c>
      <c r="M1263" s="7"/>
      <c r="N1263" s="7"/>
    </row>
    <row r="1264" spans="1:14" ht="18" customHeight="1">
      <c r="A1264">
        <v>1263</v>
      </c>
      <c r="B1264" t="s">
        <v>1351</v>
      </c>
      <c r="C1264" t="s">
        <v>41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5">
        <f t="shared" si="38"/>
        <v>0</v>
      </c>
      <c r="K1264" s="5">
        <f t="shared" si="39"/>
        <v>0</v>
      </c>
      <c r="L1264" s="6">
        <f>K1264/'Quellen &amp; Annahmen'!$B$2</f>
        <v>0</v>
      </c>
      <c r="M1264" s="7"/>
      <c r="N1264" s="7"/>
    </row>
    <row r="1265" spans="1:14" ht="18" customHeight="1">
      <c r="A1265">
        <v>1264</v>
      </c>
      <c r="B1265" t="s">
        <v>1352</v>
      </c>
      <c r="C1265" t="s">
        <v>27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5">
        <f t="shared" si="38"/>
        <v>0</v>
      </c>
      <c r="K1265" s="5">
        <f t="shared" si="39"/>
        <v>0</v>
      </c>
      <c r="L1265" s="6">
        <f>K1265/'Quellen &amp; Annahmen'!$B$2</f>
        <v>0</v>
      </c>
      <c r="M1265" s="7"/>
      <c r="N1265" s="7"/>
    </row>
    <row r="1266" spans="1:14" ht="18" customHeight="1">
      <c r="A1266">
        <v>1265</v>
      </c>
      <c r="B1266" t="s">
        <v>1353</v>
      </c>
      <c r="C1266" t="s">
        <v>23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5">
        <f t="shared" si="38"/>
        <v>0</v>
      </c>
      <c r="K1266" s="5">
        <f t="shared" si="39"/>
        <v>0</v>
      </c>
      <c r="L1266" s="6">
        <f>K1266/'Quellen &amp; Annahmen'!$B$2</f>
        <v>0</v>
      </c>
      <c r="M1266" s="7"/>
      <c r="N1266" s="7"/>
    </row>
    <row r="1267" spans="1:14" ht="18" customHeight="1">
      <c r="A1267">
        <v>1266</v>
      </c>
      <c r="B1267" t="s">
        <v>1354</v>
      </c>
      <c r="C1267" t="s">
        <v>25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5">
        <f t="shared" si="38"/>
        <v>0</v>
      </c>
      <c r="K1267" s="5">
        <f t="shared" si="39"/>
        <v>0</v>
      </c>
      <c r="L1267" s="6">
        <f>K1267/'Quellen &amp; Annahmen'!$B$2</f>
        <v>0</v>
      </c>
      <c r="M1267" s="7"/>
      <c r="N1267" s="7"/>
    </row>
    <row r="1268" spans="1:14" ht="18" customHeight="1">
      <c r="A1268">
        <v>1267</v>
      </c>
      <c r="B1268" t="s">
        <v>1355</v>
      </c>
      <c r="C1268" t="s">
        <v>263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5">
        <f t="shared" si="38"/>
        <v>0</v>
      </c>
      <c r="K1268" s="5">
        <f t="shared" si="39"/>
        <v>0</v>
      </c>
      <c r="L1268" s="6">
        <f>K1268/'Quellen &amp; Annahmen'!$B$2</f>
        <v>0</v>
      </c>
      <c r="M1268" s="7"/>
      <c r="N1268" s="7"/>
    </row>
    <row r="1269" spans="1:14" ht="18" customHeight="1">
      <c r="A1269">
        <v>1268</v>
      </c>
      <c r="B1269" t="s">
        <v>1356</v>
      </c>
      <c r="C1269" t="s">
        <v>23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5">
        <f t="shared" si="38"/>
        <v>0</v>
      </c>
      <c r="K1269" s="5">
        <f t="shared" si="39"/>
        <v>0</v>
      </c>
      <c r="L1269" s="6">
        <f>K1269/'Quellen &amp; Annahmen'!$B$2</f>
        <v>0</v>
      </c>
      <c r="M1269" s="7"/>
      <c r="N1269" s="7"/>
    </row>
    <row r="1270" spans="1:14" ht="18" customHeight="1">
      <c r="A1270">
        <v>1269</v>
      </c>
      <c r="B1270" t="s">
        <v>1357</v>
      </c>
      <c r="C1270" t="s">
        <v>50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5">
        <f t="shared" si="38"/>
        <v>0</v>
      </c>
      <c r="K1270" s="5">
        <f t="shared" si="39"/>
        <v>0</v>
      </c>
      <c r="L1270" s="6">
        <f>K1270/'Quellen &amp; Annahmen'!$B$2</f>
        <v>0</v>
      </c>
      <c r="M1270" s="7"/>
      <c r="N1270" s="7"/>
    </row>
    <row r="1271" spans="1:14" ht="18" customHeight="1">
      <c r="A1271">
        <v>1270</v>
      </c>
      <c r="B1271" t="s">
        <v>1358</v>
      </c>
      <c r="C1271" t="s">
        <v>38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5">
        <f t="shared" si="38"/>
        <v>0</v>
      </c>
      <c r="K1271" s="5">
        <f t="shared" si="39"/>
        <v>0</v>
      </c>
      <c r="L1271" s="6">
        <f>K1271/'Quellen &amp; Annahmen'!$B$2</f>
        <v>0</v>
      </c>
      <c r="M1271" s="7"/>
      <c r="N1271" s="7"/>
    </row>
    <row r="1272" spans="1:14" ht="18" customHeight="1">
      <c r="A1272">
        <v>1271</v>
      </c>
      <c r="B1272" t="s">
        <v>1359</v>
      </c>
      <c r="C1272" t="s">
        <v>108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5">
        <f t="shared" si="38"/>
        <v>0</v>
      </c>
      <c r="K1272" s="5">
        <f t="shared" si="39"/>
        <v>0</v>
      </c>
      <c r="L1272" s="6">
        <f>K1272/'Quellen &amp; Annahmen'!$B$2</f>
        <v>0</v>
      </c>
      <c r="M1272" s="7"/>
      <c r="N1272" s="7"/>
    </row>
    <row r="1273" spans="1:14" ht="18" customHeight="1">
      <c r="A1273">
        <v>1272</v>
      </c>
      <c r="B1273" t="s">
        <v>1360</v>
      </c>
      <c r="C1273" t="s">
        <v>38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5">
        <f t="shared" si="38"/>
        <v>0</v>
      </c>
      <c r="K1273" s="5">
        <f t="shared" si="39"/>
        <v>0</v>
      </c>
      <c r="L1273" s="6">
        <f>K1273/'Quellen &amp; Annahmen'!$B$2</f>
        <v>0</v>
      </c>
      <c r="M1273" s="7"/>
      <c r="N1273" s="7"/>
    </row>
    <row r="1274" spans="1:14" ht="18" customHeight="1">
      <c r="A1274">
        <v>1273</v>
      </c>
      <c r="B1274" t="s">
        <v>1361</v>
      </c>
      <c r="C1274" t="s">
        <v>253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5">
        <f t="shared" si="38"/>
        <v>0</v>
      </c>
      <c r="K1274" s="5">
        <f t="shared" si="39"/>
        <v>0</v>
      </c>
      <c r="L1274" s="6">
        <f>K1274/'Quellen &amp; Annahmen'!$B$2</f>
        <v>0</v>
      </c>
      <c r="M1274" s="7"/>
      <c r="N1274" s="7"/>
    </row>
    <row r="1275" spans="1:14" ht="18" customHeight="1">
      <c r="A1275">
        <v>1274</v>
      </c>
      <c r="B1275" t="s">
        <v>1362</v>
      </c>
      <c r="C1275" t="s">
        <v>253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5">
        <f t="shared" si="38"/>
        <v>0</v>
      </c>
      <c r="K1275" s="5">
        <f t="shared" si="39"/>
        <v>0</v>
      </c>
      <c r="L1275" s="6">
        <f>K1275/'Quellen &amp; Annahmen'!$B$2</f>
        <v>0</v>
      </c>
      <c r="M1275" s="7"/>
      <c r="N1275" s="7"/>
    </row>
    <row r="1276" spans="1:14" ht="18" customHeight="1">
      <c r="A1276">
        <v>1275</v>
      </c>
      <c r="B1276" t="s">
        <v>1363</v>
      </c>
      <c r="C1276" t="s">
        <v>50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5">
        <f t="shared" si="38"/>
        <v>0</v>
      </c>
      <c r="K1276" s="5">
        <f t="shared" si="39"/>
        <v>0</v>
      </c>
      <c r="L1276" s="6">
        <f>K1276/'Quellen &amp; Annahmen'!$B$2</f>
        <v>0</v>
      </c>
      <c r="M1276" s="7"/>
      <c r="N1276" s="7"/>
    </row>
    <row r="1277" spans="1:14" ht="18" customHeight="1">
      <c r="A1277">
        <v>1276</v>
      </c>
      <c r="B1277" t="s">
        <v>1364</v>
      </c>
      <c r="C1277" t="s">
        <v>108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5">
        <f t="shared" si="38"/>
        <v>0</v>
      </c>
      <c r="K1277" s="5">
        <f t="shared" si="39"/>
        <v>0</v>
      </c>
      <c r="L1277" s="6">
        <f>K1277/'Quellen &amp; Annahmen'!$B$2</f>
        <v>0</v>
      </c>
      <c r="M1277" s="7"/>
      <c r="N1277" s="7"/>
    </row>
    <row r="1278" spans="1:14" ht="18" customHeight="1">
      <c r="A1278">
        <v>1277</v>
      </c>
      <c r="B1278" t="s">
        <v>1365</v>
      </c>
      <c r="C1278" t="s">
        <v>263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5">
        <f t="shared" si="38"/>
        <v>0</v>
      </c>
      <c r="K1278" s="5">
        <f t="shared" si="39"/>
        <v>0</v>
      </c>
      <c r="L1278" s="6">
        <f>K1278/'Quellen &amp; Annahmen'!$B$2</f>
        <v>0</v>
      </c>
      <c r="M1278" s="7"/>
      <c r="N1278" s="7"/>
    </row>
    <row r="1279" spans="1:14" ht="18" customHeight="1">
      <c r="A1279">
        <v>1278</v>
      </c>
      <c r="B1279" t="s">
        <v>1366</v>
      </c>
      <c r="C1279" t="s">
        <v>50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5">
        <f t="shared" si="38"/>
        <v>0</v>
      </c>
      <c r="K1279" s="5">
        <f t="shared" si="39"/>
        <v>0</v>
      </c>
      <c r="L1279" s="6">
        <f>K1279/'Quellen &amp; Annahmen'!$B$2</f>
        <v>0</v>
      </c>
      <c r="M1279" s="7"/>
      <c r="N1279" s="7"/>
    </row>
    <row r="1280" spans="1:14" ht="18" customHeight="1">
      <c r="A1280">
        <v>1279</v>
      </c>
      <c r="B1280" t="s">
        <v>1367</v>
      </c>
      <c r="C1280" t="s">
        <v>253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5">
        <f t="shared" si="38"/>
        <v>0</v>
      </c>
      <c r="K1280" s="5">
        <f t="shared" si="39"/>
        <v>0</v>
      </c>
      <c r="L1280" s="6">
        <f>K1280/'Quellen &amp; Annahmen'!$B$2</f>
        <v>0</v>
      </c>
      <c r="M1280" s="7"/>
      <c r="N1280" s="7"/>
    </row>
    <row r="1281" spans="1:14" ht="18" customHeight="1">
      <c r="A1281">
        <v>1280</v>
      </c>
      <c r="B1281" t="s">
        <v>1368</v>
      </c>
      <c r="C1281" t="s">
        <v>33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5">
        <f t="shared" si="38"/>
        <v>0</v>
      </c>
      <c r="K1281" s="5">
        <f t="shared" si="39"/>
        <v>0</v>
      </c>
      <c r="L1281" s="6">
        <f>K1281/'Quellen &amp; Annahmen'!$B$2</f>
        <v>0</v>
      </c>
      <c r="M1281" s="7"/>
      <c r="N1281" s="7"/>
    </row>
    <row r="1282" spans="1:14" ht="18" customHeight="1">
      <c r="A1282">
        <v>1281</v>
      </c>
      <c r="B1282" t="s">
        <v>1369</v>
      </c>
      <c r="C1282" t="s">
        <v>253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5">
        <f t="shared" ref="J1282:J1345" si="40">SUM(E1282:I1282)</f>
        <v>0</v>
      </c>
      <c r="K1282" s="5">
        <f t="shared" ref="K1282:K1345" si="41">D1282+J1282</f>
        <v>0</v>
      </c>
      <c r="L1282" s="6">
        <f>K1282/'Quellen &amp; Annahmen'!$B$2</f>
        <v>0</v>
      </c>
      <c r="M1282" s="7"/>
      <c r="N1282" s="7"/>
    </row>
    <row r="1283" spans="1:14" ht="18" customHeight="1">
      <c r="A1283">
        <v>1282</v>
      </c>
      <c r="B1283" t="s">
        <v>1370</v>
      </c>
      <c r="C1283" t="s">
        <v>50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5">
        <f t="shared" si="40"/>
        <v>0</v>
      </c>
      <c r="K1283" s="5">
        <f t="shared" si="41"/>
        <v>0</v>
      </c>
      <c r="L1283" s="6">
        <f>K1283/'Quellen &amp; Annahmen'!$B$2</f>
        <v>0</v>
      </c>
      <c r="M1283" s="7"/>
      <c r="N1283" s="7"/>
    </row>
    <row r="1284" spans="1:14" ht="18" customHeight="1">
      <c r="A1284">
        <v>1283</v>
      </c>
      <c r="B1284" t="s">
        <v>1371</v>
      </c>
      <c r="C1284" t="s">
        <v>50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5">
        <f t="shared" si="40"/>
        <v>0</v>
      </c>
      <c r="K1284" s="5">
        <f t="shared" si="41"/>
        <v>0</v>
      </c>
      <c r="L1284" s="6">
        <f>K1284/'Quellen &amp; Annahmen'!$B$2</f>
        <v>0</v>
      </c>
      <c r="M1284" s="7"/>
      <c r="N1284" s="7"/>
    </row>
    <row r="1285" spans="1:14" ht="18" customHeight="1">
      <c r="A1285">
        <v>1284</v>
      </c>
      <c r="B1285" t="s">
        <v>1372</v>
      </c>
      <c r="C1285" t="s">
        <v>263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5">
        <f t="shared" si="40"/>
        <v>0</v>
      </c>
      <c r="K1285" s="5">
        <f t="shared" si="41"/>
        <v>0</v>
      </c>
      <c r="L1285" s="6">
        <f>K1285/'Quellen &amp; Annahmen'!$B$2</f>
        <v>0</v>
      </c>
      <c r="M1285" s="7"/>
      <c r="N1285" s="7"/>
    </row>
    <row r="1286" spans="1:14" ht="18" customHeight="1">
      <c r="A1286">
        <v>1285</v>
      </c>
      <c r="B1286" t="s">
        <v>1373</v>
      </c>
      <c r="C1286" t="s">
        <v>108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5">
        <f t="shared" si="40"/>
        <v>0</v>
      </c>
      <c r="K1286" s="5">
        <f t="shared" si="41"/>
        <v>0</v>
      </c>
      <c r="L1286" s="6">
        <f>K1286/'Quellen &amp; Annahmen'!$B$2</f>
        <v>0</v>
      </c>
      <c r="M1286" s="7"/>
      <c r="N1286" s="7"/>
    </row>
    <row r="1287" spans="1:14" ht="18" customHeight="1">
      <c r="A1287">
        <v>1286</v>
      </c>
      <c r="B1287" t="s">
        <v>1374</v>
      </c>
      <c r="C1287" t="s">
        <v>25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5">
        <f t="shared" si="40"/>
        <v>0</v>
      </c>
      <c r="K1287" s="5">
        <f t="shared" si="41"/>
        <v>0</v>
      </c>
      <c r="L1287" s="6">
        <f>K1287/'Quellen &amp; Annahmen'!$B$2</f>
        <v>0</v>
      </c>
      <c r="M1287" s="7"/>
      <c r="N1287" s="7"/>
    </row>
    <row r="1288" spans="1:14" ht="18" customHeight="1">
      <c r="A1288">
        <v>1287</v>
      </c>
      <c r="B1288" t="s">
        <v>1375</v>
      </c>
      <c r="C1288" t="s">
        <v>253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5">
        <f t="shared" si="40"/>
        <v>0</v>
      </c>
      <c r="K1288" s="5">
        <f t="shared" si="41"/>
        <v>0</v>
      </c>
      <c r="L1288" s="6">
        <f>K1288/'Quellen &amp; Annahmen'!$B$2</f>
        <v>0</v>
      </c>
      <c r="M1288" s="7"/>
      <c r="N1288" s="7"/>
    </row>
    <row r="1289" spans="1:14" ht="18" customHeight="1">
      <c r="A1289">
        <v>1288</v>
      </c>
      <c r="B1289" t="s">
        <v>1376</v>
      </c>
      <c r="C1289" t="s">
        <v>33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5">
        <f t="shared" si="40"/>
        <v>0</v>
      </c>
      <c r="K1289" s="5">
        <f t="shared" si="41"/>
        <v>0</v>
      </c>
      <c r="L1289" s="6">
        <f>K1289/'Quellen &amp; Annahmen'!$B$2</f>
        <v>0</v>
      </c>
      <c r="M1289" s="7"/>
      <c r="N1289" s="7"/>
    </row>
  </sheetData>
  <conditionalFormatting sqref="K2:K1289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{41D61CED-77A1-0A3D-48BA-813D74A7D42D}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D61CED-77A1-0A3D-48BA-813D74A7D42D}">
            <x14:dataBar>
              <x14:cfvo type="min"/>
              <x14:cfvo type="max"/>
              <x14:negativeFillColor auto="1"/>
              <x14:axisColor auto="1"/>
            </x14:dataBar>
          </x14:cfRule>
          <xm:sqref>K2:K1289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23"/>
  <sheetViews>
    <sheetView topLeftCell="A167" workbookViewId="0"/>
  </sheetViews>
  <sheetFormatPr baseColWidth="10" defaultColWidth="9" defaultRowHeight="14.25"/>
  <cols>
    <col min="1" max="1" width="38" customWidth="1"/>
    <col min="2" max="2" width="16" customWidth="1"/>
    <col min="3" max="3" width="14" customWidth="1"/>
    <col min="4" max="4" width="42" customWidth="1"/>
    <col min="5" max="5" width="32" customWidth="1"/>
    <col min="6" max="6" width="24" customWidth="1"/>
    <col min="7" max="7" width="14" customWidth="1"/>
    <col min="8" max="8" width="20" customWidth="1"/>
    <col min="9" max="9" width="18" customWidth="1"/>
    <col min="10" max="10" width="65" customWidth="1"/>
  </cols>
  <sheetData>
    <row r="1" spans="1:10" ht="30">
      <c r="A1" s="1" t="s">
        <v>1377</v>
      </c>
      <c r="B1" s="1" t="s">
        <v>1378</v>
      </c>
      <c r="C1" s="1" t="s">
        <v>1379</v>
      </c>
      <c r="D1" s="1" t="s">
        <v>1380</v>
      </c>
      <c r="E1" s="1" t="s">
        <v>1381</v>
      </c>
      <c r="F1" s="1" t="s">
        <v>12</v>
      </c>
      <c r="G1" s="1" t="s">
        <v>1382</v>
      </c>
      <c r="H1" s="1" t="s">
        <v>1383</v>
      </c>
      <c r="I1" s="1" t="s">
        <v>1384</v>
      </c>
      <c r="J1" s="1" t="s">
        <v>1385</v>
      </c>
    </row>
    <row r="2" spans="1:10">
      <c r="A2" t="s">
        <v>1386</v>
      </c>
      <c r="B2" t="s">
        <v>1387</v>
      </c>
      <c r="D2" t="s">
        <v>29</v>
      </c>
      <c r="E2" t="s">
        <v>29</v>
      </c>
      <c r="G2" t="s">
        <v>1388</v>
      </c>
      <c r="H2" s="8">
        <v>100</v>
      </c>
      <c r="I2" s="2">
        <v>3896.55</v>
      </c>
      <c r="J2" s="7" t="s">
        <v>1389</v>
      </c>
    </row>
    <row r="3" spans="1:10">
      <c r="A3" t="s">
        <v>1386</v>
      </c>
      <c r="B3" t="s">
        <v>1387</v>
      </c>
      <c r="D3" t="s">
        <v>28</v>
      </c>
      <c r="E3" t="s">
        <v>28</v>
      </c>
      <c r="G3" t="s">
        <v>1388</v>
      </c>
      <c r="H3" s="8">
        <v>100</v>
      </c>
      <c r="I3" s="2">
        <v>4210</v>
      </c>
      <c r="J3" s="7" t="s">
        <v>1389</v>
      </c>
    </row>
    <row r="4" spans="1:10">
      <c r="A4" t="s">
        <v>1386</v>
      </c>
      <c r="B4" t="s">
        <v>1387</v>
      </c>
      <c r="D4" t="s">
        <v>1390</v>
      </c>
      <c r="E4" t="s">
        <v>26</v>
      </c>
      <c r="G4" t="s">
        <v>1388</v>
      </c>
      <c r="H4" s="8">
        <v>100</v>
      </c>
      <c r="I4" s="2">
        <v>3328.6</v>
      </c>
      <c r="J4" s="7" t="s">
        <v>1389</v>
      </c>
    </row>
    <row r="5" spans="1:10">
      <c r="A5" t="s">
        <v>1386</v>
      </c>
      <c r="B5" t="s">
        <v>1387</v>
      </c>
      <c r="D5" t="s">
        <v>31</v>
      </c>
      <c r="E5" t="s">
        <v>31</v>
      </c>
      <c r="G5" t="s">
        <v>1388</v>
      </c>
      <c r="H5" s="8">
        <v>100</v>
      </c>
      <c r="I5" s="2">
        <v>1458.25</v>
      </c>
      <c r="J5" s="7" t="s">
        <v>1389</v>
      </c>
    </row>
    <row r="6" spans="1:10">
      <c r="A6" t="s">
        <v>1386</v>
      </c>
      <c r="B6" t="s">
        <v>1387</v>
      </c>
      <c r="D6" t="s">
        <v>1391</v>
      </c>
      <c r="E6" t="s">
        <v>22</v>
      </c>
      <c r="G6" t="s">
        <v>1388</v>
      </c>
      <c r="H6" s="8">
        <v>100</v>
      </c>
      <c r="I6" s="2">
        <v>23600.5</v>
      </c>
      <c r="J6" s="7" t="s">
        <v>1389</v>
      </c>
    </row>
    <row r="7" spans="1:10">
      <c r="A7" t="s">
        <v>1386</v>
      </c>
      <c r="B7" t="s">
        <v>1387</v>
      </c>
      <c r="D7" t="s">
        <v>1392</v>
      </c>
      <c r="E7" t="s">
        <v>32</v>
      </c>
      <c r="G7" t="s">
        <v>1388</v>
      </c>
      <c r="H7" s="8">
        <v>100</v>
      </c>
      <c r="I7" s="2">
        <v>2060.8000000000002</v>
      </c>
      <c r="J7" s="7" t="s">
        <v>1389</v>
      </c>
    </row>
    <row r="8" spans="1:10">
      <c r="A8" t="s">
        <v>1386</v>
      </c>
      <c r="B8" t="s">
        <v>1387</v>
      </c>
      <c r="D8" t="s">
        <v>36</v>
      </c>
      <c r="E8" t="s">
        <v>36</v>
      </c>
      <c r="G8" t="s">
        <v>1388</v>
      </c>
      <c r="H8" s="8">
        <v>100</v>
      </c>
      <c r="I8" s="2">
        <v>1702.16</v>
      </c>
      <c r="J8" s="7" t="s">
        <v>1389</v>
      </c>
    </row>
    <row r="9" spans="1:10">
      <c r="A9" t="s">
        <v>1386</v>
      </c>
      <c r="B9" t="s">
        <v>1387</v>
      </c>
      <c r="D9" t="s">
        <v>40</v>
      </c>
      <c r="E9" t="s">
        <v>40</v>
      </c>
      <c r="G9" t="s">
        <v>1388</v>
      </c>
      <c r="H9" s="8">
        <v>100</v>
      </c>
      <c r="I9" s="2">
        <v>896.8</v>
      </c>
      <c r="J9" s="7" t="s">
        <v>1389</v>
      </c>
    </row>
    <row r="10" spans="1:10">
      <c r="A10" t="s">
        <v>1386</v>
      </c>
      <c r="B10" t="s">
        <v>1387</v>
      </c>
      <c r="D10" t="s">
        <v>39</v>
      </c>
      <c r="E10" t="s">
        <v>39</v>
      </c>
      <c r="G10" t="s">
        <v>1388</v>
      </c>
      <c r="H10" s="8">
        <v>100</v>
      </c>
      <c r="I10" s="2">
        <v>1492.2</v>
      </c>
      <c r="J10" s="7" t="s">
        <v>1389</v>
      </c>
    </row>
    <row r="11" spans="1:10">
      <c r="A11" t="s">
        <v>1386</v>
      </c>
      <c r="B11" t="s">
        <v>1387</v>
      </c>
      <c r="D11" t="s">
        <v>30</v>
      </c>
      <c r="E11" t="s">
        <v>30</v>
      </c>
      <c r="G11" t="s">
        <v>1388</v>
      </c>
      <c r="H11" s="8">
        <v>100</v>
      </c>
      <c r="I11" s="2">
        <v>2410.1</v>
      </c>
      <c r="J11" s="7" t="s">
        <v>1389</v>
      </c>
    </row>
    <row r="12" spans="1:10">
      <c r="A12" t="s">
        <v>1386</v>
      </c>
      <c r="B12" t="s">
        <v>1387</v>
      </c>
      <c r="D12" t="s">
        <v>24</v>
      </c>
      <c r="E12" t="s">
        <v>24</v>
      </c>
      <c r="G12" t="s">
        <v>1388</v>
      </c>
      <c r="H12" s="8">
        <v>100</v>
      </c>
      <c r="I12" s="2">
        <v>4430.5</v>
      </c>
      <c r="J12" s="7" t="s">
        <v>1389</v>
      </c>
    </row>
    <row r="13" spans="1:10">
      <c r="A13" t="s">
        <v>1386</v>
      </c>
      <c r="B13" t="s">
        <v>1387</v>
      </c>
      <c r="D13" t="s">
        <v>35</v>
      </c>
      <c r="E13" t="s">
        <v>35</v>
      </c>
      <c r="G13" t="s">
        <v>1388</v>
      </c>
      <c r="H13" s="8">
        <v>100</v>
      </c>
      <c r="I13" s="2">
        <v>1851.5</v>
      </c>
      <c r="J13" s="7" t="s">
        <v>1389</v>
      </c>
    </row>
    <row r="14" spans="1:10">
      <c r="A14" t="s">
        <v>1386</v>
      </c>
      <c r="B14" t="s">
        <v>1387</v>
      </c>
      <c r="D14" t="s">
        <v>1393</v>
      </c>
      <c r="E14" t="s">
        <v>34</v>
      </c>
      <c r="G14" t="s">
        <v>1388</v>
      </c>
      <c r="H14" s="8">
        <v>100</v>
      </c>
      <c r="I14" s="2">
        <v>696</v>
      </c>
      <c r="J14" s="7" t="s">
        <v>1389</v>
      </c>
    </row>
    <row r="15" spans="1:10" ht="28.5">
      <c r="A15" t="s">
        <v>121</v>
      </c>
      <c r="B15" t="s">
        <v>1394</v>
      </c>
      <c r="C15" t="s">
        <v>1395</v>
      </c>
      <c r="D15" t="s">
        <v>1396</v>
      </c>
      <c r="E15" t="s">
        <v>170</v>
      </c>
      <c r="F15" t="s">
        <v>33</v>
      </c>
      <c r="G15" t="s">
        <v>1388</v>
      </c>
      <c r="H15" s="8">
        <v>0.51</v>
      </c>
      <c r="I15" s="2">
        <v>67.856315999999993</v>
      </c>
      <c r="J15" s="7" t="s">
        <v>122</v>
      </c>
    </row>
    <row r="16" spans="1:10" ht="28.5">
      <c r="A16" t="s">
        <v>121</v>
      </c>
      <c r="B16" t="s">
        <v>1394</v>
      </c>
      <c r="C16" t="s">
        <v>1397</v>
      </c>
      <c r="D16" t="s">
        <v>1398</v>
      </c>
      <c r="E16" t="s">
        <v>129</v>
      </c>
      <c r="F16" t="s">
        <v>33</v>
      </c>
      <c r="G16" t="s">
        <v>1388</v>
      </c>
      <c r="H16" s="8">
        <v>1.32</v>
      </c>
      <c r="I16" s="2">
        <v>175.62811199999999</v>
      </c>
      <c r="J16" s="7" t="s">
        <v>122</v>
      </c>
    </row>
    <row r="17" spans="1:10" ht="28.5">
      <c r="A17" t="s">
        <v>121</v>
      </c>
      <c r="B17" t="s">
        <v>1394</v>
      </c>
      <c r="C17" t="s">
        <v>1399</v>
      </c>
      <c r="D17" t="s">
        <v>1400</v>
      </c>
      <c r="E17" t="s">
        <v>176</v>
      </c>
      <c r="F17" t="s">
        <v>25</v>
      </c>
      <c r="G17" t="s">
        <v>1388</v>
      </c>
      <c r="H17" s="8">
        <v>0.26</v>
      </c>
      <c r="I17" s="2">
        <v>34.593416000000005</v>
      </c>
      <c r="J17" s="7" t="s">
        <v>122</v>
      </c>
    </row>
    <row r="18" spans="1:10" ht="28.5">
      <c r="A18" t="s">
        <v>121</v>
      </c>
      <c r="B18" t="s">
        <v>1394</v>
      </c>
      <c r="C18" t="s">
        <v>1401</v>
      </c>
      <c r="D18" t="s">
        <v>1402</v>
      </c>
      <c r="E18" t="s">
        <v>26</v>
      </c>
      <c r="F18" t="s">
        <v>27</v>
      </c>
      <c r="G18" t="s">
        <v>1388</v>
      </c>
      <c r="H18" s="8">
        <v>4.2699999999999996</v>
      </c>
      <c r="I18" s="2">
        <v>568.13033199999995</v>
      </c>
      <c r="J18" s="7" t="s">
        <v>122</v>
      </c>
    </row>
    <row r="19" spans="1:10" ht="28.5">
      <c r="A19" t="s">
        <v>121</v>
      </c>
      <c r="B19" t="s">
        <v>1394</v>
      </c>
      <c r="C19" t="s">
        <v>1403</v>
      </c>
      <c r="D19" t="s">
        <v>1404</v>
      </c>
      <c r="E19" t="s">
        <v>26</v>
      </c>
      <c r="F19" t="s">
        <v>27</v>
      </c>
      <c r="G19" t="s">
        <v>1388</v>
      </c>
      <c r="H19" s="8">
        <v>3.43</v>
      </c>
      <c r="I19" s="2">
        <v>456.36698799999999</v>
      </c>
      <c r="J19" s="7" t="s">
        <v>122</v>
      </c>
    </row>
    <row r="20" spans="1:10" ht="28.5">
      <c r="A20" t="s">
        <v>121</v>
      </c>
      <c r="B20" t="s">
        <v>1394</v>
      </c>
      <c r="C20" t="s">
        <v>1405</v>
      </c>
      <c r="D20" t="s">
        <v>1406</v>
      </c>
      <c r="E20" t="s">
        <v>37</v>
      </c>
      <c r="F20" t="s">
        <v>38</v>
      </c>
      <c r="G20" t="s">
        <v>1388</v>
      </c>
      <c r="H20" s="8">
        <v>7.21</v>
      </c>
      <c r="I20" s="2">
        <v>959.30203599999993</v>
      </c>
      <c r="J20" s="7" t="s">
        <v>122</v>
      </c>
    </row>
    <row r="21" spans="1:10" ht="28.5">
      <c r="A21" t="s">
        <v>121</v>
      </c>
      <c r="B21" t="s">
        <v>1394</v>
      </c>
      <c r="C21" t="s">
        <v>1407</v>
      </c>
      <c r="D21" t="s">
        <v>1408</v>
      </c>
      <c r="E21" t="s">
        <v>31</v>
      </c>
      <c r="F21" t="s">
        <v>25</v>
      </c>
      <c r="G21" t="s">
        <v>1388</v>
      </c>
      <c r="H21" s="8">
        <v>8.82</v>
      </c>
      <c r="I21" s="2">
        <v>1173.515112</v>
      </c>
      <c r="J21" s="7" t="s">
        <v>122</v>
      </c>
    </row>
    <row r="22" spans="1:10" ht="28.5">
      <c r="A22" t="s">
        <v>121</v>
      </c>
      <c r="B22" t="s">
        <v>1394</v>
      </c>
      <c r="C22" t="s">
        <v>42</v>
      </c>
      <c r="D22" t="s">
        <v>1409</v>
      </c>
      <c r="E22" t="s">
        <v>42</v>
      </c>
      <c r="F22" t="s">
        <v>25</v>
      </c>
      <c r="G22" t="s">
        <v>1388</v>
      </c>
      <c r="H22" s="8">
        <v>2.09</v>
      </c>
      <c r="I22" s="2">
        <v>278.07784399999997</v>
      </c>
      <c r="J22" s="7" t="s">
        <v>122</v>
      </c>
    </row>
    <row r="23" spans="1:10" ht="28.5">
      <c r="A23" t="s">
        <v>121</v>
      </c>
      <c r="B23" t="s">
        <v>1394</v>
      </c>
      <c r="C23" t="s">
        <v>1410</v>
      </c>
      <c r="D23" t="s">
        <v>1411</v>
      </c>
      <c r="E23" t="s">
        <v>142</v>
      </c>
      <c r="F23" t="s">
        <v>33</v>
      </c>
      <c r="G23" t="s">
        <v>1388</v>
      </c>
      <c r="H23" s="8">
        <v>0.78</v>
      </c>
      <c r="I23" s="2">
        <v>103.78024800000001</v>
      </c>
      <c r="J23" s="7" t="s">
        <v>122</v>
      </c>
    </row>
    <row r="24" spans="1:10" ht="28.5">
      <c r="A24" t="s">
        <v>121</v>
      </c>
      <c r="B24" t="s">
        <v>1394</v>
      </c>
      <c r="C24" t="s">
        <v>1412</v>
      </c>
      <c r="D24" t="s">
        <v>1413</v>
      </c>
      <c r="E24" t="s">
        <v>43</v>
      </c>
      <c r="F24" t="s">
        <v>25</v>
      </c>
      <c r="G24" t="s">
        <v>1388</v>
      </c>
      <c r="H24" s="8">
        <v>5.22</v>
      </c>
      <c r="I24" s="2">
        <v>694.5293519999999</v>
      </c>
      <c r="J24" s="7" t="s">
        <v>122</v>
      </c>
    </row>
    <row r="25" spans="1:10" ht="28.5">
      <c r="A25" t="s">
        <v>121</v>
      </c>
      <c r="B25" t="s">
        <v>1394</v>
      </c>
      <c r="C25" t="s">
        <v>1414</v>
      </c>
      <c r="D25" t="s">
        <v>1415</v>
      </c>
      <c r="E25" t="s">
        <v>49</v>
      </c>
      <c r="F25" t="s">
        <v>50</v>
      </c>
      <c r="G25" t="s">
        <v>1388</v>
      </c>
      <c r="H25" s="8">
        <v>1.19</v>
      </c>
      <c r="I25" s="2">
        <v>158.33140399999999</v>
      </c>
      <c r="J25" s="7" t="s">
        <v>122</v>
      </c>
    </row>
    <row r="26" spans="1:10" ht="28.5">
      <c r="A26" t="s">
        <v>121</v>
      </c>
      <c r="B26" t="s">
        <v>1394</v>
      </c>
      <c r="C26" t="s">
        <v>1416</v>
      </c>
      <c r="D26" t="s">
        <v>1417</v>
      </c>
      <c r="E26" t="s">
        <v>132</v>
      </c>
      <c r="F26" t="s">
        <v>124</v>
      </c>
      <c r="G26" t="s">
        <v>1388</v>
      </c>
      <c r="H26" s="8">
        <v>1.01</v>
      </c>
      <c r="I26" s="2">
        <v>134.382116</v>
      </c>
      <c r="J26" s="7" t="s">
        <v>122</v>
      </c>
    </row>
    <row r="27" spans="1:10" ht="28.5">
      <c r="A27" t="s">
        <v>121</v>
      </c>
      <c r="B27" t="s">
        <v>1394</v>
      </c>
      <c r="C27" t="s">
        <v>1418</v>
      </c>
      <c r="D27" t="s">
        <v>1419</v>
      </c>
      <c r="E27" t="s">
        <v>126</v>
      </c>
      <c r="F27" t="s">
        <v>25</v>
      </c>
      <c r="G27" t="s">
        <v>1388</v>
      </c>
      <c r="H27" s="8">
        <v>1.28</v>
      </c>
      <c r="I27" s="2">
        <v>170.306048</v>
      </c>
      <c r="J27" s="7" t="s">
        <v>122</v>
      </c>
    </row>
    <row r="28" spans="1:10" ht="28.5">
      <c r="A28" t="s">
        <v>121</v>
      </c>
      <c r="B28" t="s">
        <v>1394</v>
      </c>
      <c r="C28" t="s">
        <v>1420</v>
      </c>
      <c r="D28" t="s">
        <v>1421</v>
      </c>
      <c r="E28" t="s">
        <v>133</v>
      </c>
      <c r="F28" t="s">
        <v>108</v>
      </c>
      <c r="G28" t="s">
        <v>1388</v>
      </c>
      <c r="H28" s="8">
        <v>0.97</v>
      </c>
      <c r="I28" s="2">
        <v>129.06005199999998</v>
      </c>
      <c r="J28" s="7" t="s">
        <v>122</v>
      </c>
    </row>
    <row r="29" spans="1:10" ht="28.5">
      <c r="A29" t="s">
        <v>121</v>
      </c>
      <c r="B29" t="s">
        <v>1394</v>
      </c>
      <c r="C29" t="s">
        <v>1422</v>
      </c>
      <c r="D29" t="s">
        <v>1423</v>
      </c>
      <c r="E29" t="s">
        <v>32</v>
      </c>
      <c r="F29" t="s">
        <v>33</v>
      </c>
      <c r="G29" t="s">
        <v>1388</v>
      </c>
      <c r="H29" s="8">
        <v>2.72</v>
      </c>
      <c r="I29" s="2">
        <v>361.90035200000005</v>
      </c>
      <c r="J29" s="7" t="s">
        <v>122</v>
      </c>
    </row>
    <row r="30" spans="1:10" ht="28.5">
      <c r="A30" t="s">
        <v>121</v>
      </c>
      <c r="B30" t="s">
        <v>1394</v>
      </c>
      <c r="C30" t="s">
        <v>1424</v>
      </c>
      <c r="D30" t="s">
        <v>1425</v>
      </c>
      <c r="E30" t="s">
        <v>123</v>
      </c>
      <c r="F30" t="s">
        <v>124</v>
      </c>
      <c r="G30" t="s">
        <v>1388</v>
      </c>
      <c r="H30" s="8">
        <v>1.78</v>
      </c>
      <c r="I30" s="2">
        <v>236.83184799999998</v>
      </c>
      <c r="J30" s="7" t="s">
        <v>122</v>
      </c>
    </row>
    <row r="31" spans="1:10" ht="28.5">
      <c r="A31" t="s">
        <v>121</v>
      </c>
      <c r="B31" t="s">
        <v>1394</v>
      </c>
      <c r="C31" t="s">
        <v>1426</v>
      </c>
      <c r="D31" t="s">
        <v>1427</v>
      </c>
      <c r="E31" t="s">
        <v>130</v>
      </c>
      <c r="F31" t="s">
        <v>50</v>
      </c>
      <c r="G31" t="s">
        <v>1388</v>
      </c>
      <c r="H31" s="8">
        <v>1.06</v>
      </c>
      <c r="I31" s="2">
        <v>141.034696</v>
      </c>
      <c r="J31" s="7" t="s">
        <v>122</v>
      </c>
    </row>
    <row r="32" spans="1:10" ht="28.5">
      <c r="A32" t="s">
        <v>121</v>
      </c>
      <c r="B32" t="s">
        <v>1394</v>
      </c>
      <c r="C32" t="s">
        <v>1428</v>
      </c>
      <c r="D32" t="s">
        <v>1429</v>
      </c>
      <c r="E32" t="s">
        <v>134</v>
      </c>
      <c r="F32" t="s">
        <v>23</v>
      </c>
      <c r="G32" t="s">
        <v>1388</v>
      </c>
      <c r="H32" s="8">
        <v>0.96</v>
      </c>
      <c r="I32" s="2">
        <v>127.729536</v>
      </c>
      <c r="J32" s="7" t="s">
        <v>122</v>
      </c>
    </row>
    <row r="33" spans="1:10" ht="28.5">
      <c r="A33" t="s">
        <v>121</v>
      </c>
      <c r="B33" t="s">
        <v>1394</v>
      </c>
      <c r="C33" t="s">
        <v>1430</v>
      </c>
      <c r="D33" t="s">
        <v>1431</v>
      </c>
      <c r="E33" t="s">
        <v>36</v>
      </c>
      <c r="F33" t="s">
        <v>23</v>
      </c>
      <c r="G33" t="s">
        <v>1388</v>
      </c>
      <c r="H33" s="8">
        <v>1.02</v>
      </c>
      <c r="I33" s="2">
        <v>135.71263199999999</v>
      </c>
      <c r="J33" s="7" t="s">
        <v>122</v>
      </c>
    </row>
    <row r="34" spans="1:10" ht="28.5">
      <c r="A34" t="s">
        <v>121</v>
      </c>
      <c r="B34" t="s">
        <v>1394</v>
      </c>
      <c r="C34" t="s">
        <v>1432</v>
      </c>
      <c r="D34" t="s">
        <v>1433</v>
      </c>
      <c r="E34" t="s">
        <v>153</v>
      </c>
      <c r="F34" t="s">
        <v>25</v>
      </c>
      <c r="G34" t="s">
        <v>1388</v>
      </c>
      <c r="H34" s="8">
        <v>0.61</v>
      </c>
      <c r="I34" s="2">
        <v>81.161475999999993</v>
      </c>
      <c r="J34" s="7" t="s">
        <v>122</v>
      </c>
    </row>
    <row r="35" spans="1:10" ht="28.5">
      <c r="A35" t="s">
        <v>121</v>
      </c>
      <c r="B35" t="s">
        <v>1394</v>
      </c>
      <c r="C35" t="s">
        <v>1434</v>
      </c>
      <c r="D35" t="s">
        <v>1435</v>
      </c>
      <c r="E35" t="s">
        <v>125</v>
      </c>
      <c r="F35" t="s">
        <v>33</v>
      </c>
      <c r="G35" t="s">
        <v>1388</v>
      </c>
      <c r="H35" s="8">
        <v>1.77</v>
      </c>
      <c r="I35" s="2">
        <v>235.50133199999999</v>
      </c>
      <c r="J35" s="7" t="s">
        <v>122</v>
      </c>
    </row>
    <row r="36" spans="1:10" ht="28.5">
      <c r="A36" t="s">
        <v>121</v>
      </c>
      <c r="B36" t="s">
        <v>1394</v>
      </c>
      <c r="C36" t="s">
        <v>1436</v>
      </c>
      <c r="D36" t="s">
        <v>1437</v>
      </c>
      <c r="E36" t="s">
        <v>119</v>
      </c>
      <c r="F36" t="s">
        <v>23</v>
      </c>
      <c r="G36" t="s">
        <v>1388</v>
      </c>
      <c r="H36" s="8">
        <v>2.71</v>
      </c>
      <c r="I36" s="2">
        <v>360.56983600000001</v>
      </c>
      <c r="J36" s="7" t="s">
        <v>122</v>
      </c>
    </row>
    <row r="37" spans="1:10" ht="28.5">
      <c r="A37" t="s">
        <v>121</v>
      </c>
      <c r="B37" t="s">
        <v>1394</v>
      </c>
      <c r="C37" t="s">
        <v>1438</v>
      </c>
      <c r="D37" t="s">
        <v>1439</v>
      </c>
      <c r="E37" t="s">
        <v>40</v>
      </c>
      <c r="F37" t="s">
        <v>41</v>
      </c>
      <c r="G37" t="s">
        <v>1388</v>
      </c>
      <c r="H37" s="8">
        <v>0.71</v>
      </c>
      <c r="I37" s="2">
        <v>94.466635999999994</v>
      </c>
      <c r="J37" s="7" t="s">
        <v>122</v>
      </c>
    </row>
    <row r="38" spans="1:10" ht="28.5">
      <c r="A38" t="s">
        <v>121</v>
      </c>
      <c r="B38" t="s">
        <v>1394</v>
      </c>
      <c r="C38" t="s">
        <v>1440</v>
      </c>
      <c r="D38" t="s">
        <v>95</v>
      </c>
      <c r="E38" t="s">
        <v>95</v>
      </c>
      <c r="F38" t="s">
        <v>38</v>
      </c>
      <c r="G38" t="s">
        <v>1388</v>
      </c>
      <c r="H38" s="8">
        <v>0.43</v>
      </c>
      <c r="I38" s="2">
        <v>57.212187999999998</v>
      </c>
      <c r="J38" s="7" t="s">
        <v>122</v>
      </c>
    </row>
    <row r="39" spans="1:10" ht="28.5">
      <c r="A39" t="s">
        <v>121</v>
      </c>
      <c r="B39" t="s">
        <v>1394</v>
      </c>
      <c r="C39" t="s">
        <v>1441</v>
      </c>
      <c r="D39" t="s">
        <v>1442</v>
      </c>
      <c r="E39" t="s">
        <v>46</v>
      </c>
      <c r="F39" t="s">
        <v>23</v>
      </c>
      <c r="G39" t="s">
        <v>1388</v>
      </c>
      <c r="H39" s="8">
        <v>1.31</v>
      </c>
      <c r="I39" s="2">
        <v>174.297596</v>
      </c>
      <c r="J39" s="7" t="s">
        <v>122</v>
      </c>
    </row>
    <row r="40" spans="1:10" ht="28.5">
      <c r="A40" t="s">
        <v>121</v>
      </c>
      <c r="B40" t="s">
        <v>1394</v>
      </c>
      <c r="C40" t="s">
        <v>1443</v>
      </c>
      <c r="D40" t="s">
        <v>1444</v>
      </c>
      <c r="E40" t="s">
        <v>51</v>
      </c>
      <c r="F40" t="s">
        <v>38</v>
      </c>
      <c r="G40" t="s">
        <v>1388</v>
      </c>
      <c r="H40" s="8">
        <v>0.56999999999999995</v>
      </c>
      <c r="I40" s="2">
        <v>75.839411999999996</v>
      </c>
      <c r="J40" s="7" t="s">
        <v>122</v>
      </c>
    </row>
    <row r="41" spans="1:10" ht="28.5">
      <c r="A41" t="s">
        <v>121</v>
      </c>
      <c r="B41" t="s">
        <v>1394</v>
      </c>
      <c r="C41" t="s">
        <v>1445</v>
      </c>
      <c r="D41" t="s">
        <v>1446</v>
      </c>
      <c r="E41" t="s">
        <v>135</v>
      </c>
      <c r="F41" t="s">
        <v>33</v>
      </c>
      <c r="G41" t="s">
        <v>1388</v>
      </c>
      <c r="H41" s="8">
        <v>0.93</v>
      </c>
      <c r="I41" s="2">
        <v>123.737988</v>
      </c>
      <c r="J41" s="7" t="s">
        <v>122</v>
      </c>
    </row>
    <row r="42" spans="1:10" ht="28.5">
      <c r="A42" t="s">
        <v>121</v>
      </c>
      <c r="B42" t="s">
        <v>1394</v>
      </c>
      <c r="C42" t="s">
        <v>1447</v>
      </c>
      <c r="D42" t="s">
        <v>1448</v>
      </c>
      <c r="E42" t="s">
        <v>92</v>
      </c>
      <c r="F42" t="s">
        <v>27</v>
      </c>
      <c r="G42" t="s">
        <v>1388</v>
      </c>
      <c r="H42" s="8">
        <v>4.3</v>
      </c>
      <c r="I42" s="2">
        <v>572.12187999999992</v>
      </c>
      <c r="J42" s="7" t="s">
        <v>122</v>
      </c>
    </row>
    <row r="43" spans="1:10" ht="28.5">
      <c r="A43" t="s">
        <v>121</v>
      </c>
      <c r="B43" t="s">
        <v>1394</v>
      </c>
      <c r="C43" t="s">
        <v>1449</v>
      </c>
      <c r="D43" t="s">
        <v>1450</v>
      </c>
      <c r="E43" t="s">
        <v>30</v>
      </c>
      <c r="F43" t="s">
        <v>25</v>
      </c>
      <c r="G43" t="s">
        <v>1388</v>
      </c>
      <c r="H43" s="8">
        <v>7.79</v>
      </c>
      <c r="I43" s="2">
        <v>1036.4719640000001</v>
      </c>
      <c r="J43" s="7" t="s">
        <v>122</v>
      </c>
    </row>
    <row r="44" spans="1:10" ht="28.5">
      <c r="A44" t="s">
        <v>121</v>
      </c>
      <c r="B44" t="s">
        <v>1394</v>
      </c>
      <c r="C44" t="s">
        <v>1451</v>
      </c>
      <c r="D44" t="s">
        <v>1452</v>
      </c>
      <c r="E44" t="s">
        <v>141</v>
      </c>
      <c r="F44" t="s">
        <v>108</v>
      </c>
      <c r="G44" t="s">
        <v>1388</v>
      </c>
      <c r="H44" s="8">
        <v>0.79</v>
      </c>
      <c r="I44" s="2">
        <v>105.110764</v>
      </c>
      <c r="J44" s="7" t="s">
        <v>122</v>
      </c>
    </row>
    <row r="45" spans="1:10" ht="28.5">
      <c r="A45" t="s">
        <v>121</v>
      </c>
      <c r="B45" t="s">
        <v>1394</v>
      </c>
      <c r="C45" t="s">
        <v>1453</v>
      </c>
      <c r="D45" t="s">
        <v>1454</v>
      </c>
      <c r="E45" t="s">
        <v>45</v>
      </c>
      <c r="F45" t="s">
        <v>27</v>
      </c>
      <c r="G45" t="s">
        <v>1388</v>
      </c>
      <c r="H45" s="8">
        <v>0.92</v>
      </c>
      <c r="I45" s="2">
        <v>122.407472</v>
      </c>
      <c r="J45" s="7" t="s">
        <v>122</v>
      </c>
    </row>
    <row r="46" spans="1:10" ht="28.5">
      <c r="A46" t="s">
        <v>121</v>
      </c>
      <c r="B46" t="s">
        <v>1394</v>
      </c>
      <c r="C46" t="s">
        <v>1455</v>
      </c>
      <c r="D46" t="s">
        <v>1456</v>
      </c>
      <c r="E46" t="s">
        <v>139</v>
      </c>
      <c r="F46" t="s">
        <v>33</v>
      </c>
      <c r="G46" t="s">
        <v>1388</v>
      </c>
      <c r="H46" s="8">
        <v>0.82</v>
      </c>
      <c r="I46" s="2">
        <v>109.10231199999998</v>
      </c>
      <c r="J46" s="7" t="s">
        <v>122</v>
      </c>
    </row>
    <row r="47" spans="1:10" ht="28.5">
      <c r="A47" t="s">
        <v>121</v>
      </c>
      <c r="B47" t="s">
        <v>1394</v>
      </c>
      <c r="C47" t="s">
        <v>1457</v>
      </c>
      <c r="D47" t="s">
        <v>1458</v>
      </c>
      <c r="E47" t="s">
        <v>172</v>
      </c>
      <c r="F47" t="s">
        <v>33</v>
      </c>
      <c r="G47" t="s">
        <v>1388</v>
      </c>
      <c r="H47" s="8">
        <v>0.48</v>
      </c>
      <c r="I47" s="2">
        <v>63.864767999999998</v>
      </c>
      <c r="J47" s="7" t="s">
        <v>122</v>
      </c>
    </row>
    <row r="48" spans="1:10" ht="28.5">
      <c r="A48" t="s">
        <v>121</v>
      </c>
      <c r="B48" t="s">
        <v>1394</v>
      </c>
      <c r="C48" t="s">
        <v>1459</v>
      </c>
      <c r="D48" t="s">
        <v>1460</v>
      </c>
      <c r="E48" t="s">
        <v>24</v>
      </c>
      <c r="F48" t="s">
        <v>25</v>
      </c>
      <c r="G48" t="s">
        <v>1388</v>
      </c>
      <c r="H48" s="8">
        <v>7.98</v>
      </c>
      <c r="I48" s="2">
        <v>1061.7517680000001</v>
      </c>
      <c r="J48" s="7" t="s">
        <v>122</v>
      </c>
    </row>
    <row r="49" spans="1:10" ht="28.5">
      <c r="A49" t="s">
        <v>121</v>
      </c>
      <c r="B49" t="s">
        <v>1394</v>
      </c>
      <c r="C49" t="s">
        <v>1461</v>
      </c>
      <c r="D49" t="s">
        <v>1462</v>
      </c>
      <c r="E49" t="s">
        <v>151</v>
      </c>
      <c r="F49" t="s">
        <v>25</v>
      </c>
      <c r="G49" t="s">
        <v>1388</v>
      </c>
      <c r="H49" s="8">
        <v>0.62</v>
      </c>
      <c r="I49" s="2">
        <v>82.491991999999996</v>
      </c>
      <c r="J49" s="7" t="s">
        <v>122</v>
      </c>
    </row>
    <row r="50" spans="1:10" ht="28.5">
      <c r="A50" t="s">
        <v>121</v>
      </c>
      <c r="B50" t="s">
        <v>1394</v>
      </c>
      <c r="C50" t="s">
        <v>1463</v>
      </c>
      <c r="D50" t="s">
        <v>1464</v>
      </c>
      <c r="E50" t="s">
        <v>166</v>
      </c>
      <c r="F50" t="s">
        <v>108</v>
      </c>
      <c r="G50" t="s">
        <v>1388</v>
      </c>
      <c r="H50" s="8">
        <v>0.56000000000000005</v>
      </c>
      <c r="I50" s="2">
        <v>74.508896000000007</v>
      </c>
      <c r="J50" s="7" t="s">
        <v>122</v>
      </c>
    </row>
    <row r="51" spans="1:10" ht="28.5">
      <c r="A51" t="s">
        <v>121</v>
      </c>
      <c r="B51" t="s">
        <v>1394</v>
      </c>
      <c r="C51" t="s">
        <v>1465</v>
      </c>
      <c r="D51" t="s">
        <v>1466</v>
      </c>
      <c r="E51" t="s">
        <v>171</v>
      </c>
      <c r="F51" t="s">
        <v>33</v>
      </c>
      <c r="G51" t="s">
        <v>1388</v>
      </c>
      <c r="H51" s="8">
        <v>0.42</v>
      </c>
      <c r="I51" s="2">
        <v>55.881672000000002</v>
      </c>
      <c r="J51" s="7" t="s">
        <v>122</v>
      </c>
    </row>
    <row r="52" spans="1:10" ht="28.5">
      <c r="A52" t="s">
        <v>121</v>
      </c>
      <c r="B52" t="s">
        <v>1394</v>
      </c>
      <c r="C52" t="s">
        <v>1467</v>
      </c>
      <c r="D52" t="s">
        <v>1468</v>
      </c>
      <c r="E52" t="s">
        <v>137</v>
      </c>
      <c r="F52" t="s">
        <v>108</v>
      </c>
      <c r="G52" t="s">
        <v>1388</v>
      </c>
      <c r="H52" s="8">
        <v>0.87</v>
      </c>
      <c r="I52" s="2">
        <v>115.754892</v>
      </c>
      <c r="J52" s="7" t="s">
        <v>122</v>
      </c>
    </row>
    <row r="53" spans="1:10" ht="28.5">
      <c r="A53" t="s">
        <v>121</v>
      </c>
      <c r="B53" t="s">
        <v>1394</v>
      </c>
      <c r="C53" t="s">
        <v>1469</v>
      </c>
      <c r="D53" t="s">
        <v>1470</v>
      </c>
      <c r="E53" t="s">
        <v>131</v>
      </c>
      <c r="F53" t="s">
        <v>108</v>
      </c>
      <c r="G53" t="s">
        <v>1388</v>
      </c>
      <c r="H53" s="8">
        <v>1.04</v>
      </c>
      <c r="I53" s="2">
        <v>138.37366400000002</v>
      </c>
      <c r="J53" s="7" t="s">
        <v>122</v>
      </c>
    </row>
    <row r="54" spans="1:10" ht="28.5">
      <c r="A54" t="s">
        <v>121</v>
      </c>
      <c r="B54" t="s">
        <v>1394</v>
      </c>
      <c r="C54" t="s">
        <v>1471</v>
      </c>
      <c r="D54" t="s">
        <v>1472</v>
      </c>
      <c r="E54" t="s">
        <v>336</v>
      </c>
      <c r="F54" t="s">
        <v>33</v>
      </c>
      <c r="G54" t="s">
        <v>1388</v>
      </c>
      <c r="H54" s="8">
        <v>0.03</v>
      </c>
      <c r="I54" s="2">
        <v>3.9915479999999999</v>
      </c>
      <c r="J54" s="7" t="s">
        <v>122</v>
      </c>
    </row>
    <row r="55" spans="1:10" ht="28.5">
      <c r="A55" t="s">
        <v>121</v>
      </c>
      <c r="B55" t="s">
        <v>1394</v>
      </c>
      <c r="C55" t="s">
        <v>1473</v>
      </c>
      <c r="D55" t="s">
        <v>1474</v>
      </c>
      <c r="E55" t="s">
        <v>138</v>
      </c>
      <c r="F55" t="s">
        <v>33</v>
      </c>
      <c r="G55" t="s">
        <v>1388</v>
      </c>
      <c r="H55" s="8">
        <v>0.85</v>
      </c>
      <c r="I55" s="2">
        <v>113.09386000000001</v>
      </c>
      <c r="J55" s="7" t="s">
        <v>122</v>
      </c>
    </row>
    <row r="56" spans="1:10" ht="28.5">
      <c r="A56" t="s">
        <v>121</v>
      </c>
      <c r="B56" t="s">
        <v>1394</v>
      </c>
      <c r="C56" t="s">
        <v>1475</v>
      </c>
      <c r="D56" t="s">
        <v>1476</v>
      </c>
      <c r="E56" t="s">
        <v>136</v>
      </c>
      <c r="F56" t="s">
        <v>23</v>
      </c>
      <c r="G56" t="s">
        <v>1388</v>
      </c>
      <c r="H56" s="8">
        <v>0.89</v>
      </c>
      <c r="I56" s="2">
        <v>118.41592399999999</v>
      </c>
      <c r="J56" s="7" t="s">
        <v>122</v>
      </c>
    </row>
    <row r="57" spans="1:10" ht="28.5">
      <c r="A57" t="s">
        <v>121</v>
      </c>
      <c r="B57" t="s">
        <v>1394</v>
      </c>
      <c r="C57" t="s">
        <v>1477</v>
      </c>
      <c r="D57" t="s">
        <v>1478</v>
      </c>
      <c r="E57" t="s">
        <v>173</v>
      </c>
      <c r="F57" t="s">
        <v>25</v>
      </c>
      <c r="G57" t="s">
        <v>1388</v>
      </c>
      <c r="H57" s="8">
        <v>0.42</v>
      </c>
      <c r="I57" s="2">
        <v>55.881672000000002</v>
      </c>
      <c r="J57" s="7" t="s">
        <v>122</v>
      </c>
    </row>
    <row r="58" spans="1:10" ht="28.5">
      <c r="A58" t="s">
        <v>121</v>
      </c>
      <c r="B58" t="s">
        <v>1394</v>
      </c>
      <c r="C58" t="s">
        <v>1479</v>
      </c>
      <c r="D58" t="s">
        <v>1480</v>
      </c>
      <c r="E58" t="s">
        <v>120</v>
      </c>
      <c r="F58" t="s">
        <v>25</v>
      </c>
      <c r="G58" t="s">
        <v>1388</v>
      </c>
      <c r="H58" s="8">
        <v>2.4900000000000002</v>
      </c>
      <c r="I58" s="2">
        <v>331.29848400000003</v>
      </c>
      <c r="J58" s="7" t="s">
        <v>122</v>
      </c>
    </row>
    <row r="59" spans="1:10" ht="28.5">
      <c r="A59" t="s">
        <v>121</v>
      </c>
      <c r="B59" t="s">
        <v>1394</v>
      </c>
      <c r="C59" t="s">
        <v>1481</v>
      </c>
      <c r="D59" t="s">
        <v>1482</v>
      </c>
      <c r="E59" t="s">
        <v>177</v>
      </c>
      <c r="F59" t="s">
        <v>25</v>
      </c>
      <c r="G59" t="s">
        <v>1388</v>
      </c>
      <c r="H59" s="8">
        <v>0.27</v>
      </c>
      <c r="I59" s="2">
        <v>35.923932000000001</v>
      </c>
      <c r="J59" s="7" t="s">
        <v>122</v>
      </c>
    </row>
    <row r="60" spans="1:10" ht="28.5">
      <c r="A60" t="s">
        <v>121</v>
      </c>
      <c r="B60" t="s">
        <v>1394</v>
      </c>
      <c r="C60" t="s">
        <v>47</v>
      </c>
      <c r="D60" t="s">
        <v>47</v>
      </c>
      <c r="E60" t="s">
        <v>47</v>
      </c>
      <c r="F60" t="s">
        <v>25</v>
      </c>
      <c r="G60" t="s">
        <v>1388</v>
      </c>
      <c r="H60" s="8">
        <v>0.47</v>
      </c>
      <c r="I60" s="2">
        <v>62.534251999999995</v>
      </c>
      <c r="J60" s="7" t="s">
        <v>122</v>
      </c>
    </row>
    <row r="61" spans="1:10" ht="28.5">
      <c r="A61" t="s">
        <v>121</v>
      </c>
      <c r="B61" t="s">
        <v>1394</v>
      </c>
      <c r="C61" t="s">
        <v>1483</v>
      </c>
      <c r="D61" t="s">
        <v>1484</v>
      </c>
      <c r="E61" t="s">
        <v>140</v>
      </c>
      <c r="F61" t="s">
        <v>124</v>
      </c>
      <c r="G61" t="s">
        <v>1388</v>
      </c>
      <c r="H61" s="8">
        <v>0.71</v>
      </c>
      <c r="I61" s="2">
        <v>94.466635999999994</v>
      </c>
      <c r="J61" s="7" t="s">
        <v>122</v>
      </c>
    </row>
    <row r="62" spans="1:10" ht="28.5">
      <c r="A62" t="s">
        <v>121</v>
      </c>
      <c r="B62" t="s">
        <v>1394</v>
      </c>
      <c r="C62" t="s">
        <v>1485</v>
      </c>
      <c r="D62" t="s">
        <v>1486</v>
      </c>
      <c r="E62" t="s">
        <v>34</v>
      </c>
      <c r="F62" t="s">
        <v>25</v>
      </c>
      <c r="G62" t="s">
        <v>1388</v>
      </c>
      <c r="H62" s="8">
        <v>5.44</v>
      </c>
      <c r="I62" s="2">
        <v>723.80070400000011</v>
      </c>
      <c r="J62" s="7" t="s">
        <v>122</v>
      </c>
    </row>
    <row r="63" spans="1:10" ht="28.5">
      <c r="A63" t="s">
        <v>121</v>
      </c>
      <c r="B63" t="s">
        <v>1394</v>
      </c>
      <c r="C63" t="s">
        <v>1487</v>
      </c>
      <c r="D63" t="s">
        <v>1488</v>
      </c>
      <c r="E63" t="s">
        <v>118</v>
      </c>
      <c r="F63" t="s">
        <v>38</v>
      </c>
      <c r="G63" t="s">
        <v>1388</v>
      </c>
      <c r="H63" s="8">
        <v>3.24</v>
      </c>
      <c r="I63" s="2">
        <v>431.08718400000004</v>
      </c>
      <c r="J63" s="7" t="s">
        <v>122</v>
      </c>
    </row>
    <row r="64" spans="1:10" ht="28.5">
      <c r="A64" t="s">
        <v>121</v>
      </c>
      <c r="B64" t="s">
        <v>1394</v>
      </c>
      <c r="C64" t="s">
        <v>1489</v>
      </c>
      <c r="D64" t="s">
        <v>1490</v>
      </c>
      <c r="E64" t="s">
        <v>158</v>
      </c>
      <c r="F64" t="s">
        <v>33</v>
      </c>
      <c r="G64" t="s">
        <v>1388</v>
      </c>
      <c r="H64" s="8">
        <v>0.6</v>
      </c>
      <c r="I64" s="2">
        <v>79.83095999999999</v>
      </c>
      <c r="J64" s="7" t="s">
        <v>122</v>
      </c>
    </row>
    <row r="65" spans="1:10" ht="28.5">
      <c r="A65" t="s">
        <v>121</v>
      </c>
      <c r="B65" t="s">
        <v>1394</v>
      </c>
      <c r="C65" t="s">
        <v>1491</v>
      </c>
      <c r="D65" t="s">
        <v>1492</v>
      </c>
      <c r="E65" t="s">
        <v>143</v>
      </c>
      <c r="F65" t="s">
        <v>38</v>
      </c>
      <c r="G65" t="s">
        <v>1388</v>
      </c>
      <c r="H65" s="8">
        <v>0.62</v>
      </c>
      <c r="I65" s="2">
        <v>82.491991999999996</v>
      </c>
      <c r="J65" s="7" t="s">
        <v>122</v>
      </c>
    </row>
    <row r="66" spans="1:10" ht="28.5">
      <c r="A66" t="s">
        <v>121</v>
      </c>
      <c r="B66" t="s">
        <v>1394</v>
      </c>
      <c r="C66" t="s">
        <v>1493</v>
      </c>
      <c r="D66" t="s">
        <v>1494</v>
      </c>
      <c r="E66" t="s">
        <v>175</v>
      </c>
      <c r="F66" t="s">
        <v>108</v>
      </c>
      <c r="G66" t="s">
        <v>1388</v>
      </c>
      <c r="H66" s="8">
        <v>0.4</v>
      </c>
      <c r="I66" s="2">
        <v>53.220640000000003</v>
      </c>
      <c r="J66" s="7" t="s">
        <v>122</v>
      </c>
    </row>
    <row r="67" spans="1:10" ht="28.5">
      <c r="A67" t="s">
        <v>121</v>
      </c>
      <c r="B67" t="s">
        <v>1394</v>
      </c>
      <c r="C67" t="s">
        <v>1495</v>
      </c>
      <c r="D67" t="s">
        <v>1496</v>
      </c>
      <c r="E67" t="s">
        <v>44</v>
      </c>
      <c r="F67" t="s">
        <v>23</v>
      </c>
      <c r="G67" t="s">
        <v>1388</v>
      </c>
      <c r="H67" s="8">
        <v>1.79</v>
      </c>
      <c r="I67" s="2">
        <v>238.16236400000003</v>
      </c>
      <c r="J67" s="7" t="s">
        <v>122</v>
      </c>
    </row>
    <row r="68" spans="1:10" ht="28.5">
      <c r="A68" t="s">
        <v>187</v>
      </c>
      <c r="B68" t="s">
        <v>1394</v>
      </c>
      <c r="C68" t="s">
        <v>1497</v>
      </c>
      <c r="D68" t="s">
        <v>1498</v>
      </c>
      <c r="E68" t="s">
        <v>341</v>
      </c>
      <c r="F68" t="s">
        <v>23</v>
      </c>
      <c r="G68" t="s">
        <v>1388</v>
      </c>
      <c r="H68" s="8">
        <v>0.04</v>
      </c>
      <c r="I68" s="2">
        <v>1.345248</v>
      </c>
      <c r="J68" s="7" t="s">
        <v>188</v>
      </c>
    </row>
    <row r="69" spans="1:10" ht="28.5">
      <c r="A69" t="s">
        <v>187</v>
      </c>
      <c r="B69" t="s">
        <v>1394</v>
      </c>
      <c r="C69" t="s">
        <v>1499</v>
      </c>
      <c r="D69" t="s">
        <v>407</v>
      </c>
      <c r="E69" t="s">
        <v>407</v>
      </c>
      <c r="F69" t="s">
        <v>50</v>
      </c>
      <c r="G69" t="s">
        <v>1388</v>
      </c>
      <c r="H69" s="8">
        <v>0.1</v>
      </c>
      <c r="I69" s="2">
        <v>3.3631200000000003</v>
      </c>
      <c r="J69" s="7" t="s">
        <v>188</v>
      </c>
    </row>
    <row r="70" spans="1:10" ht="28.5">
      <c r="A70" t="s">
        <v>187</v>
      </c>
      <c r="B70" t="s">
        <v>1394</v>
      </c>
      <c r="C70" t="s">
        <v>1500</v>
      </c>
      <c r="D70" t="s">
        <v>1501</v>
      </c>
      <c r="E70" t="s">
        <v>715</v>
      </c>
      <c r="F70" t="s">
        <v>50</v>
      </c>
      <c r="G70" t="s">
        <v>1388</v>
      </c>
      <c r="H70" s="8">
        <v>0.01</v>
      </c>
      <c r="I70" s="2">
        <v>0.336312</v>
      </c>
      <c r="J70" s="7" t="s">
        <v>188</v>
      </c>
    </row>
    <row r="71" spans="1:10" ht="28.5">
      <c r="A71" t="s">
        <v>187</v>
      </c>
      <c r="B71" t="s">
        <v>1394</v>
      </c>
      <c r="C71" t="s">
        <v>1502</v>
      </c>
      <c r="D71" t="s">
        <v>1503</v>
      </c>
      <c r="E71" t="s">
        <v>637</v>
      </c>
      <c r="F71" t="s">
        <v>50</v>
      </c>
      <c r="G71" t="s">
        <v>1388</v>
      </c>
      <c r="H71" s="8">
        <v>0.01</v>
      </c>
      <c r="I71" s="2">
        <v>0.336312</v>
      </c>
      <c r="J71" s="7" t="s">
        <v>188</v>
      </c>
    </row>
    <row r="72" spans="1:10" ht="28.5">
      <c r="A72" t="s">
        <v>187</v>
      </c>
      <c r="B72" t="s">
        <v>1394</v>
      </c>
      <c r="C72" t="s">
        <v>1504</v>
      </c>
      <c r="D72" t="s">
        <v>1505</v>
      </c>
      <c r="E72" t="s">
        <v>280</v>
      </c>
      <c r="F72" t="s">
        <v>50</v>
      </c>
      <c r="G72" t="s">
        <v>1388</v>
      </c>
      <c r="H72" s="8">
        <v>0.17</v>
      </c>
      <c r="I72" s="2">
        <v>5.7173040000000004</v>
      </c>
      <c r="J72" s="7" t="s">
        <v>188</v>
      </c>
    </row>
    <row r="73" spans="1:10" ht="28.5">
      <c r="A73" t="s">
        <v>187</v>
      </c>
      <c r="B73" t="s">
        <v>1394</v>
      </c>
      <c r="C73" t="s">
        <v>1395</v>
      </c>
      <c r="D73" t="s">
        <v>1396</v>
      </c>
      <c r="E73" t="s">
        <v>170</v>
      </c>
      <c r="F73" t="s">
        <v>33</v>
      </c>
      <c r="G73" t="s">
        <v>1388</v>
      </c>
      <c r="H73" s="8">
        <v>0.19</v>
      </c>
      <c r="I73" s="2">
        <v>6.3899280000000003</v>
      </c>
      <c r="J73" s="7" t="s">
        <v>188</v>
      </c>
    </row>
    <row r="74" spans="1:10" ht="28.5">
      <c r="A74" t="s">
        <v>187</v>
      </c>
      <c r="B74" t="s">
        <v>1394</v>
      </c>
      <c r="C74" t="s">
        <v>1397</v>
      </c>
      <c r="D74" t="s">
        <v>1398</v>
      </c>
      <c r="E74" t="s">
        <v>129</v>
      </c>
      <c r="F74" t="s">
        <v>33</v>
      </c>
      <c r="G74" t="s">
        <v>1388</v>
      </c>
      <c r="H74" s="8">
        <v>0.5</v>
      </c>
      <c r="I74" s="2">
        <v>16.8156</v>
      </c>
      <c r="J74" s="7" t="s">
        <v>188</v>
      </c>
    </row>
    <row r="75" spans="1:10" ht="28.5">
      <c r="A75" t="s">
        <v>187</v>
      </c>
      <c r="B75" t="s">
        <v>1394</v>
      </c>
      <c r="C75" t="s">
        <v>1506</v>
      </c>
      <c r="D75" t="s">
        <v>1507</v>
      </c>
      <c r="E75" t="s">
        <v>515</v>
      </c>
      <c r="F75" t="s">
        <v>23</v>
      </c>
      <c r="G75" t="s">
        <v>1388</v>
      </c>
      <c r="H75" s="8">
        <v>0.03</v>
      </c>
      <c r="I75" s="2">
        <v>1.0089359999999998</v>
      </c>
      <c r="J75" s="7" t="s">
        <v>188</v>
      </c>
    </row>
    <row r="76" spans="1:10" ht="28.5">
      <c r="A76" t="s">
        <v>187</v>
      </c>
      <c r="B76" t="s">
        <v>1394</v>
      </c>
      <c r="C76" t="s">
        <v>1399</v>
      </c>
      <c r="D76" t="s">
        <v>1400</v>
      </c>
      <c r="E76" t="s">
        <v>176</v>
      </c>
      <c r="F76" t="s">
        <v>25</v>
      </c>
      <c r="G76" t="s">
        <v>1388</v>
      </c>
      <c r="H76" s="8">
        <v>0.1</v>
      </c>
      <c r="I76" s="2">
        <v>3.3631200000000003</v>
      </c>
      <c r="J76" s="7" t="s">
        <v>188</v>
      </c>
    </row>
    <row r="77" spans="1:10" ht="28.5">
      <c r="A77" t="s">
        <v>187</v>
      </c>
      <c r="B77" t="s">
        <v>1394</v>
      </c>
      <c r="C77" t="s">
        <v>1508</v>
      </c>
      <c r="D77" t="s">
        <v>1509</v>
      </c>
      <c r="E77" t="s">
        <v>1281</v>
      </c>
      <c r="F77" t="s">
        <v>253</v>
      </c>
      <c r="G77" t="s">
        <v>1388</v>
      </c>
      <c r="H77" s="8">
        <v>0.01</v>
      </c>
      <c r="I77" s="2">
        <v>0.336312</v>
      </c>
      <c r="J77" s="7" t="s">
        <v>188</v>
      </c>
    </row>
    <row r="78" spans="1:10" ht="28.5">
      <c r="A78" t="s">
        <v>187</v>
      </c>
      <c r="B78" t="s">
        <v>1394</v>
      </c>
      <c r="C78" t="s">
        <v>1510</v>
      </c>
      <c r="D78" t="s">
        <v>1511</v>
      </c>
      <c r="E78" t="s">
        <v>1235</v>
      </c>
      <c r="F78" t="s">
        <v>38</v>
      </c>
      <c r="G78" t="s">
        <v>1388</v>
      </c>
      <c r="H78" s="8">
        <v>0.01</v>
      </c>
      <c r="I78" s="2">
        <v>0.336312</v>
      </c>
      <c r="J78" s="7" t="s">
        <v>188</v>
      </c>
    </row>
    <row r="79" spans="1:10" ht="28.5">
      <c r="A79" t="s">
        <v>187</v>
      </c>
      <c r="B79" t="s">
        <v>1394</v>
      </c>
      <c r="C79" t="s">
        <v>1512</v>
      </c>
      <c r="D79" t="s">
        <v>1513</v>
      </c>
      <c r="E79" t="s">
        <v>916</v>
      </c>
      <c r="F79" t="s">
        <v>50</v>
      </c>
      <c r="G79" t="s">
        <v>1388</v>
      </c>
      <c r="H79" s="8">
        <v>0.03</v>
      </c>
      <c r="I79" s="2">
        <v>1.0089359999999998</v>
      </c>
      <c r="J79" s="7" t="s">
        <v>188</v>
      </c>
    </row>
    <row r="80" spans="1:10" ht="28.5">
      <c r="A80" t="s">
        <v>187</v>
      </c>
      <c r="B80" t="s">
        <v>1394</v>
      </c>
      <c r="C80" t="s">
        <v>1514</v>
      </c>
      <c r="D80" t="s">
        <v>1513</v>
      </c>
      <c r="E80" t="s">
        <v>916</v>
      </c>
      <c r="F80" t="s">
        <v>50</v>
      </c>
      <c r="G80" t="s">
        <v>1388</v>
      </c>
      <c r="H80" s="8">
        <v>0</v>
      </c>
      <c r="I80" s="2">
        <v>0</v>
      </c>
      <c r="J80" s="7" t="s">
        <v>188</v>
      </c>
    </row>
    <row r="81" spans="1:10" ht="28.5">
      <c r="A81" t="s">
        <v>187</v>
      </c>
      <c r="B81" t="s">
        <v>1394</v>
      </c>
      <c r="C81" t="s">
        <v>1515</v>
      </c>
      <c r="D81" t="s">
        <v>1516</v>
      </c>
      <c r="E81" t="s">
        <v>1230</v>
      </c>
      <c r="F81" t="s">
        <v>50</v>
      </c>
      <c r="G81" t="s">
        <v>1388</v>
      </c>
      <c r="H81" s="8">
        <v>0.01</v>
      </c>
      <c r="I81" s="2">
        <v>0.336312</v>
      </c>
      <c r="J81" s="7" t="s">
        <v>188</v>
      </c>
    </row>
    <row r="82" spans="1:10" ht="28.5">
      <c r="A82" t="s">
        <v>187</v>
      </c>
      <c r="B82" t="s">
        <v>1394</v>
      </c>
      <c r="C82" t="s">
        <v>1517</v>
      </c>
      <c r="D82" t="s">
        <v>1518</v>
      </c>
      <c r="E82" t="s">
        <v>772</v>
      </c>
      <c r="F82" t="s">
        <v>38</v>
      </c>
      <c r="G82" t="s">
        <v>1388</v>
      </c>
      <c r="H82" s="8">
        <v>0.04</v>
      </c>
      <c r="I82" s="2">
        <v>1.345248</v>
      </c>
      <c r="J82" s="7" t="s">
        <v>188</v>
      </c>
    </row>
    <row r="83" spans="1:10" ht="28.5">
      <c r="A83" t="s">
        <v>187</v>
      </c>
      <c r="B83" t="s">
        <v>1394</v>
      </c>
      <c r="C83" t="s">
        <v>1519</v>
      </c>
      <c r="D83" t="s">
        <v>1520</v>
      </c>
      <c r="E83" t="s">
        <v>1178</v>
      </c>
      <c r="F83" t="s">
        <v>23</v>
      </c>
      <c r="G83" t="s">
        <v>1388</v>
      </c>
      <c r="H83" s="8">
        <v>0.01</v>
      </c>
      <c r="I83" s="2">
        <v>0.336312</v>
      </c>
      <c r="J83" s="7" t="s">
        <v>188</v>
      </c>
    </row>
    <row r="84" spans="1:10" ht="28.5">
      <c r="A84" t="s">
        <v>187</v>
      </c>
      <c r="B84" t="s">
        <v>1394</v>
      </c>
      <c r="C84" t="s">
        <v>1521</v>
      </c>
      <c r="D84" t="s">
        <v>1522</v>
      </c>
      <c r="E84" t="s">
        <v>227</v>
      </c>
      <c r="F84" t="s">
        <v>25</v>
      </c>
      <c r="G84" t="s">
        <v>1388</v>
      </c>
      <c r="H84" s="8">
        <v>0.11</v>
      </c>
      <c r="I84" s="2">
        <v>3.6994319999999998</v>
      </c>
      <c r="J84" s="7" t="s">
        <v>188</v>
      </c>
    </row>
    <row r="85" spans="1:10" ht="28.5">
      <c r="A85" t="s">
        <v>187</v>
      </c>
      <c r="B85" t="s">
        <v>1394</v>
      </c>
      <c r="C85" t="s">
        <v>29</v>
      </c>
      <c r="D85" t="s">
        <v>1523</v>
      </c>
      <c r="E85" t="s">
        <v>29</v>
      </c>
      <c r="F85" t="s">
        <v>25</v>
      </c>
      <c r="G85" t="s">
        <v>1388</v>
      </c>
      <c r="H85" s="8">
        <v>0.91</v>
      </c>
      <c r="I85" s="2">
        <v>30.604391999999997</v>
      </c>
      <c r="J85" s="7" t="s">
        <v>188</v>
      </c>
    </row>
    <row r="86" spans="1:10" ht="28.5">
      <c r="A86" t="s">
        <v>187</v>
      </c>
      <c r="B86" t="s">
        <v>1394</v>
      </c>
      <c r="C86" t="s">
        <v>1524</v>
      </c>
      <c r="D86" t="s">
        <v>1525</v>
      </c>
      <c r="E86" t="s">
        <v>296</v>
      </c>
      <c r="F86" t="s">
        <v>25</v>
      </c>
      <c r="G86" t="s">
        <v>1388</v>
      </c>
      <c r="H86" s="8">
        <v>0.15</v>
      </c>
      <c r="I86" s="2">
        <v>5.0446799999999996</v>
      </c>
      <c r="J86" s="7" t="s">
        <v>188</v>
      </c>
    </row>
    <row r="87" spans="1:10" ht="28.5">
      <c r="A87" t="s">
        <v>187</v>
      </c>
      <c r="B87" t="s">
        <v>1394</v>
      </c>
      <c r="C87" t="s">
        <v>1526</v>
      </c>
      <c r="D87" t="s">
        <v>1527</v>
      </c>
      <c r="E87" t="s">
        <v>915</v>
      </c>
      <c r="F87" t="s">
        <v>23</v>
      </c>
      <c r="G87" t="s">
        <v>1388</v>
      </c>
      <c r="H87" s="8">
        <v>0.03</v>
      </c>
      <c r="I87" s="2">
        <v>1.0089359999999998</v>
      </c>
      <c r="J87" s="7" t="s">
        <v>188</v>
      </c>
    </row>
    <row r="88" spans="1:10" ht="28.5">
      <c r="A88" t="s">
        <v>187</v>
      </c>
      <c r="B88" t="s">
        <v>1394</v>
      </c>
      <c r="C88" t="s">
        <v>1528</v>
      </c>
      <c r="D88" t="s">
        <v>1529</v>
      </c>
      <c r="E88" t="s">
        <v>731</v>
      </c>
      <c r="F88" t="s">
        <v>23</v>
      </c>
      <c r="G88" t="s">
        <v>1388</v>
      </c>
      <c r="H88" s="8">
        <v>0.02</v>
      </c>
      <c r="I88" s="2">
        <v>0.672624</v>
      </c>
      <c r="J88" s="7" t="s">
        <v>188</v>
      </c>
    </row>
    <row r="89" spans="1:10" ht="28.5">
      <c r="A89" t="s">
        <v>187</v>
      </c>
      <c r="B89" t="s">
        <v>1394</v>
      </c>
      <c r="C89" t="s">
        <v>1530</v>
      </c>
      <c r="D89" t="s">
        <v>1531</v>
      </c>
      <c r="E89" t="s">
        <v>924</v>
      </c>
      <c r="F89" t="s">
        <v>50</v>
      </c>
      <c r="G89" t="s">
        <v>1388</v>
      </c>
      <c r="H89" s="8">
        <v>0.03</v>
      </c>
      <c r="I89" s="2">
        <v>1.0089359999999998</v>
      </c>
      <c r="J89" s="7" t="s">
        <v>188</v>
      </c>
    </row>
    <row r="90" spans="1:10" ht="28.5">
      <c r="A90" t="s">
        <v>187</v>
      </c>
      <c r="B90" t="s">
        <v>1394</v>
      </c>
      <c r="C90" t="s">
        <v>1532</v>
      </c>
      <c r="D90" t="s">
        <v>1533</v>
      </c>
      <c r="E90" t="s">
        <v>1033</v>
      </c>
      <c r="F90" t="s">
        <v>108</v>
      </c>
      <c r="G90" t="s">
        <v>1388</v>
      </c>
      <c r="H90" s="8">
        <v>0.02</v>
      </c>
      <c r="I90" s="2">
        <v>0.672624</v>
      </c>
      <c r="J90" s="7" t="s">
        <v>188</v>
      </c>
    </row>
    <row r="91" spans="1:10" ht="28.5">
      <c r="A91" t="s">
        <v>187</v>
      </c>
      <c r="B91" t="s">
        <v>1394</v>
      </c>
      <c r="C91" t="s">
        <v>1534</v>
      </c>
      <c r="D91" t="s">
        <v>1535</v>
      </c>
      <c r="E91" t="s">
        <v>306</v>
      </c>
      <c r="F91" t="s">
        <v>50</v>
      </c>
      <c r="G91" t="s">
        <v>1388</v>
      </c>
      <c r="H91" s="8">
        <v>0.03</v>
      </c>
      <c r="I91" s="2">
        <v>1.0089359999999998</v>
      </c>
      <c r="J91" s="7" t="s">
        <v>188</v>
      </c>
    </row>
    <row r="92" spans="1:10" ht="28.5">
      <c r="A92" t="s">
        <v>187</v>
      </c>
      <c r="B92" t="s">
        <v>1394</v>
      </c>
      <c r="C92" t="s">
        <v>1536</v>
      </c>
      <c r="D92" t="s">
        <v>1537</v>
      </c>
      <c r="E92" t="s">
        <v>1371</v>
      </c>
      <c r="F92" t="s">
        <v>50</v>
      </c>
      <c r="G92" t="s">
        <v>1388</v>
      </c>
      <c r="H92" s="8">
        <v>0</v>
      </c>
      <c r="I92" s="2">
        <v>0</v>
      </c>
      <c r="J92" s="7" t="s">
        <v>188</v>
      </c>
    </row>
    <row r="93" spans="1:10" ht="28.5">
      <c r="A93" t="s">
        <v>187</v>
      </c>
      <c r="B93" t="s">
        <v>1394</v>
      </c>
      <c r="C93" t="s">
        <v>1538</v>
      </c>
      <c r="D93" t="s">
        <v>1539</v>
      </c>
      <c r="E93" t="s">
        <v>987</v>
      </c>
      <c r="F93" t="s">
        <v>23</v>
      </c>
      <c r="G93" t="s">
        <v>1388</v>
      </c>
      <c r="H93" s="8">
        <v>0.02</v>
      </c>
      <c r="I93" s="2">
        <v>0.672624</v>
      </c>
      <c r="J93" s="7" t="s">
        <v>188</v>
      </c>
    </row>
    <row r="94" spans="1:10" ht="28.5">
      <c r="A94" t="s">
        <v>187</v>
      </c>
      <c r="B94" t="s">
        <v>1394</v>
      </c>
      <c r="C94" t="s">
        <v>1540</v>
      </c>
      <c r="D94" t="s">
        <v>1541</v>
      </c>
      <c r="E94" t="s">
        <v>578</v>
      </c>
      <c r="F94" t="s">
        <v>23</v>
      </c>
      <c r="G94" t="s">
        <v>1388</v>
      </c>
      <c r="H94" s="8">
        <v>0.06</v>
      </c>
      <c r="I94" s="2">
        <v>2.0178719999999997</v>
      </c>
      <c r="J94" s="7" t="s">
        <v>188</v>
      </c>
    </row>
    <row r="95" spans="1:10" ht="28.5">
      <c r="A95" t="s">
        <v>187</v>
      </c>
      <c r="B95" t="s">
        <v>1394</v>
      </c>
      <c r="C95" t="s">
        <v>1542</v>
      </c>
      <c r="D95" t="s">
        <v>1543</v>
      </c>
      <c r="E95" t="s">
        <v>693</v>
      </c>
      <c r="F95" t="s">
        <v>50</v>
      </c>
      <c r="G95" t="s">
        <v>1388</v>
      </c>
      <c r="H95" s="8">
        <v>0.01</v>
      </c>
      <c r="I95" s="2">
        <v>0.336312</v>
      </c>
      <c r="J95" s="7" t="s">
        <v>188</v>
      </c>
    </row>
    <row r="96" spans="1:10" ht="28.5">
      <c r="A96" t="s">
        <v>187</v>
      </c>
      <c r="B96" t="s">
        <v>1394</v>
      </c>
      <c r="C96" t="s">
        <v>1544</v>
      </c>
      <c r="D96" t="s">
        <v>1545</v>
      </c>
      <c r="E96" t="s">
        <v>945</v>
      </c>
      <c r="F96" t="s">
        <v>23</v>
      </c>
      <c r="G96" t="s">
        <v>1388</v>
      </c>
      <c r="H96" s="8">
        <v>0.01</v>
      </c>
      <c r="I96" s="2">
        <v>0.336312</v>
      </c>
      <c r="J96" s="7" t="s">
        <v>188</v>
      </c>
    </row>
    <row r="97" spans="1:10" ht="28.5">
      <c r="A97" t="s">
        <v>187</v>
      </c>
      <c r="B97" t="s">
        <v>1394</v>
      </c>
      <c r="C97" t="s">
        <v>1546</v>
      </c>
      <c r="D97" t="s">
        <v>1547</v>
      </c>
      <c r="E97" t="s">
        <v>737</v>
      </c>
      <c r="F97" t="s">
        <v>33</v>
      </c>
      <c r="G97" t="s">
        <v>1388</v>
      </c>
      <c r="H97" s="8">
        <v>0.04</v>
      </c>
      <c r="I97" s="2">
        <v>1.345248</v>
      </c>
      <c r="J97" s="7" t="s">
        <v>188</v>
      </c>
    </row>
    <row r="98" spans="1:10" ht="28.5">
      <c r="A98" t="s">
        <v>187</v>
      </c>
      <c r="B98" t="s">
        <v>1394</v>
      </c>
      <c r="C98" t="s">
        <v>1548</v>
      </c>
      <c r="D98" t="s">
        <v>1549</v>
      </c>
      <c r="E98" t="s">
        <v>492</v>
      </c>
      <c r="F98" t="s">
        <v>41</v>
      </c>
      <c r="G98" t="s">
        <v>1388</v>
      </c>
      <c r="H98" s="8">
        <v>0.08</v>
      </c>
      <c r="I98" s="2">
        <v>2.690496</v>
      </c>
      <c r="J98" s="7" t="s">
        <v>188</v>
      </c>
    </row>
    <row r="99" spans="1:10" ht="28.5">
      <c r="A99" t="s">
        <v>187</v>
      </c>
      <c r="B99" t="s">
        <v>1394</v>
      </c>
      <c r="C99" t="s">
        <v>1550</v>
      </c>
      <c r="D99" t="s">
        <v>1551</v>
      </c>
      <c r="E99" t="s">
        <v>374</v>
      </c>
      <c r="F99" t="s">
        <v>23</v>
      </c>
      <c r="G99" t="s">
        <v>1388</v>
      </c>
      <c r="H99" s="8">
        <v>0.11</v>
      </c>
      <c r="I99" s="2">
        <v>3.6994319999999998</v>
      </c>
      <c r="J99" s="7" t="s">
        <v>188</v>
      </c>
    </row>
    <row r="100" spans="1:10" ht="28.5">
      <c r="A100" t="s">
        <v>187</v>
      </c>
      <c r="B100" t="s">
        <v>1394</v>
      </c>
      <c r="C100" t="s">
        <v>1552</v>
      </c>
      <c r="D100" t="s">
        <v>1553</v>
      </c>
      <c r="E100" t="s">
        <v>643</v>
      </c>
      <c r="F100" t="s">
        <v>23</v>
      </c>
      <c r="G100" t="s">
        <v>1388</v>
      </c>
      <c r="H100" s="8">
        <v>0.02</v>
      </c>
      <c r="I100" s="2">
        <v>0.672624</v>
      </c>
      <c r="J100" s="7" t="s">
        <v>188</v>
      </c>
    </row>
    <row r="101" spans="1:10" ht="28.5">
      <c r="A101" t="s">
        <v>187</v>
      </c>
      <c r="B101" t="s">
        <v>1394</v>
      </c>
      <c r="C101" t="s">
        <v>1554</v>
      </c>
      <c r="D101" t="s">
        <v>1555</v>
      </c>
      <c r="E101" t="s">
        <v>531</v>
      </c>
      <c r="F101" t="s">
        <v>41</v>
      </c>
      <c r="G101" t="s">
        <v>1388</v>
      </c>
      <c r="H101" s="8">
        <v>7.0000000000000007E-2</v>
      </c>
      <c r="I101" s="2">
        <v>2.3541840000000001</v>
      </c>
      <c r="J101" s="7" t="s">
        <v>188</v>
      </c>
    </row>
    <row r="102" spans="1:10" ht="28.5">
      <c r="A102" t="s">
        <v>187</v>
      </c>
      <c r="B102" t="s">
        <v>1394</v>
      </c>
      <c r="C102" t="s">
        <v>1556</v>
      </c>
      <c r="D102" t="s">
        <v>1557</v>
      </c>
      <c r="E102" t="s">
        <v>527</v>
      </c>
      <c r="F102" t="s">
        <v>38</v>
      </c>
      <c r="G102" t="s">
        <v>1388</v>
      </c>
      <c r="H102" s="8">
        <v>7.0000000000000007E-2</v>
      </c>
      <c r="I102" s="2">
        <v>2.3541840000000001</v>
      </c>
      <c r="J102" s="7" t="s">
        <v>188</v>
      </c>
    </row>
    <row r="103" spans="1:10" ht="28.5">
      <c r="A103" t="s">
        <v>187</v>
      </c>
      <c r="B103" t="s">
        <v>1394</v>
      </c>
      <c r="C103" t="s">
        <v>1558</v>
      </c>
      <c r="D103" t="s">
        <v>1559</v>
      </c>
      <c r="E103" t="s">
        <v>311</v>
      </c>
      <c r="F103" t="s">
        <v>50</v>
      </c>
      <c r="G103" t="s">
        <v>1388</v>
      </c>
      <c r="H103" s="8">
        <v>0.14000000000000001</v>
      </c>
      <c r="I103" s="2">
        <v>4.7083680000000001</v>
      </c>
      <c r="J103" s="7" t="s">
        <v>188</v>
      </c>
    </row>
    <row r="104" spans="1:10" ht="28.5">
      <c r="A104" t="s">
        <v>187</v>
      </c>
      <c r="B104" t="s">
        <v>1394</v>
      </c>
      <c r="C104" t="s">
        <v>1560</v>
      </c>
      <c r="D104" t="s">
        <v>1561</v>
      </c>
      <c r="E104" t="s">
        <v>1350</v>
      </c>
      <c r="F104" t="s">
        <v>27</v>
      </c>
      <c r="G104" t="s">
        <v>1388</v>
      </c>
      <c r="H104" s="8">
        <v>0</v>
      </c>
      <c r="I104" s="2">
        <v>0</v>
      </c>
      <c r="J104" s="7" t="s">
        <v>188</v>
      </c>
    </row>
    <row r="105" spans="1:10" ht="28.5">
      <c r="A105" t="s">
        <v>187</v>
      </c>
      <c r="B105" t="s">
        <v>1394</v>
      </c>
      <c r="C105" t="s">
        <v>1562</v>
      </c>
      <c r="D105" t="s">
        <v>1563</v>
      </c>
      <c r="E105" t="s">
        <v>812</v>
      </c>
      <c r="F105" t="s">
        <v>38</v>
      </c>
      <c r="G105" t="s">
        <v>1388</v>
      </c>
      <c r="H105" s="8">
        <v>0.01</v>
      </c>
      <c r="I105" s="2">
        <v>0.336312</v>
      </c>
      <c r="J105" s="7" t="s">
        <v>188</v>
      </c>
    </row>
    <row r="106" spans="1:10" ht="28.5">
      <c r="A106" t="s">
        <v>187</v>
      </c>
      <c r="B106" t="s">
        <v>1394</v>
      </c>
      <c r="C106" t="s">
        <v>1564</v>
      </c>
      <c r="D106" t="s">
        <v>1565</v>
      </c>
      <c r="E106" t="s">
        <v>862</v>
      </c>
      <c r="F106" t="s">
        <v>108</v>
      </c>
      <c r="G106" t="s">
        <v>1388</v>
      </c>
      <c r="H106" s="8">
        <v>0.03</v>
      </c>
      <c r="I106" s="2">
        <v>1.0089359999999998</v>
      </c>
      <c r="J106" s="7" t="s">
        <v>188</v>
      </c>
    </row>
    <row r="107" spans="1:10" ht="28.5">
      <c r="A107" t="s">
        <v>187</v>
      </c>
      <c r="B107" t="s">
        <v>1394</v>
      </c>
      <c r="C107" t="s">
        <v>1566</v>
      </c>
      <c r="D107" t="s">
        <v>1567</v>
      </c>
      <c r="E107" t="s">
        <v>962</v>
      </c>
      <c r="F107" t="s">
        <v>124</v>
      </c>
      <c r="G107" t="s">
        <v>1388</v>
      </c>
      <c r="H107" s="8">
        <v>0.01</v>
      </c>
      <c r="I107" s="2">
        <v>0.336312</v>
      </c>
      <c r="J107" s="7" t="s">
        <v>188</v>
      </c>
    </row>
    <row r="108" spans="1:10" ht="28.5">
      <c r="A108" t="s">
        <v>187</v>
      </c>
      <c r="B108" t="s">
        <v>1394</v>
      </c>
      <c r="C108" t="s">
        <v>1568</v>
      </c>
      <c r="D108" t="s">
        <v>1569</v>
      </c>
      <c r="E108" t="s">
        <v>1206</v>
      </c>
      <c r="F108" t="s">
        <v>41</v>
      </c>
      <c r="G108" t="s">
        <v>1388</v>
      </c>
      <c r="H108" s="8">
        <v>0.01</v>
      </c>
      <c r="I108" s="2">
        <v>0.336312</v>
      </c>
      <c r="J108" s="7" t="s">
        <v>188</v>
      </c>
    </row>
    <row r="109" spans="1:10" ht="28.5">
      <c r="A109" t="s">
        <v>187</v>
      </c>
      <c r="B109" t="s">
        <v>1394</v>
      </c>
      <c r="C109" t="s">
        <v>1570</v>
      </c>
      <c r="D109" t="s">
        <v>1571</v>
      </c>
      <c r="E109" t="s">
        <v>1181</v>
      </c>
      <c r="F109" t="s">
        <v>41</v>
      </c>
      <c r="G109" t="s">
        <v>1388</v>
      </c>
      <c r="H109" s="8">
        <v>0.01</v>
      </c>
      <c r="I109" s="2">
        <v>0.336312</v>
      </c>
      <c r="J109" s="7" t="s">
        <v>188</v>
      </c>
    </row>
    <row r="110" spans="1:10" ht="28.5">
      <c r="A110" t="s">
        <v>187</v>
      </c>
      <c r="B110" t="s">
        <v>1394</v>
      </c>
      <c r="C110" t="s">
        <v>1572</v>
      </c>
      <c r="D110" t="s">
        <v>1573</v>
      </c>
      <c r="E110" t="s">
        <v>760</v>
      </c>
      <c r="F110" t="s">
        <v>33</v>
      </c>
      <c r="G110" t="s">
        <v>1388</v>
      </c>
      <c r="H110" s="8">
        <v>0.04</v>
      </c>
      <c r="I110" s="2">
        <v>1.345248</v>
      </c>
      <c r="J110" s="7" t="s">
        <v>188</v>
      </c>
    </row>
    <row r="111" spans="1:10" ht="28.5">
      <c r="A111" t="s">
        <v>187</v>
      </c>
      <c r="B111" t="s">
        <v>1394</v>
      </c>
      <c r="C111" t="s">
        <v>1574</v>
      </c>
      <c r="D111" t="s">
        <v>1575</v>
      </c>
      <c r="E111" t="s">
        <v>1021</v>
      </c>
      <c r="F111" t="s">
        <v>50</v>
      </c>
      <c r="G111" t="s">
        <v>1388</v>
      </c>
      <c r="H111" s="8">
        <v>0.02</v>
      </c>
      <c r="I111" s="2">
        <v>0.672624</v>
      </c>
      <c r="J111" s="7" t="s">
        <v>188</v>
      </c>
    </row>
    <row r="112" spans="1:10" ht="28.5">
      <c r="A112" t="s">
        <v>187</v>
      </c>
      <c r="B112" t="s">
        <v>1394</v>
      </c>
      <c r="C112" t="s">
        <v>1576</v>
      </c>
      <c r="D112" t="s">
        <v>1577</v>
      </c>
      <c r="E112" t="s">
        <v>659</v>
      </c>
      <c r="F112" t="s">
        <v>108</v>
      </c>
      <c r="G112" t="s">
        <v>1388</v>
      </c>
      <c r="H112" s="8">
        <v>0.05</v>
      </c>
      <c r="I112" s="2">
        <v>1.6815600000000002</v>
      </c>
      <c r="J112" s="7" t="s">
        <v>188</v>
      </c>
    </row>
    <row r="113" spans="1:10" ht="28.5">
      <c r="A113" t="s">
        <v>187</v>
      </c>
      <c r="B113" t="s">
        <v>1394</v>
      </c>
      <c r="C113" t="s">
        <v>1578</v>
      </c>
      <c r="D113" t="s">
        <v>1579</v>
      </c>
      <c r="E113" t="s">
        <v>1183</v>
      </c>
      <c r="F113" t="s">
        <v>50</v>
      </c>
      <c r="G113" t="s">
        <v>1388</v>
      </c>
      <c r="H113" s="8">
        <v>0.01</v>
      </c>
      <c r="I113" s="2">
        <v>0.336312</v>
      </c>
      <c r="J113" s="7" t="s">
        <v>188</v>
      </c>
    </row>
    <row r="114" spans="1:10" ht="28.5">
      <c r="A114" t="s">
        <v>187</v>
      </c>
      <c r="B114" t="s">
        <v>1394</v>
      </c>
      <c r="C114" t="s">
        <v>1580</v>
      </c>
      <c r="D114" t="s">
        <v>1581</v>
      </c>
      <c r="E114" t="s">
        <v>1003</v>
      </c>
      <c r="F114" t="s">
        <v>253</v>
      </c>
      <c r="G114" t="s">
        <v>1388</v>
      </c>
      <c r="H114" s="8">
        <v>0.02</v>
      </c>
      <c r="I114" s="2">
        <v>0.672624</v>
      </c>
      <c r="J114" s="7" t="s">
        <v>188</v>
      </c>
    </row>
    <row r="115" spans="1:10" ht="28.5">
      <c r="A115" t="s">
        <v>187</v>
      </c>
      <c r="B115" t="s">
        <v>1394</v>
      </c>
      <c r="C115" t="s">
        <v>1582</v>
      </c>
      <c r="D115" t="s">
        <v>1583</v>
      </c>
      <c r="E115" t="s">
        <v>28</v>
      </c>
      <c r="F115" t="s">
        <v>23</v>
      </c>
      <c r="G115" t="s">
        <v>1388</v>
      </c>
      <c r="H115" s="8">
        <v>0.2</v>
      </c>
      <c r="I115" s="2">
        <v>6.7262400000000007</v>
      </c>
      <c r="J115" s="7" t="s">
        <v>188</v>
      </c>
    </row>
    <row r="116" spans="1:10" ht="28.5">
      <c r="A116" t="s">
        <v>187</v>
      </c>
      <c r="B116" t="s">
        <v>1394</v>
      </c>
      <c r="C116" t="s">
        <v>1584</v>
      </c>
      <c r="D116" t="s">
        <v>1585</v>
      </c>
      <c r="E116" t="s">
        <v>364</v>
      </c>
      <c r="F116" t="s">
        <v>23</v>
      </c>
      <c r="G116" t="s">
        <v>1388</v>
      </c>
      <c r="H116" s="8">
        <v>7.0000000000000007E-2</v>
      </c>
      <c r="I116" s="2">
        <v>2.3541840000000001</v>
      </c>
      <c r="J116" s="7" t="s">
        <v>188</v>
      </c>
    </row>
    <row r="117" spans="1:10" ht="28.5">
      <c r="A117" t="s">
        <v>187</v>
      </c>
      <c r="B117" t="s">
        <v>1394</v>
      </c>
      <c r="C117" t="s">
        <v>1586</v>
      </c>
      <c r="D117" t="s">
        <v>1587</v>
      </c>
      <c r="E117" t="s">
        <v>751</v>
      </c>
      <c r="F117" t="s">
        <v>33</v>
      </c>
      <c r="G117" t="s">
        <v>1388</v>
      </c>
      <c r="H117" s="8">
        <v>0.04</v>
      </c>
      <c r="I117" s="2">
        <v>1.345248</v>
      </c>
      <c r="J117" s="7" t="s">
        <v>188</v>
      </c>
    </row>
    <row r="118" spans="1:10" ht="28.5">
      <c r="A118" t="s">
        <v>187</v>
      </c>
      <c r="B118" t="s">
        <v>1394</v>
      </c>
      <c r="C118" t="s">
        <v>1401</v>
      </c>
      <c r="D118" t="s">
        <v>1402</v>
      </c>
      <c r="E118" t="s">
        <v>26</v>
      </c>
      <c r="F118" t="s">
        <v>27</v>
      </c>
      <c r="G118" t="s">
        <v>1388</v>
      </c>
      <c r="H118" s="8">
        <v>2.2999999999999998</v>
      </c>
      <c r="I118" s="2">
        <v>77.351759999999999</v>
      </c>
      <c r="J118" s="7" t="s">
        <v>188</v>
      </c>
    </row>
    <row r="119" spans="1:10" ht="28.5">
      <c r="A119" t="s">
        <v>187</v>
      </c>
      <c r="B119" t="s">
        <v>1394</v>
      </c>
      <c r="C119" t="s">
        <v>1403</v>
      </c>
      <c r="D119" t="s">
        <v>1404</v>
      </c>
      <c r="E119" t="s">
        <v>26</v>
      </c>
      <c r="F119" t="s">
        <v>27</v>
      </c>
      <c r="G119" t="s">
        <v>1388</v>
      </c>
      <c r="H119" s="8">
        <v>1.82</v>
      </c>
      <c r="I119" s="2">
        <v>61.208783999999994</v>
      </c>
      <c r="J119" s="7" t="s">
        <v>188</v>
      </c>
    </row>
    <row r="120" spans="1:10" ht="28.5">
      <c r="A120" t="s">
        <v>187</v>
      </c>
      <c r="B120" t="s">
        <v>1394</v>
      </c>
      <c r="C120" t="s">
        <v>1588</v>
      </c>
      <c r="D120" t="s">
        <v>1589</v>
      </c>
      <c r="E120" t="s">
        <v>722</v>
      </c>
      <c r="F120" t="s">
        <v>50</v>
      </c>
      <c r="G120" t="s">
        <v>1388</v>
      </c>
      <c r="H120" s="8">
        <v>0.01</v>
      </c>
      <c r="I120" s="2">
        <v>0.336312</v>
      </c>
      <c r="J120" s="7" t="s">
        <v>188</v>
      </c>
    </row>
    <row r="121" spans="1:10" ht="28.5">
      <c r="A121" t="s">
        <v>187</v>
      </c>
      <c r="B121" t="s">
        <v>1394</v>
      </c>
      <c r="C121" t="s">
        <v>1590</v>
      </c>
      <c r="D121" t="s">
        <v>1591</v>
      </c>
      <c r="E121" t="s">
        <v>948</v>
      </c>
      <c r="F121" t="s">
        <v>253</v>
      </c>
      <c r="G121" t="s">
        <v>1388</v>
      </c>
      <c r="H121" s="8">
        <v>0.01</v>
      </c>
      <c r="I121" s="2">
        <v>0.336312</v>
      </c>
      <c r="J121" s="7" t="s">
        <v>188</v>
      </c>
    </row>
    <row r="122" spans="1:10" ht="28.5">
      <c r="A122" t="s">
        <v>187</v>
      </c>
      <c r="B122" t="s">
        <v>1394</v>
      </c>
      <c r="C122" t="s">
        <v>1592</v>
      </c>
      <c r="D122" t="s">
        <v>1593</v>
      </c>
      <c r="E122" t="s">
        <v>328</v>
      </c>
      <c r="F122" t="s">
        <v>108</v>
      </c>
      <c r="G122" t="s">
        <v>1388</v>
      </c>
      <c r="H122" s="8">
        <v>0.13</v>
      </c>
      <c r="I122" s="2">
        <v>4.3720559999999997</v>
      </c>
      <c r="J122" s="7" t="s">
        <v>188</v>
      </c>
    </row>
    <row r="123" spans="1:10" ht="28.5">
      <c r="A123" t="s">
        <v>187</v>
      </c>
      <c r="B123" t="s">
        <v>1394</v>
      </c>
      <c r="C123" t="s">
        <v>1594</v>
      </c>
      <c r="D123" t="s">
        <v>1595</v>
      </c>
      <c r="E123" t="s">
        <v>886</v>
      </c>
      <c r="F123" t="s">
        <v>38</v>
      </c>
      <c r="G123" t="s">
        <v>1388</v>
      </c>
      <c r="H123" s="8">
        <v>0.03</v>
      </c>
      <c r="I123" s="2">
        <v>1.0089359999999998</v>
      </c>
      <c r="J123" s="7" t="s">
        <v>188</v>
      </c>
    </row>
    <row r="124" spans="1:10" ht="28.5">
      <c r="A124" t="s">
        <v>187</v>
      </c>
      <c r="B124" t="s">
        <v>1394</v>
      </c>
      <c r="C124" t="s">
        <v>1405</v>
      </c>
      <c r="D124" t="s">
        <v>1406</v>
      </c>
      <c r="E124" t="s">
        <v>37</v>
      </c>
      <c r="F124" t="s">
        <v>38</v>
      </c>
      <c r="G124" t="s">
        <v>1388</v>
      </c>
      <c r="H124" s="8">
        <v>2.69</v>
      </c>
      <c r="I124" s="2">
        <v>90.467927999999986</v>
      </c>
      <c r="J124" s="7" t="s">
        <v>188</v>
      </c>
    </row>
    <row r="125" spans="1:10" ht="28.5">
      <c r="A125" t="s">
        <v>187</v>
      </c>
      <c r="B125" t="s">
        <v>1394</v>
      </c>
      <c r="C125" t="s">
        <v>1596</v>
      </c>
      <c r="D125" t="s">
        <v>1597</v>
      </c>
      <c r="E125" t="s">
        <v>556</v>
      </c>
      <c r="F125" t="s">
        <v>41</v>
      </c>
      <c r="G125" t="s">
        <v>1388</v>
      </c>
      <c r="H125" s="8">
        <v>0.02</v>
      </c>
      <c r="I125" s="2">
        <v>0.672624</v>
      </c>
      <c r="J125" s="7" t="s">
        <v>188</v>
      </c>
    </row>
    <row r="126" spans="1:10" ht="28.5">
      <c r="A126" t="s">
        <v>187</v>
      </c>
      <c r="B126" t="s">
        <v>1394</v>
      </c>
      <c r="C126" t="s">
        <v>1598</v>
      </c>
      <c r="D126" t="s">
        <v>1599</v>
      </c>
      <c r="E126" t="s">
        <v>787</v>
      </c>
      <c r="F126" t="s">
        <v>253</v>
      </c>
      <c r="G126" t="s">
        <v>1388</v>
      </c>
      <c r="H126" s="8">
        <v>0.04</v>
      </c>
      <c r="I126" s="2">
        <v>1.345248</v>
      </c>
      <c r="J126" s="7" t="s">
        <v>188</v>
      </c>
    </row>
    <row r="127" spans="1:10" ht="28.5">
      <c r="A127" t="s">
        <v>187</v>
      </c>
      <c r="B127" t="s">
        <v>1394</v>
      </c>
      <c r="C127" t="s">
        <v>1600</v>
      </c>
      <c r="D127" t="s">
        <v>1601</v>
      </c>
      <c r="E127" t="s">
        <v>489</v>
      </c>
      <c r="F127" t="s">
        <v>253</v>
      </c>
      <c r="G127" t="s">
        <v>1388</v>
      </c>
      <c r="H127" s="8">
        <v>0.08</v>
      </c>
      <c r="I127" s="2">
        <v>2.690496</v>
      </c>
      <c r="J127" s="7" t="s">
        <v>188</v>
      </c>
    </row>
    <row r="128" spans="1:10" ht="28.5">
      <c r="A128" t="s">
        <v>187</v>
      </c>
      <c r="B128" t="s">
        <v>1394</v>
      </c>
      <c r="C128" t="s">
        <v>1602</v>
      </c>
      <c r="D128" t="s">
        <v>1603</v>
      </c>
      <c r="E128" t="s">
        <v>249</v>
      </c>
      <c r="F128" t="s">
        <v>23</v>
      </c>
      <c r="G128" t="s">
        <v>1388</v>
      </c>
      <c r="H128" s="8">
        <v>0.21</v>
      </c>
      <c r="I128" s="2">
        <v>7.0625519999999993</v>
      </c>
      <c r="J128" s="7" t="s">
        <v>188</v>
      </c>
    </row>
    <row r="129" spans="1:10" ht="28.5">
      <c r="A129" t="s">
        <v>187</v>
      </c>
      <c r="B129" t="s">
        <v>1394</v>
      </c>
      <c r="C129" t="s">
        <v>1604</v>
      </c>
      <c r="D129" t="s">
        <v>1605</v>
      </c>
      <c r="E129" t="s">
        <v>370</v>
      </c>
      <c r="F129" t="s">
        <v>23</v>
      </c>
      <c r="G129" t="s">
        <v>1388</v>
      </c>
      <c r="H129" s="8">
        <v>0.05</v>
      </c>
      <c r="I129" s="2">
        <v>1.6815600000000002</v>
      </c>
      <c r="J129" s="7" t="s">
        <v>188</v>
      </c>
    </row>
    <row r="130" spans="1:10" ht="28.5">
      <c r="A130" t="s">
        <v>187</v>
      </c>
      <c r="B130" t="s">
        <v>1394</v>
      </c>
      <c r="C130" t="s">
        <v>1606</v>
      </c>
      <c r="D130" t="s">
        <v>1607</v>
      </c>
      <c r="E130" t="s">
        <v>438</v>
      </c>
      <c r="F130" t="s">
        <v>263</v>
      </c>
      <c r="G130" t="s">
        <v>1388</v>
      </c>
      <c r="H130" s="8">
        <v>0.09</v>
      </c>
      <c r="I130" s="2">
        <v>3.0268079999999999</v>
      </c>
      <c r="J130" s="7" t="s">
        <v>188</v>
      </c>
    </row>
    <row r="131" spans="1:10" ht="28.5">
      <c r="A131" t="s">
        <v>187</v>
      </c>
      <c r="B131" t="s">
        <v>1394</v>
      </c>
      <c r="C131" t="s">
        <v>1608</v>
      </c>
      <c r="D131" t="s">
        <v>1609</v>
      </c>
      <c r="E131" t="s">
        <v>903</v>
      </c>
      <c r="F131" t="s">
        <v>253</v>
      </c>
      <c r="G131" t="s">
        <v>1388</v>
      </c>
      <c r="H131" s="8">
        <v>0.03</v>
      </c>
      <c r="I131" s="2">
        <v>1.0089359999999998</v>
      </c>
      <c r="J131" s="7" t="s">
        <v>188</v>
      </c>
    </row>
    <row r="132" spans="1:10" ht="28.5">
      <c r="A132" t="s">
        <v>187</v>
      </c>
      <c r="B132" t="s">
        <v>1394</v>
      </c>
      <c r="C132" t="s">
        <v>1610</v>
      </c>
      <c r="D132" t="s">
        <v>1611</v>
      </c>
      <c r="E132" t="s">
        <v>657</v>
      </c>
      <c r="F132" t="s">
        <v>23</v>
      </c>
      <c r="G132" t="s">
        <v>1388</v>
      </c>
      <c r="H132" s="8">
        <v>0.05</v>
      </c>
      <c r="I132" s="2">
        <v>1.6815600000000002</v>
      </c>
      <c r="J132" s="7" t="s">
        <v>188</v>
      </c>
    </row>
    <row r="133" spans="1:10" ht="28.5">
      <c r="A133" t="s">
        <v>187</v>
      </c>
      <c r="B133" t="s">
        <v>1394</v>
      </c>
      <c r="C133" t="s">
        <v>1612</v>
      </c>
      <c r="D133" t="s">
        <v>1613</v>
      </c>
      <c r="E133" t="s">
        <v>163</v>
      </c>
      <c r="F133" t="s">
        <v>50</v>
      </c>
      <c r="G133" t="s">
        <v>1388</v>
      </c>
      <c r="H133" s="8">
        <v>0.06</v>
      </c>
      <c r="I133" s="2">
        <v>2.0178719999999997</v>
      </c>
      <c r="J133" s="7" t="s">
        <v>188</v>
      </c>
    </row>
    <row r="134" spans="1:10" ht="28.5">
      <c r="A134" t="s">
        <v>187</v>
      </c>
      <c r="B134" t="s">
        <v>1394</v>
      </c>
      <c r="C134" t="s">
        <v>1614</v>
      </c>
      <c r="D134" t="s">
        <v>1615</v>
      </c>
      <c r="E134" t="s">
        <v>240</v>
      </c>
      <c r="F134" t="s">
        <v>33</v>
      </c>
      <c r="G134" t="s">
        <v>1388</v>
      </c>
      <c r="H134" s="8">
        <v>0.22</v>
      </c>
      <c r="I134" s="2">
        <v>7.3988639999999997</v>
      </c>
      <c r="J134" s="7" t="s">
        <v>188</v>
      </c>
    </row>
    <row r="135" spans="1:10" ht="28.5">
      <c r="A135" t="s">
        <v>187</v>
      </c>
      <c r="B135" t="s">
        <v>1394</v>
      </c>
      <c r="C135" t="s">
        <v>1616</v>
      </c>
      <c r="D135" t="s">
        <v>1617</v>
      </c>
      <c r="E135" t="s">
        <v>96</v>
      </c>
      <c r="F135" t="s">
        <v>25</v>
      </c>
      <c r="G135" t="s">
        <v>1388</v>
      </c>
      <c r="H135" s="8">
        <v>0.21</v>
      </c>
      <c r="I135" s="2">
        <v>7.0625519999999993</v>
      </c>
      <c r="J135" s="7" t="s">
        <v>188</v>
      </c>
    </row>
    <row r="136" spans="1:10" ht="28.5">
      <c r="A136" t="s">
        <v>187</v>
      </c>
      <c r="B136" t="s">
        <v>1394</v>
      </c>
      <c r="C136" t="s">
        <v>1618</v>
      </c>
      <c r="D136" t="s">
        <v>1619</v>
      </c>
      <c r="E136" t="s">
        <v>901</v>
      </c>
      <c r="F136" t="s">
        <v>41</v>
      </c>
      <c r="G136" t="s">
        <v>1388</v>
      </c>
      <c r="H136" s="8">
        <v>0.03</v>
      </c>
      <c r="I136" s="2">
        <v>1.0089359999999998</v>
      </c>
      <c r="J136" s="7" t="s">
        <v>188</v>
      </c>
    </row>
    <row r="137" spans="1:10" ht="28.5">
      <c r="A137" t="s">
        <v>187</v>
      </c>
      <c r="B137" t="s">
        <v>1394</v>
      </c>
      <c r="C137" t="s">
        <v>1620</v>
      </c>
      <c r="D137" t="s">
        <v>1621</v>
      </c>
      <c r="E137" t="s">
        <v>1131</v>
      </c>
      <c r="F137" t="s">
        <v>23</v>
      </c>
      <c r="G137" t="s">
        <v>1388</v>
      </c>
      <c r="H137" s="8">
        <v>0.01</v>
      </c>
      <c r="I137" s="2">
        <v>0.336312</v>
      </c>
      <c r="J137" s="7" t="s">
        <v>188</v>
      </c>
    </row>
    <row r="138" spans="1:10" ht="28.5">
      <c r="A138" t="s">
        <v>187</v>
      </c>
      <c r="B138" t="s">
        <v>1394</v>
      </c>
      <c r="C138" t="s">
        <v>1622</v>
      </c>
      <c r="D138" t="s">
        <v>1623</v>
      </c>
      <c r="E138" t="s">
        <v>1129</v>
      </c>
      <c r="F138" t="s">
        <v>50</v>
      </c>
      <c r="G138" t="s">
        <v>1388</v>
      </c>
      <c r="H138" s="8">
        <v>0</v>
      </c>
      <c r="I138" s="2">
        <v>0</v>
      </c>
      <c r="J138" s="7" t="s">
        <v>188</v>
      </c>
    </row>
    <row r="139" spans="1:10" ht="28.5">
      <c r="A139" t="s">
        <v>187</v>
      </c>
      <c r="B139" t="s">
        <v>1394</v>
      </c>
      <c r="C139" t="s">
        <v>1624</v>
      </c>
      <c r="D139" t="s">
        <v>1625</v>
      </c>
      <c r="E139" t="s">
        <v>251</v>
      </c>
      <c r="F139" t="s">
        <v>25</v>
      </c>
      <c r="G139" t="s">
        <v>1388</v>
      </c>
      <c r="H139" s="8">
        <v>0.21</v>
      </c>
      <c r="I139" s="2">
        <v>7.0625519999999993</v>
      </c>
      <c r="J139" s="7" t="s">
        <v>188</v>
      </c>
    </row>
    <row r="140" spans="1:10" ht="28.5">
      <c r="A140" t="s">
        <v>187</v>
      </c>
      <c r="B140" t="s">
        <v>1394</v>
      </c>
      <c r="C140" t="s">
        <v>1626</v>
      </c>
      <c r="D140" t="s">
        <v>1627</v>
      </c>
      <c r="E140" t="s">
        <v>654</v>
      </c>
      <c r="F140" t="s">
        <v>41</v>
      </c>
      <c r="G140" t="s">
        <v>1388</v>
      </c>
      <c r="H140" s="8">
        <v>0.05</v>
      </c>
      <c r="I140" s="2">
        <v>1.6815600000000002</v>
      </c>
      <c r="J140" s="7" t="s">
        <v>188</v>
      </c>
    </row>
    <row r="141" spans="1:10" ht="28.5">
      <c r="A141" t="s">
        <v>187</v>
      </c>
      <c r="B141" t="s">
        <v>1394</v>
      </c>
      <c r="C141" t="s">
        <v>1628</v>
      </c>
      <c r="D141" t="s">
        <v>1629</v>
      </c>
      <c r="E141" t="s">
        <v>474</v>
      </c>
      <c r="F141" t="s">
        <v>108</v>
      </c>
      <c r="G141" t="s">
        <v>1388</v>
      </c>
      <c r="H141" s="8">
        <v>0.08</v>
      </c>
      <c r="I141" s="2">
        <v>2.690496</v>
      </c>
      <c r="J141" s="7" t="s">
        <v>188</v>
      </c>
    </row>
    <row r="142" spans="1:10" ht="28.5">
      <c r="A142" t="s">
        <v>187</v>
      </c>
      <c r="B142" t="s">
        <v>1394</v>
      </c>
      <c r="C142" t="s">
        <v>1630</v>
      </c>
      <c r="D142" t="s">
        <v>1631</v>
      </c>
      <c r="E142" t="s">
        <v>647</v>
      </c>
      <c r="F142" t="s">
        <v>23</v>
      </c>
      <c r="G142" t="s">
        <v>1388</v>
      </c>
      <c r="H142" s="8">
        <v>0.02</v>
      </c>
      <c r="I142" s="2">
        <v>0.672624</v>
      </c>
      <c r="J142" s="7" t="s">
        <v>188</v>
      </c>
    </row>
    <row r="143" spans="1:10" ht="28.5">
      <c r="A143" t="s">
        <v>187</v>
      </c>
      <c r="B143" t="s">
        <v>1394</v>
      </c>
      <c r="C143" t="s">
        <v>1632</v>
      </c>
      <c r="D143" t="s">
        <v>1633</v>
      </c>
      <c r="E143" t="s">
        <v>1056</v>
      </c>
      <c r="F143" t="s">
        <v>41</v>
      </c>
      <c r="G143" t="s">
        <v>1388</v>
      </c>
      <c r="H143" s="8">
        <v>0.02</v>
      </c>
      <c r="I143" s="2">
        <v>0.672624</v>
      </c>
      <c r="J143" s="7" t="s">
        <v>188</v>
      </c>
    </row>
    <row r="144" spans="1:10" ht="28.5">
      <c r="A144" t="s">
        <v>187</v>
      </c>
      <c r="B144" t="s">
        <v>1394</v>
      </c>
      <c r="C144" t="s">
        <v>1634</v>
      </c>
      <c r="D144" t="s">
        <v>1635</v>
      </c>
      <c r="E144" t="s">
        <v>469</v>
      </c>
      <c r="F144" t="s">
        <v>23</v>
      </c>
      <c r="G144" t="s">
        <v>1388</v>
      </c>
      <c r="H144" s="8">
        <v>0.08</v>
      </c>
      <c r="I144" s="2">
        <v>2.690496</v>
      </c>
      <c r="J144" s="7" t="s">
        <v>188</v>
      </c>
    </row>
    <row r="145" spans="1:10" ht="28.5">
      <c r="A145" t="s">
        <v>187</v>
      </c>
      <c r="B145" t="s">
        <v>1394</v>
      </c>
      <c r="C145" t="s">
        <v>1636</v>
      </c>
      <c r="D145" t="s">
        <v>1637</v>
      </c>
      <c r="E145" t="s">
        <v>482</v>
      </c>
      <c r="F145" t="s">
        <v>23</v>
      </c>
      <c r="G145" t="s">
        <v>1388</v>
      </c>
      <c r="H145" s="8">
        <v>0.08</v>
      </c>
      <c r="I145" s="2">
        <v>2.690496</v>
      </c>
      <c r="J145" s="7" t="s">
        <v>188</v>
      </c>
    </row>
    <row r="146" spans="1:10" ht="28.5">
      <c r="A146" t="s">
        <v>187</v>
      </c>
      <c r="B146" t="s">
        <v>1394</v>
      </c>
      <c r="C146" t="s">
        <v>1638</v>
      </c>
      <c r="D146" t="s">
        <v>1639</v>
      </c>
      <c r="E146" t="s">
        <v>1162</v>
      </c>
      <c r="F146" t="s">
        <v>253</v>
      </c>
      <c r="G146" t="s">
        <v>1388</v>
      </c>
      <c r="H146" s="8">
        <v>0.01</v>
      </c>
      <c r="I146" s="2">
        <v>0.336312</v>
      </c>
      <c r="J146" s="7" t="s">
        <v>188</v>
      </c>
    </row>
    <row r="147" spans="1:10" ht="28.5">
      <c r="A147" t="s">
        <v>187</v>
      </c>
      <c r="B147" t="s">
        <v>1394</v>
      </c>
      <c r="C147" t="s">
        <v>1640</v>
      </c>
      <c r="D147" t="s">
        <v>1641</v>
      </c>
      <c r="E147" t="s">
        <v>593</v>
      </c>
      <c r="F147" t="s">
        <v>23</v>
      </c>
      <c r="G147" t="s">
        <v>1388</v>
      </c>
      <c r="H147" s="8">
        <v>0.06</v>
      </c>
      <c r="I147" s="2">
        <v>2.0178719999999997</v>
      </c>
      <c r="J147" s="7" t="s">
        <v>188</v>
      </c>
    </row>
    <row r="148" spans="1:10" ht="28.5">
      <c r="A148" t="s">
        <v>187</v>
      </c>
      <c r="B148" t="s">
        <v>1394</v>
      </c>
      <c r="C148" t="s">
        <v>1407</v>
      </c>
      <c r="D148" t="s">
        <v>1408</v>
      </c>
      <c r="E148" t="s">
        <v>31</v>
      </c>
      <c r="F148" t="s">
        <v>25</v>
      </c>
      <c r="G148" t="s">
        <v>1388</v>
      </c>
      <c r="H148" s="8">
        <v>5.44</v>
      </c>
      <c r="I148" s="2">
        <v>182.95372800000001</v>
      </c>
      <c r="J148" s="7" t="s">
        <v>188</v>
      </c>
    </row>
    <row r="149" spans="1:10" ht="28.5">
      <c r="A149" t="s">
        <v>187</v>
      </c>
      <c r="B149" t="s">
        <v>1394</v>
      </c>
      <c r="C149" t="s">
        <v>1642</v>
      </c>
      <c r="D149" t="s">
        <v>1643</v>
      </c>
      <c r="E149" t="s">
        <v>186</v>
      </c>
      <c r="F149" t="s">
        <v>25</v>
      </c>
      <c r="G149" t="s">
        <v>1388</v>
      </c>
      <c r="H149" s="8">
        <v>0.5</v>
      </c>
      <c r="I149" s="2">
        <v>16.8156</v>
      </c>
      <c r="J149" s="7" t="s">
        <v>188</v>
      </c>
    </row>
    <row r="150" spans="1:10" ht="28.5">
      <c r="A150" t="s">
        <v>187</v>
      </c>
      <c r="B150" t="s">
        <v>1394</v>
      </c>
      <c r="C150" t="s">
        <v>1644</v>
      </c>
      <c r="D150" t="s">
        <v>1645</v>
      </c>
      <c r="E150" t="s">
        <v>376</v>
      </c>
      <c r="F150" t="s">
        <v>25</v>
      </c>
      <c r="G150" t="s">
        <v>1388</v>
      </c>
      <c r="H150" s="8">
        <v>0.11</v>
      </c>
      <c r="I150" s="2">
        <v>3.6994319999999998</v>
      </c>
      <c r="J150" s="7" t="s">
        <v>188</v>
      </c>
    </row>
    <row r="151" spans="1:10" ht="28.5">
      <c r="A151" t="s">
        <v>187</v>
      </c>
      <c r="B151" t="s">
        <v>1394</v>
      </c>
      <c r="C151" t="s">
        <v>1646</v>
      </c>
      <c r="D151" t="s">
        <v>1647</v>
      </c>
      <c r="E151" t="s">
        <v>702</v>
      </c>
      <c r="F151" t="s">
        <v>38</v>
      </c>
      <c r="G151" t="s">
        <v>1388</v>
      </c>
      <c r="H151" s="8">
        <v>0.01</v>
      </c>
      <c r="I151" s="2">
        <v>0.336312</v>
      </c>
      <c r="J151" s="7" t="s">
        <v>188</v>
      </c>
    </row>
    <row r="152" spans="1:10" ht="28.5">
      <c r="A152" t="s">
        <v>187</v>
      </c>
      <c r="B152" t="s">
        <v>1394</v>
      </c>
      <c r="C152" t="s">
        <v>1648</v>
      </c>
      <c r="D152" t="s">
        <v>1649</v>
      </c>
      <c r="E152" t="s">
        <v>817</v>
      </c>
      <c r="F152" t="s">
        <v>124</v>
      </c>
      <c r="G152" t="s">
        <v>1388</v>
      </c>
      <c r="H152" s="8">
        <v>0.02</v>
      </c>
      <c r="I152" s="2">
        <v>0.672624</v>
      </c>
      <c r="J152" s="7" t="s">
        <v>188</v>
      </c>
    </row>
    <row r="153" spans="1:10" ht="28.5">
      <c r="A153" t="s">
        <v>187</v>
      </c>
      <c r="B153" t="s">
        <v>1394</v>
      </c>
      <c r="C153" t="s">
        <v>1650</v>
      </c>
      <c r="D153" t="s">
        <v>1651</v>
      </c>
      <c r="E153" t="s">
        <v>302</v>
      </c>
      <c r="F153" t="s">
        <v>41</v>
      </c>
      <c r="G153" t="s">
        <v>1388</v>
      </c>
      <c r="H153" s="8">
        <v>0.03</v>
      </c>
      <c r="I153" s="2">
        <v>1.0089359999999998</v>
      </c>
      <c r="J153" s="7" t="s">
        <v>188</v>
      </c>
    </row>
    <row r="154" spans="1:10" ht="28.5">
      <c r="A154" t="s">
        <v>187</v>
      </c>
      <c r="B154" t="s">
        <v>1394</v>
      </c>
      <c r="C154" t="s">
        <v>1652</v>
      </c>
      <c r="D154" t="s">
        <v>1653</v>
      </c>
      <c r="E154" t="s">
        <v>768</v>
      </c>
      <c r="F154" t="s">
        <v>23</v>
      </c>
      <c r="G154" t="s">
        <v>1388</v>
      </c>
      <c r="H154" s="8">
        <v>0.04</v>
      </c>
      <c r="I154" s="2">
        <v>1.345248</v>
      </c>
      <c r="J154" s="7" t="s">
        <v>188</v>
      </c>
    </row>
    <row r="155" spans="1:10" ht="28.5">
      <c r="A155" t="s">
        <v>187</v>
      </c>
      <c r="B155" t="s">
        <v>1394</v>
      </c>
      <c r="C155" t="s">
        <v>1519</v>
      </c>
      <c r="D155" t="s">
        <v>1654</v>
      </c>
      <c r="E155" t="s">
        <v>293</v>
      </c>
      <c r="F155" t="s">
        <v>108</v>
      </c>
      <c r="G155" t="s">
        <v>1388</v>
      </c>
      <c r="H155" s="8">
        <v>0.05</v>
      </c>
      <c r="I155" s="2">
        <v>1.6815600000000002</v>
      </c>
      <c r="J155" s="7" t="s">
        <v>188</v>
      </c>
    </row>
    <row r="156" spans="1:10" ht="28.5">
      <c r="A156" t="s">
        <v>187</v>
      </c>
      <c r="B156" t="s">
        <v>1394</v>
      </c>
      <c r="C156" t="s">
        <v>1655</v>
      </c>
      <c r="D156" t="s">
        <v>1656</v>
      </c>
      <c r="E156" t="s">
        <v>885</v>
      </c>
      <c r="F156" t="s">
        <v>23</v>
      </c>
      <c r="G156" t="s">
        <v>1388</v>
      </c>
      <c r="H156" s="8">
        <v>0.03</v>
      </c>
      <c r="I156" s="2">
        <v>1.0089359999999998</v>
      </c>
      <c r="J156" s="7" t="s">
        <v>188</v>
      </c>
    </row>
    <row r="157" spans="1:10" ht="28.5">
      <c r="A157" t="s">
        <v>187</v>
      </c>
      <c r="B157" t="s">
        <v>1394</v>
      </c>
      <c r="C157" t="s">
        <v>1657</v>
      </c>
      <c r="D157" t="s">
        <v>1658</v>
      </c>
      <c r="E157" t="s">
        <v>597</v>
      </c>
      <c r="F157" t="s">
        <v>33</v>
      </c>
      <c r="G157" t="s">
        <v>1388</v>
      </c>
      <c r="H157" s="8">
        <v>0.06</v>
      </c>
      <c r="I157" s="2">
        <v>2.0178719999999997</v>
      </c>
      <c r="J157" s="7" t="s">
        <v>188</v>
      </c>
    </row>
    <row r="158" spans="1:10" ht="28.5">
      <c r="A158" t="s">
        <v>187</v>
      </c>
      <c r="B158" t="s">
        <v>1394</v>
      </c>
      <c r="C158" t="s">
        <v>1659</v>
      </c>
      <c r="D158" t="s">
        <v>1660</v>
      </c>
      <c r="E158" t="s">
        <v>152</v>
      </c>
      <c r="F158" t="s">
        <v>25</v>
      </c>
      <c r="G158" t="s">
        <v>1388</v>
      </c>
      <c r="H158" s="8">
        <v>0.2</v>
      </c>
      <c r="I158" s="2">
        <v>6.7262400000000007</v>
      </c>
      <c r="J158" s="7" t="s">
        <v>188</v>
      </c>
    </row>
    <row r="159" spans="1:10" ht="28.5">
      <c r="A159" t="s">
        <v>187</v>
      </c>
      <c r="B159" t="s">
        <v>1394</v>
      </c>
      <c r="C159" t="s">
        <v>1584</v>
      </c>
      <c r="D159" t="s">
        <v>1661</v>
      </c>
      <c r="E159" t="s">
        <v>883</v>
      </c>
      <c r="F159" t="s">
        <v>38</v>
      </c>
      <c r="G159" t="s">
        <v>1388</v>
      </c>
      <c r="H159" s="8">
        <v>0.03</v>
      </c>
      <c r="I159" s="2">
        <v>1.0089359999999998</v>
      </c>
      <c r="J159" s="7" t="s">
        <v>188</v>
      </c>
    </row>
    <row r="160" spans="1:10" ht="28.5">
      <c r="A160" t="s">
        <v>187</v>
      </c>
      <c r="B160" t="s">
        <v>1394</v>
      </c>
      <c r="C160" t="s">
        <v>1662</v>
      </c>
      <c r="D160" t="s">
        <v>1663</v>
      </c>
      <c r="E160" t="s">
        <v>522</v>
      </c>
      <c r="F160" t="s">
        <v>23</v>
      </c>
      <c r="G160" t="s">
        <v>1388</v>
      </c>
      <c r="H160" s="8">
        <v>7.0000000000000007E-2</v>
      </c>
      <c r="I160" s="2">
        <v>2.3541840000000001</v>
      </c>
      <c r="J160" s="7" t="s">
        <v>188</v>
      </c>
    </row>
    <row r="161" spans="1:10" ht="28.5">
      <c r="A161" t="s">
        <v>187</v>
      </c>
      <c r="B161" t="s">
        <v>1394</v>
      </c>
      <c r="C161" t="s">
        <v>1664</v>
      </c>
      <c r="D161" t="s">
        <v>1665</v>
      </c>
      <c r="E161" t="s">
        <v>539</v>
      </c>
      <c r="F161" t="s">
        <v>108</v>
      </c>
      <c r="G161" t="s">
        <v>1388</v>
      </c>
      <c r="H161" s="8">
        <v>0.01</v>
      </c>
      <c r="I161" s="2">
        <v>0.336312</v>
      </c>
      <c r="J161" s="7" t="s">
        <v>188</v>
      </c>
    </row>
    <row r="162" spans="1:10" ht="28.5">
      <c r="A162" t="s">
        <v>187</v>
      </c>
      <c r="B162" t="s">
        <v>1394</v>
      </c>
      <c r="C162" t="s">
        <v>1666</v>
      </c>
      <c r="D162" t="s">
        <v>1667</v>
      </c>
      <c r="E162" t="s">
        <v>620</v>
      </c>
      <c r="F162" t="s">
        <v>41</v>
      </c>
      <c r="G162" t="s">
        <v>1388</v>
      </c>
      <c r="H162" s="8">
        <v>0.02</v>
      </c>
      <c r="I162" s="2">
        <v>0.672624</v>
      </c>
      <c r="J162" s="7" t="s">
        <v>188</v>
      </c>
    </row>
    <row r="163" spans="1:10" ht="28.5">
      <c r="A163" t="s">
        <v>187</v>
      </c>
      <c r="B163" t="s">
        <v>1394</v>
      </c>
      <c r="C163" t="s">
        <v>1668</v>
      </c>
      <c r="D163" t="s">
        <v>1669</v>
      </c>
      <c r="E163" t="s">
        <v>1038</v>
      </c>
      <c r="F163" t="s">
        <v>38</v>
      </c>
      <c r="G163" t="s">
        <v>1388</v>
      </c>
      <c r="H163" s="8">
        <v>0.02</v>
      </c>
      <c r="I163" s="2">
        <v>0.672624</v>
      </c>
      <c r="J163" s="7" t="s">
        <v>188</v>
      </c>
    </row>
    <row r="164" spans="1:10" ht="28.5">
      <c r="A164" t="s">
        <v>187</v>
      </c>
      <c r="B164" t="s">
        <v>1394</v>
      </c>
      <c r="C164" t="s">
        <v>1670</v>
      </c>
      <c r="D164" t="s">
        <v>1671</v>
      </c>
      <c r="E164" t="s">
        <v>616</v>
      </c>
      <c r="F164" t="s">
        <v>25</v>
      </c>
      <c r="G164" t="s">
        <v>1388</v>
      </c>
      <c r="H164" s="8">
        <v>0.06</v>
      </c>
      <c r="I164" s="2">
        <v>2.0178719999999997</v>
      </c>
      <c r="J164" s="7" t="s">
        <v>188</v>
      </c>
    </row>
    <row r="165" spans="1:10" ht="28.5">
      <c r="A165" t="s">
        <v>187</v>
      </c>
      <c r="B165" t="s">
        <v>1394</v>
      </c>
      <c r="C165" t="s">
        <v>42</v>
      </c>
      <c r="D165" t="s">
        <v>1409</v>
      </c>
      <c r="E165" t="s">
        <v>42</v>
      </c>
      <c r="F165" t="s">
        <v>25</v>
      </c>
      <c r="G165" t="s">
        <v>1388</v>
      </c>
      <c r="H165" s="8">
        <v>0.79</v>
      </c>
      <c r="I165" s="2">
        <v>26.568648</v>
      </c>
      <c r="J165" s="7" t="s">
        <v>188</v>
      </c>
    </row>
    <row r="166" spans="1:10" ht="28.5">
      <c r="A166" t="s">
        <v>187</v>
      </c>
      <c r="B166" t="s">
        <v>1394</v>
      </c>
      <c r="C166" t="s">
        <v>1672</v>
      </c>
      <c r="D166" t="s">
        <v>1673</v>
      </c>
      <c r="E166" t="s">
        <v>958</v>
      </c>
      <c r="F166" t="s">
        <v>23</v>
      </c>
      <c r="G166" t="s">
        <v>1388</v>
      </c>
      <c r="H166" s="8">
        <v>0.01</v>
      </c>
      <c r="I166" s="2">
        <v>0.336312</v>
      </c>
      <c r="J166" s="7" t="s">
        <v>188</v>
      </c>
    </row>
    <row r="167" spans="1:10" ht="28.5">
      <c r="A167" t="s">
        <v>187</v>
      </c>
      <c r="B167" t="s">
        <v>1394</v>
      </c>
      <c r="C167" t="s">
        <v>1674</v>
      </c>
      <c r="D167" t="s">
        <v>1675</v>
      </c>
      <c r="E167" t="s">
        <v>783</v>
      </c>
      <c r="F167" t="s">
        <v>50</v>
      </c>
      <c r="G167" t="s">
        <v>1388</v>
      </c>
      <c r="H167" s="8">
        <v>0.04</v>
      </c>
      <c r="I167" s="2">
        <v>1.345248</v>
      </c>
      <c r="J167" s="7" t="s">
        <v>188</v>
      </c>
    </row>
    <row r="168" spans="1:10" ht="28.5">
      <c r="A168" t="s">
        <v>187</v>
      </c>
      <c r="B168" t="s">
        <v>1394</v>
      </c>
      <c r="C168" t="s">
        <v>1676</v>
      </c>
      <c r="D168" t="s">
        <v>1677</v>
      </c>
      <c r="E168" t="s">
        <v>691</v>
      </c>
      <c r="F168" t="s">
        <v>23</v>
      </c>
      <c r="G168" t="s">
        <v>1388</v>
      </c>
      <c r="H168" s="8">
        <v>0.05</v>
      </c>
      <c r="I168" s="2">
        <v>1.6815600000000002</v>
      </c>
      <c r="J168" s="7" t="s">
        <v>188</v>
      </c>
    </row>
    <row r="169" spans="1:10" ht="28.5">
      <c r="A169" t="s">
        <v>187</v>
      </c>
      <c r="B169" t="s">
        <v>1394</v>
      </c>
      <c r="C169" t="s">
        <v>1678</v>
      </c>
      <c r="D169" t="s">
        <v>1679</v>
      </c>
      <c r="E169" t="s">
        <v>717</v>
      </c>
      <c r="F169" t="s">
        <v>108</v>
      </c>
      <c r="G169" t="s">
        <v>1388</v>
      </c>
      <c r="H169" s="8">
        <v>0.01</v>
      </c>
      <c r="I169" s="2">
        <v>0.336312</v>
      </c>
      <c r="J169" s="7" t="s">
        <v>188</v>
      </c>
    </row>
    <row r="170" spans="1:10" ht="28.5">
      <c r="A170" t="s">
        <v>187</v>
      </c>
      <c r="B170" t="s">
        <v>1394</v>
      </c>
      <c r="C170" t="s">
        <v>1680</v>
      </c>
      <c r="D170" t="s">
        <v>1681</v>
      </c>
      <c r="E170" t="s">
        <v>1164</v>
      </c>
      <c r="F170" t="s">
        <v>27</v>
      </c>
      <c r="G170" t="s">
        <v>1388</v>
      </c>
      <c r="H170" s="8">
        <v>0.01</v>
      </c>
      <c r="I170" s="2">
        <v>0.336312</v>
      </c>
      <c r="J170" s="7" t="s">
        <v>188</v>
      </c>
    </row>
    <row r="171" spans="1:10" ht="28.5">
      <c r="A171" t="s">
        <v>187</v>
      </c>
      <c r="B171" t="s">
        <v>1394</v>
      </c>
      <c r="C171" t="s">
        <v>1682</v>
      </c>
      <c r="D171" t="s">
        <v>1683</v>
      </c>
      <c r="E171" t="s">
        <v>633</v>
      </c>
      <c r="F171" t="s">
        <v>33</v>
      </c>
      <c r="G171" t="s">
        <v>1388</v>
      </c>
      <c r="H171" s="8">
        <v>0.03</v>
      </c>
      <c r="I171" s="2">
        <v>1.0089359999999998</v>
      </c>
      <c r="J171" s="7" t="s">
        <v>188</v>
      </c>
    </row>
    <row r="172" spans="1:10" ht="28.5">
      <c r="A172" t="s">
        <v>187</v>
      </c>
      <c r="B172" t="s">
        <v>1394</v>
      </c>
      <c r="C172" t="s">
        <v>1684</v>
      </c>
      <c r="D172" t="s">
        <v>1685</v>
      </c>
      <c r="E172" t="s">
        <v>685</v>
      </c>
      <c r="F172" t="s">
        <v>25</v>
      </c>
      <c r="G172" t="s">
        <v>1388</v>
      </c>
      <c r="H172" s="8">
        <v>0.05</v>
      </c>
      <c r="I172" s="2">
        <v>1.6815600000000002</v>
      </c>
      <c r="J172" s="7" t="s">
        <v>188</v>
      </c>
    </row>
    <row r="173" spans="1:10" ht="28.5">
      <c r="A173" t="s">
        <v>187</v>
      </c>
      <c r="B173" t="s">
        <v>1394</v>
      </c>
      <c r="C173" t="s">
        <v>1410</v>
      </c>
      <c r="D173" t="s">
        <v>1411</v>
      </c>
      <c r="E173" t="s">
        <v>142</v>
      </c>
      <c r="F173" t="s">
        <v>33</v>
      </c>
      <c r="G173" t="s">
        <v>1388</v>
      </c>
      <c r="H173" s="8">
        <v>0.28999999999999998</v>
      </c>
      <c r="I173" s="2">
        <v>9.7530479999999997</v>
      </c>
      <c r="J173" s="7" t="s">
        <v>188</v>
      </c>
    </row>
    <row r="174" spans="1:10" ht="28.5">
      <c r="A174" t="s">
        <v>187</v>
      </c>
      <c r="B174" t="s">
        <v>1394</v>
      </c>
      <c r="C174" t="s">
        <v>1686</v>
      </c>
      <c r="D174" t="s">
        <v>1687</v>
      </c>
      <c r="E174" t="s">
        <v>1286</v>
      </c>
      <c r="F174" t="s">
        <v>23</v>
      </c>
      <c r="G174" t="s">
        <v>1388</v>
      </c>
      <c r="H174" s="8">
        <v>0.01</v>
      </c>
      <c r="I174" s="2">
        <v>0.336312</v>
      </c>
      <c r="J174" s="7" t="s">
        <v>188</v>
      </c>
    </row>
    <row r="175" spans="1:10" ht="28.5">
      <c r="A175" t="s">
        <v>187</v>
      </c>
      <c r="B175" t="s">
        <v>1394</v>
      </c>
      <c r="C175" t="s">
        <v>1688</v>
      </c>
      <c r="D175" t="s">
        <v>1689</v>
      </c>
      <c r="E175" t="s">
        <v>182</v>
      </c>
      <c r="F175" t="s">
        <v>27</v>
      </c>
      <c r="G175" t="s">
        <v>1388</v>
      </c>
      <c r="H175" s="8">
        <v>0.17</v>
      </c>
      <c r="I175" s="2">
        <v>5.7173040000000004</v>
      </c>
      <c r="J175" s="7" t="s">
        <v>188</v>
      </c>
    </row>
    <row r="176" spans="1:10" ht="28.5">
      <c r="A176" t="s">
        <v>187</v>
      </c>
      <c r="B176" t="s">
        <v>1394</v>
      </c>
      <c r="C176" t="s">
        <v>1690</v>
      </c>
      <c r="D176" t="s">
        <v>1691</v>
      </c>
      <c r="E176" t="s">
        <v>1210</v>
      </c>
      <c r="F176" t="s">
        <v>50</v>
      </c>
      <c r="G176" t="s">
        <v>1388</v>
      </c>
      <c r="H176" s="8">
        <v>0.01</v>
      </c>
      <c r="I176" s="2">
        <v>0.336312</v>
      </c>
      <c r="J176" s="7" t="s">
        <v>188</v>
      </c>
    </row>
    <row r="177" spans="1:10" ht="28.5">
      <c r="A177" t="s">
        <v>187</v>
      </c>
      <c r="B177" t="s">
        <v>1394</v>
      </c>
      <c r="C177" t="s">
        <v>1692</v>
      </c>
      <c r="D177" t="s">
        <v>1693</v>
      </c>
      <c r="E177" t="s">
        <v>447</v>
      </c>
      <c r="F177" t="s">
        <v>50</v>
      </c>
      <c r="G177" t="s">
        <v>1388</v>
      </c>
      <c r="H177" s="8">
        <v>0.06</v>
      </c>
      <c r="I177" s="2">
        <v>2.0178719999999997</v>
      </c>
      <c r="J177" s="7" t="s">
        <v>188</v>
      </c>
    </row>
    <row r="178" spans="1:10" ht="28.5">
      <c r="A178" t="s">
        <v>187</v>
      </c>
      <c r="B178" t="s">
        <v>1394</v>
      </c>
      <c r="C178" t="s">
        <v>1694</v>
      </c>
      <c r="D178" t="s">
        <v>1695</v>
      </c>
      <c r="E178" t="s">
        <v>447</v>
      </c>
      <c r="F178" t="s">
        <v>50</v>
      </c>
      <c r="G178" t="s">
        <v>1388</v>
      </c>
      <c r="H178" s="8">
        <v>0.03</v>
      </c>
      <c r="I178" s="2">
        <v>1.0089359999999998</v>
      </c>
      <c r="J178" s="7" t="s">
        <v>188</v>
      </c>
    </row>
    <row r="179" spans="1:10" ht="28.5">
      <c r="A179" t="s">
        <v>187</v>
      </c>
      <c r="B179" t="s">
        <v>1394</v>
      </c>
      <c r="C179" t="s">
        <v>1696</v>
      </c>
      <c r="D179" t="s">
        <v>1697</v>
      </c>
      <c r="E179" t="s">
        <v>1107</v>
      </c>
      <c r="F179" t="s">
        <v>25</v>
      </c>
      <c r="G179" t="s">
        <v>1388</v>
      </c>
      <c r="H179" s="8">
        <v>0.02</v>
      </c>
      <c r="I179" s="2">
        <v>0.672624</v>
      </c>
      <c r="J179" s="7" t="s">
        <v>188</v>
      </c>
    </row>
    <row r="180" spans="1:10" ht="28.5">
      <c r="A180" t="s">
        <v>187</v>
      </c>
      <c r="B180" t="s">
        <v>1394</v>
      </c>
      <c r="C180" t="s">
        <v>1698</v>
      </c>
      <c r="D180" t="s">
        <v>1699</v>
      </c>
      <c r="E180" t="s">
        <v>889</v>
      </c>
      <c r="F180" t="s">
        <v>253</v>
      </c>
      <c r="G180" t="s">
        <v>1388</v>
      </c>
      <c r="H180" s="8">
        <v>0.03</v>
      </c>
      <c r="I180" s="2">
        <v>1.0089359999999998</v>
      </c>
      <c r="J180" s="7" t="s">
        <v>188</v>
      </c>
    </row>
    <row r="181" spans="1:10" ht="28.5">
      <c r="A181" t="s">
        <v>187</v>
      </c>
      <c r="B181" t="s">
        <v>1394</v>
      </c>
      <c r="C181" t="s">
        <v>1700</v>
      </c>
      <c r="D181" t="s">
        <v>1701</v>
      </c>
      <c r="E181" t="s">
        <v>1304</v>
      </c>
      <c r="F181" t="s">
        <v>50</v>
      </c>
      <c r="G181" t="s">
        <v>1388</v>
      </c>
      <c r="H181" s="8">
        <v>0.01</v>
      </c>
      <c r="I181" s="2">
        <v>0.336312</v>
      </c>
      <c r="J181" s="7" t="s">
        <v>188</v>
      </c>
    </row>
    <row r="182" spans="1:10" ht="28.5">
      <c r="A182" t="s">
        <v>187</v>
      </c>
      <c r="B182" t="s">
        <v>1394</v>
      </c>
      <c r="C182" t="s">
        <v>1702</v>
      </c>
      <c r="D182" t="s">
        <v>1703</v>
      </c>
      <c r="E182" t="s">
        <v>668</v>
      </c>
      <c r="F182" t="s">
        <v>25</v>
      </c>
      <c r="G182" t="s">
        <v>1388</v>
      </c>
      <c r="H182" s="8">
        <v>0.05</v>
      </c>
      <c r="I182" s="2">
        <v>1.6815600000000002</v>
      </c>
      <c r="J182" s="7" t="s">
        <v>188</v>
      </c>
    </row>
    <row r="183" spans="1:10" ht="28.5">
      <c r="A183" t="s">
        <v>187</v>
      </c>
      <c r="B183" t="s">
        <v>1394</v>
      </c>
      <c r="C183" t="s">
        <v>1536</v>
      </c>
      <c r="D183" t="s">
        <v>1704</v>
      </c>
      <c r="E183" t="s">
        <v>371</v>
      </c>
      <c r="F183" t="s">
        <v>50</v>
      </c>
      <c r="G183" t="s">
        <v>1388</v>
      </c>
      <c r="H183" s="8">
        <v>0.11</v>
      </c>
      <c r="I183" s="2">
        <v>3.6994319999999998</v>
      </c>
      <c r="J183" s="7" t="s">
        <v>188</v>
      </c>
    </row>
    <row r="184" spans="1:10" ht="28.5">
      <c r="A184" t="s">
        <v>187</v>
      </c>
      <c r="B184" t="s">
        <v>1394</v>
      </c>
      <c r="C184" t="s">
        <v>1705</v>
      </c>
      <c r="D184" t="s">
        <v>1706</v>
      </c>
      <c r="E184" t="s">
        <v>602</v>
      </c>
      <c r="F184" t="s">
        <v>38</v>
      </c>
      <c r="G184" t="s">
        <v>1388</v>
      </c>
      <c r="H184" s="8">
        <v>0.06</v>
      </c>
      <c r="I184" s="2">
        <v>2.0178719999999997</v>
      </c>
      <c r="J184" s="7" t="s">
        <v>188</v>
      </c>
    </row>
    <row r="185" spans="1:10" ht="28.5">
      <c r="A185" t="s">
        <v>187</v>
      </c>
      <c r="B185" t="s">
        <v>1394</v>
      </c>
      <c r="C185" t="s">
        <v>1707</v>
      </c>
      <c r="D185" t="s">
        <v>1708</v>
      </c>
      <c r="E185" t="s">
        <v>879</v>
      </c>
      <c r="F185" t="s">
        <v>263</v>
      </c>
      <c r="G185" t="s">
        <v>1388</v>
      </c>
      <c r="H185" s="8">
        <v>0.03</v>
      </c>
      <c r="I185" s="2">
        <v>1.0089359999999998</v>
      </c>
      <c r="J185" s="7" t="s">
        <v>188</v>
      </c>
    </row>
    <row r="186" spans="1:10" ht="28.5">
      <c r="A186" t="s">
        <v>187</v>
      </c>
      <c r="B186" t="s">
        <v>1394</v>
      </c>
      <c r="C186" t="s">
        <v>1709</v>
      </c>
      <c r="D186" t="s">
        <v>1710</v>
      </c>
      <c r="E186" t="s">
        <v>1143</v>
      </c>
      <c r="F186" t="s">
        <v>41</v>
      </c>
      <c r="G186" t="s">
        <v>1388</v>
      </c>
      <c r="H186" s="8">
        <v>0.01</v>
      </c>
      <c r="I186" s="2">
        <v>0.336312</v>
      </c>
      <c r="J186" s="7" t="s">
        <v>188</v>
      </c>
    </row>
    <row r="187" spans="1:10" ht="28.5">
      <c r="A187" t="s">
        <v>187</v>
      </c>
      <c r="B187" t="s">
        <v>1394</v>
      </c>
      <c r="C187" t="s">
        <v>1711</v>
      </c>
      <c r="D187" t="s">
        <v>1712</v>
      </c>
      <c r="E187" t="s">
        <v>884</v>
      </c>
      <c r="F187" t="s">
        <v>23</v>
      </c>
      <c r="G187" t="s">
        <v>1388</v>
      </c>
      <c r="H187" s="8">
        <v>0.03</v>
      </c>
      <c r="I187" s="2">
        <v>1.0089359999999998</v>
      </c>
      <c r="J187" s="7" t="s">
        <v>188</v>
      </c>
    </row>
    <row r="188" spans="1:10" ht="28.5">
      <c r="A188" t="s">
        <v>187</v>
      </c>
      <c r="B188" t="s">
        <v>1394</v>
      </c>
      <c r="C188" t="s">
        <v>1713</v>
      </c>
      <c r="D188" t="s">
        <v>1714</v>
      </c>
      <c r="E188" t="s">
        <v>1302</v>
      </c>
      <c r="F188" t="s">
        <v>38</v>
      </c>
      <c r="G188" t="s">
        <v>1388</v>
      </c>
      <c r="H188" s="8">
        <v>0.01</v>
      </c>
      <c r="I188" s="2">
        <v>0.336312</v>
      </c>
      <c r="J188" s="7" t="s">
        <v>188</v>
      </c>
    </row>
    <row r="189" spans="1:10" ht="28.5">
      <c r="A189" t="s">
        <v>187</v>
      </c>
      <c r="B189" t="s">
        <v>1394</v>
      </c>
      <c r="C189" t="s">
        <v>1715</v>
      </c>
      <c r="D189" t="s">
        <v>1716</v>
      </c>
      <c r="E189" t="s">
        <v>431</v>
      </c>
      <c r="F189" t="s">
        <v>23</v>
      </c>
      <c r="G189" t="s">
        <v>1388</v>
      </c>
      <c r="H189" s="8">
        <v>0.09</v>
      </c>
      <c r="I189" s="2">
        <v>3.0268079999999999</v>
      </c>
      <c r="J189" s="7" t="s">
        <v>188</v>
      </c>
    </row>
    <row r="190" spans="1:10" ht="28.5">
      <c r="A190" t="s">
        <v>187</v>
      </c>
      <c r="B190" t="s">
        <v>1394</v>
      </c>
      <c r="C190" t="s">
        <v>1717</v>
      </c>
      <c r="D190" t="s">
        <v>1718</v>
      </c>
      <c r="E190" t="s">
        <v>164</v>
      </c>
      <c r="F190" t="s">
        <v>50</v>
      </c>
      <c r="G190" t="s">
        <v>1388</v>
      </c>
      <c r="H190" s="8">
        <v>0.04</v>
      </c>
      <c r="I190" s="2">
        <v>1.345248</v>
      </c>
      <c r="J190" s="7" t="s">
        <v>188</v>
      </c>
    </row>
    <row r="191" spans="1:10" ht="28.5">
      <c r="A191" t="s">
        <v>187</v>
      </c>
      <c r="B191" t="s">
        <v>1394</v>
      </c>
      <c r="C191" t="s">
        <v>1719</v>
      </c>
      <c r="D191" t="s">
        <v>1720</v>
      </c>
      <c r="E191" t="s">
        <v>956</v>
      </c>
      <c r="F191" t="s">
        <v>50</v>
      </c>
      <c r="G191" t="s">
        <v>1388</v>
      </c>
      <c r="H191" s="8">
        <v>0.01</v>
      </c>
      <c r="I191" s="2">
        <v>0.336312</v>
      </c>
      <c r="J191" s="7" t="s">
        <v>188</v>
      </c>
    </row>
    <row r="192" spans="1:10" ht="28.5">
      <c r="A192" t="s">
        <v>187</v>
      </c>
      <c r="B192" t="s">
        <v>1394</v>
      </c>
      <c r="C192" t="s">
        <v>1721</v>
      </c>
      <c r="D192" t="s">
        <v>1722</v>
      </c>
      <c r="E192" t="s">
        <v>1328</v>
      </c>
      <c r="F192" t="s">
        <v>263</v>
      </c>
      <c r="G192" t="s">
        <v>1388</v>
      </c>
      <c r="H192" s="8">
        <v>0.01</v>
      </c>
      <c r="I192" s="2">
        <v>0.336312</v>
      </c>
      <c r="J192" s="7" t="s">
        <v>188</v>
      </c>
    </row>
    <row r="193" spans="1:10" ht="28.5">
      <c r="A193" t="s">
        <v>187</v>
      </c>
      <c r="B193" t="s">
        <v>1394</v>
      </c>
      <c r="C193" t="s">
        <v>1723</v>
      </c>
      <c r="D193" t="s">
        <v>1724</v>
      </c>
      <c r="E193" t="s">
        <v>484</v>
      </c>
      <c r="F193" t="s">
        <v>50</v>
      </c>
      <c r="G193" t="s">
        <v>1388</v>
      </c>
      <c r="H193" s="8">
        <v>0.08</v>
      </c>
      <c r="I193" s="2">
        <v>2.690496</v>
      </c>
      <c r="J193" s="7" t="s">
        <v>188</v>
      </c>
    </row>
    <row r="194" spans="1:10" ht="28.5">
      <c r="A194" t="s">
        <v>187</v>
      </c>
      <c r="B194" t="s">
        <v>1394</v>
      </c>
      <c r="C194" t="s">
        <v>1725</v>
      </c>
      <c r="D194" t="s">
        <v>1726</v>
      </c>
      <c r="E194" t="s">
        <v>587</v>
      </c>
      <c r="F194" t="s">
        <v>124</v>
      </c>
      <c r="G194" t="s">
        <v>1388</v>
      </c>
      <c r="H194" s="8">
        <v>0.06</v>
      </c>
      <c r="I194" s="2">
        <v>2.0178719999999997</v>
      </c>
      <c r="J194" s="7" t="s">
        <v>188</v>
      </c>
    </row>
    <row r="195" spans="1:10" ht="28.5">
      <c r="A195" t="s">
        <v>187</v>
      </c>
      <c r="B195" t="s">
        <v>1394</v>
      </c>
      <c r="C195" t="s">
        <v>1727</v>
      </c>
      <c r="D195" t="s">
        <v>1728</v>
      </c>
      <c r="E195" t="s">
        <v>1030</v>
      </c>
      <c r="F195" t="s">
        <v>41</v>
      </c>
      <c r="G195" t="s">
        <v>1388</v>
      </c>
      <c r="H195" s="8">
        <v>0.02</v>
      </c>
      <c r="I195" s="2">
        <v>0.672624</v>
      </c>
      <c r="J195" s="7" t="s">
        <v>188</v>
      </c>
    </row>
    <row r="196" spans="1:10" ht="28.5">
      <c r="A196" t="s">
        <v>187</v>
      </c>
      <c r="B196" t="s">
        <v>1394</v>
      </c>
      <c r="C196" t="s">
        <v>1729</v>
      </c>
      <c r="D196" t="s">
        <v>1730</v>
      </c>
      <c r="E196" t="s">
        <v>1305</v>
      </c>
      <c r="F196" t="s">
        <v>23</v>
      </c>
      <c r="G196" t="s">
        <v>1388</v>
      </c>
      <c r="H196" s="8">
        <v>0.01</v>
      </c>
      <c r="I196" s="2">
        <v>0.336312</v>
      </c>
      <c r="J196" s="7" t="s">
        <v>188</v>
      </c>
    </row>
    <row r="197" spans="1:10" ht="28.5">
      <c r="A197" t="s">
        <v>187</v>
      </c>
      <c r="B197" t="s">
        <v>1394</v>
      </c>
      <c r="C197" t="s">
        <v>1731</v>
      </c>
      <c r="D197" t="s">
        <v>1732</v>
      </c>
      <c r="E197" t="s">
        <v>560</v>
      </c>
      <c r="F197" t="s">
        <v>23</v>
      </c>
      <c r="G197" t="s">
        <v>1388</v>
      </c>
      <c r="H197" s="8">
        <v>0.03</v>
      </c>
      <c r="I197" s="2">
        <v>1.0089359999999998</v>
      </c>
      <c r="J197" s="7" t="s">
        <v>188</v>
      </c>
    </row>
    <row r="198" spans="1:10" ht="28.5">
      <c r="A198" t="s">
        <v>187</v>
      </c>
      <c r="B198" t="s">
        <v>1394</v>
      </c>
      <c r="C198" t="s">
        <v>1733</v>
      </c>
      <c r="D198" t="s">
        <v>1734</v>
      </c>
      <c r="E198" t="s">
        <v>206</v>
      </c>
      <c r="F198" t="s">
        <v>23</v>
      </c>
      <c r="G198" t="s">
        <v>1388</v>
      </c>
      <c r="H198" s="8">
        <v>0.16</v>
      </c>
      <c r="I198" s="2">
        <v>5.380992</v>
      </c>
      <c r="J198" s="7" t="s">
        <v>188</v>
      </c>
    </row>
    <row r="199" spans="1:10" ht="28.5">
      <c r="A199" t="s">
        <v>187</v>
      </c>
      <c r="B199" t="s">
        <v>1394</v>
      </c>
      <c r="C199" t="s">
        <v>1735</v>
      </c>
      <c r="D199" t="s">
        <v>1736</v>
      </c>
      <c r="E199" t="s">
        <v>709</v>
      </c>
      <c r="F199" t="s">
        <v>23</v>
      </c>
      <c r="G199" t="s">
        <v>1388</v>
      </c>
      <c r="H199" s="8">
        <v>0.02</v>
      </c>
      <c r="I199" s="2">
        <v>0.672624</v>
      </c>
      <c r="J199" s="7" t="s">
        <v>188</v>
      </c>
    </row>
    <row r="200" spans="1:10" ht="28.5">
      <c r="A200" t="s">
        <v>187</v>
      </c>
      <c r="B200" t="s">
        <v>1394</v>
      </c>
      <c r="C200" t="s">
        <v>1737</v>
      </c>
      <c r="D200" t="s">
        <v>1738</v>
      </c>
      <c r="E200" t="s">
        <v>1222</v>
      </c>
      <c r="F200" t="s">
        <v>23</v>
      </c>
      <c r="G200" t="s">
        <v>1388</v>
      </c>
      <c r="H200" s="8">
        <v>0.01</v>
      </c>
      <c r="I200" s="2">
        <v>0.336312</v>
      </c>
      <c r="J200" s="7" t="s">
        <v>188</v>
      </c>
    </row>
    <row r="201" spans="1:10" ht="28.5">
      <c r="A201" t="s">
        <v>187</v>
      </c>
      <c r="B201" t="s">
        <v>1394</v>
      </c>
      <c r="C201" t="s">
        <v>1739</v>
      </c>
      <c r="D201" t="s">
        <v>1740</v>
      </c>
      <c r="E201" t="s">
        <v>711</v>
      </c>
      <c r="F201" t="s">
        <v>23</v>
      </c>
      <c r="G201" t="s">
        <v>1388</v>
      </c>
      <c r="H201" s="8">
        <v>0.02</v>
      </c>
      <c r="I201" s="2">
        <v>0.672624</v>
      </c>
      <c r="J201" s="7" t="s">
        <v>188</v>
      </c>
    </row>
    <row r="202" spans="1:10" ht="28.5">
      <c r="A202" t="s">
        <v>187</v>
      </c>
      <c r="B202" t="s">
        <v>1394</v>
      </c>
      <c r="C202" t="s">
        <v>1741</v>
      </c>
      <c r="D202" t="s">
        <v>1742</v>
      </c>
      <c r="E202" t="s">
        <v>190</v>
      </c>
      <c r="F202" t="s">
        <v>23</v>
      </c>
      <c r="G202" t="s">
        <v>1388</v>
      </c>
      <c r="H202" s="8">
        <v>0.22</v>
      </c>
      <c r="I202" s="2">
        <v>7.3988639999999997</v>
      </c>
      <c r="J202" s="7" t="s">
        <v>188</v>
      </c>
    </row>
    <row r="203" spans="1:10" ht="28.5">
      <c r="A203" t="s">
        <v>187</v>
      </c>
      <c r="B203" t="s">
        <v>1394</v>
      </c>
      <c r="C203" t="s">
        <v>1743</v>
      </c>
      <c r="D203" t="s">
        <v>1744</v>
      </c>
      <c r="E203" t="s">
        <v>1088</v>
      </c>
      <c r="F203" t="s">
        <v>38</v>
      </c>
      <c r="G203" t="s">
        <v>1388</v>
      </c>
      <c r="H203" s="8">
        <v>0.02</v>
      </c>
      <c r="I203" s="2">
        <v>0.672624</v>
      </c>
      <c r="J203" s="7" t="s">
        <v>188</v>
      </c>
    </row>
    <row r="204" spans="1:10" ht="28.5">
      <c r="A204" t="s">
        <v>187</v>
      </c>
      <c r="B204" t="s">
        <v>1394</v>
      </c>
      <c r="C204" t="s">
        <v>1745</v>
      </c>
      <c r="D204" t="s">
        <v>1746</v>
      </c>
      <c r="E204" t="s">
        <v>571</v>
      </c>
      <c r="F204" t="s">
        <v>23</v>
      </c>
      <c r="G204" t="s">
        <v>1388</v>
      </c>
      <c r="H204" s="8">
        <v>0.03</v>
      </c>
      <c r="I204" s="2">
        <v>1.0089359999999998</v>
      </c>
      <c r="J204" s="7" t="s">
        <v>188</v>
      </c>
    </row>
    <row r="205" spans="1:10" ht="28.5">
      <c r="A205" t="s">
        <v>187</v>
      </c>
      <c r="B205" t="s">
        <v>1394</v>
      </c>
      <c r="C205" t="s">
        <v>1747</v>
      </c>
      <c r="D205" t="s">
        <v>1748</v>
      </c>
      <c r="E205" t="s">
        <v>461</v>
      </c>
      <c r="F205" t="s">
        <v>23</v>
      </c>
      <c r="G205" t="s">
        <v>1388</v>
      </c>
      <c r="H205" s="8">
        <v>0.04</v>
      </c>
      <c r="I205" s="2">
        <v>1.345248</v>
      </c>
      <c r="J205" s="7" t="s">
        <v>188</v>
      </c>
    </row>
    <row r="206" spans="1:10" ht="28.5">
      <c r="A206" t="s">
        <v>187</v>
      </c>
      <c r="B206" t="s">
        <v>1394</v>
      </c>
      <c r="C206" t="s">
        <v>1749</v>
      </c>
      <c r="D206" t="s">
        <v>1750</v>
      </c>
      <c r="E206" t="s">
        <v>194</v>
      </c>
      <c r="F206" t="s">
        <v>23</v>
      </c>
      <c r="G206" t="s">
        <v>1388</v>
      </c>
      <c r="H206" s="8">
        <v>0.46</v>
      </c>
      <c r="I206" s="2">
        <v>15.470352</v>
      </c>
      <c r="J206" s="7" t="s">
        <v>188</v>
      </c>
    </row>
    <row r="207" spans="1:10" ht="28.5">
      <c r="A207" t="s">
        <v>187</v>
      </c>
      <c r="B207" t="s">
        <v>1394</v>
      </c>
      <c r="C207" t="s">
        <v>1751</v>
      </c>
      <c r="D207" t="s">
        <v>1752</v>
      </c>
      <c r="E207" t="s">
        <v>710</v>
      </c>
      <c r="F207" t="s">
        <v>23</v>
      </c>
      <c r="G207" t="s">
        <v>1388</v>
      </c>
      <c r="H207" s="8">
        <v>0.02</v>
      </c>
      <c r="I207" s="2">
        <v>0.672624</v>
      </c>
      <c r="J207" s="7" t="s">
        <v>188</v>
      </c>
    </row>
    <row r="208" spans="1:10" ht="28.5">
      <c r="A208" t="s">
        <v>187</v>
      </c>
      <c r="B208" t="s">
        <v>1394</v>
      </c>
      <c r="C208" t="s">
        <v>1753</v>
      </c>
      <c r="D208" t="s">
        <v>1754</v>
      </c>
      <c r="E208" t="s">
        <v>312</v>
      </c>
      <c r="F208" t="s">
        <v>23</v>
      </c>
      <c r="G208" t="s">
        <v>1388</v>
      </c>
      <c r="H208" s="8">
        <v>0.14000000000000001</v>
      </c>
      <c r="I208" s="2">
        <v>4.7083680000000001</v>
      </c>
      <c r="J208" s="7" t="s">
        <v>188</v>
      </c>
    </row>
    <row r="209" spans="1:10" ht="28.5">
      <c r="A209" t="s">
        <v>187</v>
      </c>
      <c r="B209" t="s">
        <v>1394</v>
      </c>
      <c r="C209" t="s">
        <v>1755</v>
      </c>
      <c r="D209" t="s">
        <v>1756</v>
      </c>
      <c r="E209" t="s">
        <v>333</v>
      </c>
      <c r="F209" t="s">
        <v>23</v>
      </c>
      <c r="G209" t="s">
        <v>1388</v>
      </c>
      <c r="H209" s="8">
        <v>0.13</v>
      </c>
      <c r="I209" s="2">
        <v>4.3720559999999997</v>
      </c>
      <c r="J209" s="7" t="s">
        <v>188</v>
      </c>
    </row>
    <row r="210" spans="1:10" ht="28.5">
      <c r="A210" t="s">
        <v>187</v>
      </c>
      <c r="B210" t="s">
        <v>1394</v>
      </c>
      <c r="C210" t="s">
        <v>1757</v>
      </c>
      <c r="D210" t="s">
        <v>1758</v>
      </c>
      <c r="E210" t="s">
        <v>255</v>
      </c>
      <c r="F210" t="s">
        <v>23</v>
      </c>
      <c r="G210" t="s">
        <v>1388</v>
      </c>
      <c r="H210" s="8">
        <v>0.12</v>
      </c>
      <c r="I210" s="2">
        <v>4.0357439999999993</v>
      </c>
      <c r="J210" s="7" t="s">
        <v>188</v>
      </c>
    </row>
    <row r="211" spans="1:10" ht="28.5">
      <c r="A211" t="s">
        <v>187</v>
      </c>
      <c r="B211" t="s">
        <v>1394</v>
      </c>
      <c r="C211" t="s">
        <v>1759</v>
      </c>
      <c r="D211" t="s">
        <v>1760</v>
      </c>
      <c r="E211" t="s">
        <v>1180</v>
      </c>
      <c r="F211" t="s">
        <v>23</v>
      </c>
      <c r="G211" t="s">
        <v>1388</v>
      </c>
      <c r="H211" s="8">
        <v>0.01</v>
      </c>
      <c r="I211" s="2">
        <v>0.336312</v>
      </c>
      <c r="J211" s="7" t="s">
        <v>188</v>
      </c>
    </row>
    <row r="212" spans="1:10" ht="28.5">
      <c r="A212" t="s">
        <v>187</v>
      </c>
      <c r="B212" t="s">
        <v>1394</v>
      </c>
      <c r="C212" t="s">
        <v>1761</v>
      </c>
      <c r="D212" t="s">
        <v>1762</v>
      </c>
      <c r="E212" t="s">
        <v>211</v>
      </c>
      <c r="F212" t="s">
        <v>23</v>
      </c>
      <c r="G212" t="s">
        <v>1388</v>
      </c>
      <c r="H212" s="8">
        <v>0.11</v>
      </c>
      <c r="I212" s="2">
        <v>3.6994319999999998</v>
      </c>
      <c r="J212" s="7" t="s">
        <v>188</v>
      </c>
    </row>
    <row r="213" spans="1:10" ht="28.5">
      <c r="A213" t="s">
        <v>187</v>
      </c>
      <c r="B213" t="s">
        <v>1394</v>
      </c>
      <c r="C213" t="s">
        <v>1763</v>
      </c>
      <c r="D213" t="s">
        <v>1764</v>
      </c>
      <c r="E213" t="s">
        <v>579</v>
      </c>
      <c r="F213" t="s">
        <v>41</v>
      </c>
      <c r="G213" t="s">
        <v>1388</v>
      </c>
      <c r="H213" s="8">
        <v>0.06</v>
      </c>
      <c r="I213" s="2">
        <v>2.0178719999999997</v>
      </c>
      <c r="J213" s="7" t="s">
        <v>188</v>
      </c>
    </row>
    <row r="214" spans="1:10" ht="28.5">
      <c r="A214" t="s">
        <v>187</v>
      </c>
      <c r="B214" t="s">
        <v>1394</v>
      </c>
      <c r="C214" t="s">
        <v>1765</v>
      </c>
      <c r="D214" t="s">
        <v>1766</v>
      </c>
      <c r="E214" t="s">
        <v>1311</v>
      </c>
      <c r="F214" t="s">
        <v>108</v>
      </c>
      <c r="G214" t="s">
        <v>1388</v>
      </c>
      <c r="H214" s="8">
        <v>0.01</v>
      </c>
      <c r="I214" s="2">
        <v>0.336312</v>
      </c>
      <c r="J214" s="7" t="s">
        <v>188</v>
      </c>
    </row>
    <row r="215" spans="1:10" ht="28.5">
      <c r="A215" t="s">
        <v>187</v>
      </c>
      <c r="B215" t="s">
        <v>1394</v>
      </c>
      <c r="C215" t="s">
        <v>1767</v>
      </c>
      <c r="D215" t="s">
        <v>1768</v>
      </c>
      <c r="E215" t="s">
        <v>339</v>
      </c>
      <c r="F215" t="s">
        <v>41</v>
      </c>
      <c r="G215" t="s">
        <v>1388</v>
      </c>
      <c r="H215" s="8">
        <v>0.06</v>
      </c>
      <c r="I215" s="2">
        <v>2.0178719999999997</v>
      </c>
      <c r="J215" s="7" t="s">
        <v>188</v>
      </c>
    </row>
    <row r="216" spans="1:10" ht="28.5">
      <c r="A216" t="s">
        <v>187</v>
      </c>
      <c r="B216" t="s">
        <v>1394</v>
      </c>
      <c r="C216" t="s">
        <v>1769</v>
      </c>
      <c r="D216" t="s">
        <v>1770</v>
      </c>
      <c r="E216" t="s">
        <v>1089</v>
      </c>
      <c r="F216" t="s">
        <v>23</v>
      </c>
      <c r="G216" t="s">
        <v>1388</v>
      </c>
      <c r="H216" s="8">
        <v>0.02</v>
      </c>
      <c r="I216" s="2">
        <v>0.672624</v>
      </c>
      <c r="J216" s="7" t="s">
        <v>188</v>
      </c>
    </row>
    <row r="217" spans="1:10" ht="28.5">
      <c r="A217" t="s">
        <v>187</v>
      </c>
      <c r="B217" t="s">
        <v>1394</v>
      </c>
      <c r="C217" t="s">
        <v>1771</v>
      </c>
      <c r="D217" t="s">
        <v>1772</v>
      </c>
      <c r="E217" t="s">
        <v>236</v>
      </c>
      <c r="F217" t="s">
        <v>33</v>
      </c>
      <c r="G217" t="s">
        <v>1388</v>
      </c>
      <c r="H217" s="8">
        <v>0.06</v>
      </c>
      <c r="I217" s="2">
        <v>2.0178719999999997</v>
      </c>
      <c r="J217" s="7" t="s">
        <v>188</v>
      </c>
    </row>
    <row r="218" spans="1:10" ht="28.5">
      <c r="A218" t="s">
        <v>187</v>
      </c>
      <c r="B218" t="s">
        <v>1394</v>
      </c>
      <c r="C218" t="s">
        <v>1773</v>
      </c>
      <c r="D218" t="s">
        <v>1774</v>
      </c>
      <c r="E218" t="s">
        <v>1353</v>
      </c>
      <c r="F218" t="s">
        <v>23</v>
      </c>
      <c r="G218" t="s">
        <v>1388</v>
      </c>
      <c r="H218" s="8">
        <v>0</v>
      </c>
      <c r="I218" s="2">
        <v>0</v>
      </c>
      <c r="J218" s="7" t="s">
        <v>188</v>
      </c>
    </row>
    <row r="219" spans="1:10" ht="28.5">
      <c r="A219" t="s">
        <v>187</v>
      </c>
      <c r="B219" t="s">
        <v>1394</v>
      </c>
      <c r="C219" t="s">
        <v>1775</v>
      </c>
      <c r="D219" t="s">
        <v>1776</v>
      </c>
      <c r="E219" t="s">
        <v>952</v>
      </c>
      <c r="F219" t="s">
        <v>27</v>
      </c>
      <c r="G219" t="s">
        <v>1388</v>
      </c>
      <c r="H219" s="8">
        <v>0.01</v>
      </c>
      <c r="I219" s="2">
        <v>0.336312</v>
      </c>
      <c r="J219" s="7" t="s">
        <v>188</v>
      </c>
    </row>
    <row r="220" spans="1:10" ht="28.5">
      <c r="A220" t="s">
        <v>187</v>
      </c>
      <c r="B220" t="s">
        <v>1394</v>
      </c>
      <c r="C220" t="s">
        <v>1777</v>
      </c>
      <c r="D220" t="s">
        <v>1778</v>
      </c>
      <c r="E220" t="s">
        <v>1017</v>
      </c>
      <c r="F220" t="s">
        <v>25</v>
      </c>
      <c r="G220" t="s">
        <v>1388</v>
      </c>
      <c r="H220" s="8">
        <v>0.02</v>
      </c>
      <c r="I220" s="2">
        <v>0.672624</v>
      </c>
      <c r="J220" s="7" t="s">
        <v>188</v>
      </c>
    </row>
    <row r="221" spans="1:10" ht="28.5">
      <c r="A221" t="s">
        <v>187</v>
      </c>
      <c r="B221" t="s">
        <v>1394</v>
      </c>
      <c r="C221" t="s">
        <v>1779</v>
      </c>
      <c r="D221" t="s">
        <v>1780</v>
      </c>
      <c r="E221" t="s">
        <v>342</v>
      </c>
      <c r="F221" t="s">
        <v>33</v>
      </c>
      <c r="G221" t="s">
        <v>1388</v>
      </c>
      <c r="H221" s="8">
        <v>0.05</v>
      </c>
      <c r="I221" s="2">
        <v>1.6815600000000002</v>
      </c>
      <c r="J221" s="7" t="s">
        <v>188</v>
      </c>
    </row>
    <row r="222" spans="1:10" ht="28.5">
      <c r="A222" t="s">
        <v>187</v>
      </c>
      <c r="B222" t="s">
        <v>1394</v>
      </c>
      <c r="C222" t="s">
        <v>1781</v>
      </c>
      <c r="D222" t="s">
        <v>1782</v>
      </c>
      <c r="E222" t="s">
        <v>1241</v>
      </c>
      <c r="F222" t="s">
        <v>108</v>
      </c>
      <c r="G222" t="s">
        <v>1388</v>
      </c>
      <c r="H222" s="8">
        <v>0.01</v>
      </c>
      <c r="I222" s="2">
        <v>0.336312</v>
      </c>
      <c r="J222" s="7" t="s">
        <v>188</v>
      </c>
    </row>
    <row r="223" spans="1:10" ht="28.5">
      <c r="A223" t="s">
        <v>187</v>
      </c>
      <c r="B223" t="s">
        <v>1394</v>
      </c>
      <c r="C223" t="s">
        <v>1783</v>
      </c>
      <c r="D223" t="s">
        <v>1784</v>
      </c>
      <c r="E223" t="s">
        <v>1324</v>
      </c>
      <c r="F223" t="s">
        <v>50</v>
      </c>
      <c r="G223" t="s">
        <v>1388</v>
      </c>
      <c r="H223" s="8">
        <v>0.01</v>
      </c>
      <c r="I223" s="2">
        <v>0.336312</v>
      </c>
      <c r="J223" s="7" t="s">
        <v>188</v>
      </c>
    </row>
    <row r="224" spans="1:10" ht="28.5">
      <c r="A224" t="s">
        <v>187</v>
      </c>
      <c r="B224" t="s">
        <v>1394</v>
      </c>
      <c r="C224" t="s">
        <v>1785</v>
      </c>
      <c r="D224" t="s">
        <v>1786</v>
      </c>
      <c r="E224" t="s">
        <v>1225</v>
      </c>
      <c r="F224" t="s">
        <v>50</v>
      </c>
      <c r="G224" t="s">
        <v>1388</v>
      </c>
      <c r="H224" s="8">
        <v>0.01</v>
      </c>
      <c r="I224" s="2">
        <v>0.336312</v>
      </c>
      <c r="J224" s="7" t="s">
        <v>188</v>
      </c>
    </row>
    <row r="225" spans="1:10" ht="28.5">
      <c r="A225" t="s">
        <v>187</v>
      </c>
      <c r="B225" t="s">
        <v>1394</v>
      </c>
      <c r="C225" t="s">
        <v>1787</v>
      </c>
      <c r="D225" t="s">
        <v>1788</v>
      </c>
      <c r="E225" t="s">
        <v>22</v>
      </c>
      <c r="F225" t="s">
        <v>23</v>
      </c>
      <c r="G225" t="s">
        <v>1388</v>
      </c>
      <c r="H225" s="8">
        <v>0.76</v>
      </c>
      <c r="I225" s="2">
        <v>25.559712000000001</v>
      </c>
      <c r="J225" s="7" t="s">
        <v>188</v>
      </c>
    </row>
    <row r="226" spans="1:10" ht="28.5">
      <c r="A226" t="s">
        <v>187</v>
      </c>
      <c r="B226" t="s">
        <v>1394</v>
      </c>
      <c r="C226" t="s">
        <v>1789</v>
      </c>
      <c r="D226" t="s">
        <v>1790</v>
      </c>
      <c r="E226" t="s">
        <v>1063</v>
      </c>
      <c r="F226" t="s">
        <v>38</v>
      </c>
      <c r="G226" t="s">
        <v>1388</v>
      </c>
      <c r="H226" s="8">
        <v>0.02</v>
      </c>
      <c r="I226" s="2">
        <v>0.672624</v>
      </c>
      <c r="J226" s="7" t="s">
        <v>188</v>
      </c>
    </row>
    <row r="227" spans="1:10" ht="28.5">
      <c r="A227" t="s">
        <v>187</v>
      </c>
      <c r="B227" t="s">
        <v>1394</v>
      </c>
      <c r="C227" t="s">
        <v>1791</v>
      </c>
      <c r="D227" t="s">
        <v>1792</v>
      </c>
      <c r="E227" t="s">
        <v>232</v>
      </c>
      <c r="F227" t="s">
        <v>41</v>
      </c>
      <c r="G227" t="s">
        <v>1388</v>
      </c>
      <c r="H227" s="8">
        <v>0.23</v>
      </c>
      <c r="I227" s="2">
        <v>7.7351760000000001</v>
      </c>
      <c r="J227" s="7" t="s">
        <v>188</v>
      </c>
    </row>
    <row r="228" spans="1:10" ht="28.5">
      <c r="A228" t="s">
        <v>187</v>
      </c>
      <c r="B228" t="s">
        <v>1394</v>
      </c>
      <c r="C228" t="s">
        <v>1793</v>
      </c>
      <c r="D228" t="s">
        <v>1794</v>
      </c>
      <c r="E228" t="s">
        <v>408</v>
      </c>
      <c r="F228" t="s">
        <v>33</v>
      </c>
      <c r="G228" t="s">
        <v>1388</v>
      </c>
      <c r="H228" s="8">
        <v>0.03</v>
      </c>
      <c r="I228" s="2">
        <v>1.0089359999999998</v>
      </c>
      <c r="J228" s="7" t="s">
        <v>188</v>
      </c>
    </row>
    <row r="229" spans="1:10" ht="28.5">
      <c r="A229" t="s">
        <v>187</v>
      </c>
      <c r="B229" t="s">
        <v>1394</v>
      </c>
      <c r="C229" t="s">
        <v>1795</v>
      </c>
      <c r="D229" t="s">
        <v>1796</v>
      </c>
      <c r="E229" t="s">
        <v>1368</v>
      </c>
      <c r="F229" t="s">
        <v>33</v>
      </c>
      <c r="G229" t="s">
        <v>1388</v>
      </c>
      <c r="H229" s="8">
        <v>0</v>
      </c>
      <c r="I229" s="2">
        <v>0</v>
      </c>
      <c r="J229" s="7" t="s">
        <v>188</v>
      </c>
    </row>
    <row r="230" spans="1:10" ht="28.5">
      <c r="A230" t="s">
        <v>187</v>
      </c>
      <c r="B230" t="s">
        <v>1394</v>
      </c>
      <c r="C230" t="s">
        <v>1797</v>
      </c>
      <c r="D230" t="s">
        <v>1798</v>
      </c>
      <c r="E230" t="s">
        <v>1367</v>
      </c>
      <c r="F230" t="s">
        <v>253</v>
      </c>
      <c r="G230" t="s">
        <v>1388</v>
      </c>
      <c r="H230" s="8">
        <v>0</v>
      </c>
      <c r="I230" s="2">
        <v>0</v>
      </c>
      <c r="J230" s="7" t="s">
        <v>188</v>
      </c>
    </row>
    <row r="231" spans="1:10" ht="28.5">
      <c r="A231" t="s">
        <v>187</v>
      </c>
      <c r="B231" t="s">
        <v>1394</v>
      </c>
      <c r="C231" t="s">
        <v>1799</v>
      </c>
      <c r="D231" t="s">
        <v>1800</v>
      </c>
      <c r="E231" t="s">
        <v>97</v>
      </c>
      <c r="F231" t="s">
        <v>23</v>
      </c>
      <c r="G231" t="s">
        <v>1388</v>
      </c>
      <c r="H231" s="8">
        <v>0.18</v>
      </c>
      <c r="I231" s="2">
        <v>6.0536159999999999</v>
      </c>
      <c r="J231" s="7" t="s">
        <v>188</v>
      </c>
    </row>
    <row r="232" spans="1:10" ht="28.5">
      <c r="A232" t="s">
        <v>187</v>
      </c>
      <c r="B232" t="s">
        <v>1394</v>
      </c>
      <c r="C232" t="s">
        <v>1801</v>
      </c>
      <c r="D232" t="s">
        <v>1802</v>
      </c>
      <c r="E232" t="s">
        <v>379</v>
      </c>
      <c r="F232" t="s">
        <v>23</v>
      </c>
      <c r="G232" t="s">
        <v>1388</v>
      </c>
      <c r="H232" s="8">
        <v>0.11</v>
      </c>
      <c r="I232" s="2">
        <v>3.6994319999999998</v>
      </c>
      <c r="J232" s="7" t="s">
        <v>188</v>
      </c>
    </row>
    <row r="233" spans="1:10" ht="28.5">
      <c r="A233" t="s">
        <v>187</v>
      </c>
      <c r="B233" t="s">
        <v>1394</v>
      </c>
      <c r="C233" t="s">
        <v>1803</v>
      </c>
      <c r="D233" t="s">
        <v>1804</v>
      </c>
      <c r="E233" t="s">
        <v>676</v>
      </c>
      <c r="F233" t="s">
        <v>23</v>
      </c>
      <c r="G233" t="s">
        <v>1388</v>
      </c>
      <c r="H233" s="8">
        <v>0.05</v>
      </c>
      <c r="I233" s="2">
        <v>1.6815600000000002</v>
      </c>
      <c r="J233" s="7" t="s">
        <v>188</v>
      </c>
    </row>
    <row r="234" spans="1:10" ht="28.5">
      <c r="A234" t="s">
        <v>187</v>
      </c>
      <c r="B234" t="s">
        <v>1394</v>
      </c>
      <c r="C234" t="s">
        <v>1805</v>
      </c>
      <c r="D234" t="s">
        <v>1806</v>
      </c>
      <c r="E234" t="s">
        <v>584</v>
      </c>
      <c r="F234" t="s">
        <v>50</v>
      </c>
      <c r="G234" t="s">
        <v>1388</v>
      </c>
      <c r="H234" s="8">
        <v>0.06</v>
      </c>
      <c r="I234" s="2">
        <v>2.0178719999999997</v>
      </c>
      <c r="J234" s="7" t="s">
        <v>188</v>
      </c>
    </row>
    <row r="235" spans="1:10" ht="28.5">
      <c r="A235" t="s">
        <v>187</v>
      </c>
      <c r="B235" t="s">
        <v>1394</v>
      </c>
      <c r="C235" t="s">
        <v>1807</v>
      </c>
      <c r="D235" t="s">
        <v>1808</v>
      </c>
      <c r="E235" t="s">
        <v>292</v>
      </c>
      <c r="F235" t="s">
        <v>38</v>
      </c>
      <c r="G235" t="s">
        <v>1388</v>
      </c>
      <c r="H235" s="8">
        <v>0.03</v>
      </c>
      <c r="I235" s="2">
        <v>1.0089359999999998</v>
      </c>
      <c r="J235" s="7" t="s">
        <v>188</v>
      </c>
    </row>
    <row r="236" spans="1:10" ht="28.5">
      <c r="A236" t="s">
        <v>187</v>
      </c>
      <c r="B236" t="s">
        <v>1394</v>
      </c>
      <c r="C236" t="s">
        <v>1809</v>
      </c>
      <c r="D236" t="s">
        <v>1810</v>
      </c>
      <c r="E236" t="s">
        <v>198</v>
      </c>
      <c r="F236" t="s">
        <v>23</v>
      </c>
      <c r="G236" t="s">
        <v>1388</v>
      </c>
      <c r="H236" s="8">
        <v>0.13</v>
      </c>
      <c r="I236" s="2">
        <v>4.3720559999999997</v>
      </c>
      <c r="J236" s="7" t="s">
        <v>188</v>
      </c>
    </row>
    <row r="237" spans="1:10" ht="28.5">
      <c r="A237" t="s">
        <v>187</v>
      </c>
      <c r="B237" t="s">
        <v>1394</v>
      </c>
      <c r="C237" t="s">
        <v>1811</v>
      </c>
      <c r="D237" t="s">
        <v>1812</v>
      </c>
      <c r="E237" t="s">
        <v>624</v>
      </c>
      <c r="F237" t="s">
        <v>23</v>
      </c>
      <c r="G237" t="s">
        <v>1388</v>
      </c>
      <c r="H237" s="8">
        <v>0.03</v>
      </c>
      <c r="I237" s="2">
        <v>1.0089359999999998</v>
      </c>
      <c r="J237" s="7" t="s">
        <v>188</v>
      </c>
    </row>
    <row r="238" spans="1:10" ht="28.5">
      <c r="A238" t="s">
        <v>187</v>
      </c>
      <c r="B238" t="s">
        <v>1394</v>
      </c>
      <c r="C238" t="s">
        <v>1813</v>
      </c>
      <c r="D238" t="s">
        <v>1814</v>
      </c>
      <c r="E238" t="s">
        <v>273</v>
      </c>
      <c r="F238" t="s">
        <v>50</v>
      </c>
      <c r="G238" t="s">
        <v>1388</v>
      </c>
      <c r="H238" s="8">
        <v>0.18</v>
      </c>
      <c r="I238" s="2">
        <v>6.0536159999999999</v>
      </c>
      <c r="J238" s="7" t="s">
        <v>188</v>
      </c>
    </row>
    <row r="239" spans="1:10" ht="28.5">
      <c r="A239" t="s">
        <v>187</v>
      </c>
      <c r="B239" t="s">
        <v>1394</v>
      </c>
      <c r="C239" t="s">
        <v>1815</v>
      </c>
      <c r="D239" t="s">
        <v>1816</v>
      </c>
      <c r="E239" t="s">
        <v>646</v>
      </c>
      <c r="F239" t="s">
        <v>41</v>
      </c>
      <c r="G239" t="s">
        <v>1388</v>
      </c>
      <c r="H239" s="8">
        <v>0.02</v>
      </c>
      <c r="I239" s="2">
        <v>0.672624</v>
      </c>
      <c r="J239" s="7" t="s">
        <v>188</v>
      </c>
    </row>
    <row r="240" spans="1:10" ht="28.5">
      <c r="A240" t="s">
        <v>187</v>
      </c>
      <c r="B240" t="s">
        <v>1394</v>
      </c>
      <c r="C240" t="s">
        <v>1815</v>
      </c>
      <c r="D240" t="s">
        <v>1817</v>
      </c>
      <c r="E240" t="s">
        <v>1334</v>
      </c>
      <c r="F240" t="s">
        <v>124</v>
      </c>
      <c r="G240" t="s">
        <v>1388</v>
      </c>
      <c r="H240" s="8">
        <v>0</v>
      </c>
      <c r="I240" s="2">
        <v>0</v>
      </c>
      <c r="J240" s="7" t="s">
        <v>188</v>
      </c>
    </row>
    <row r="241" spans="1:10" ht="28.5">
      <c r="A241" t="s">
        <v>187</v>
      </c>
      <c r="B241" t="s">
        <v>1394</v>
      </c>
      <c r="C241" t="s">
        <v>1818</v>
      </c>
      <c r="D241" t="s">
        <v>1819</v>
      </c>
      <c r="E241" t="s">
        <v>999</v>
      </c>
      <c r="F241" t="s">
        <v>50</v>
      </c>
      <c r="G241" t="s">
        <v>1388</v>
      </c>
      <c r="H241" s="8">
        <v>0.02</v>
      </c>
      <c r="I241" s="2">
        <v>0.672624</v>
      </c>
      <c r="J241" s="7" t="s">
        <v>188</v>
      </c>
    </row>
    <row r="242" spans="1:10" ht="28.5">
      <c r="A242" t="s">
        <v>187</v>
      </c>
      <c r="B242" t="s">
        <v>1394</v>
      </c>
      <c r="C242" t="s">
        <v>1820</v>
      </c>
      <c r="D242" t="s">
        <v>1821</v>
      </c>
      <c r="E242" t="s">
        <v>52</v>
      </c>
      <c r="F242" t="s">
        <v>38</v>
      </c>
      <c r="G242" t="s">
        <v>1388</v>
      </c>
      <c r="H242" s="8">
        <v>0.17</v>
      </c>
      <c r="I242" s="2">
        <v>5.7173040000000004</v>
      </c>
      <c r="J242" s="7" t="s">
        <v>188</v>
      </c>
    </row>
    <row r="243" spans="1:10" ht="28.5">
      <c r="A243" t="s">
        <v>187</v>
      </c>
      <c r="B243" t="s">
        <v>1394</v>
      </c>
      <c r="C243" t="s">
        <v>1822</v>
      </c>
      <c r="D243" t="s">
        <v>1823</v>
      </c>
      <c r="E243" t="s">
        <v>521</v>
      </c>
      <c r="F243" t="s">
        <v>33</v>
      </c>
      <c r="G243" t="s">
        <v>1388</v>
      </c>
      <c r="H243" s="8">
        <v>7.0000000000000007E-2</v>
      </c>
      <c r="I243" s="2">
        <v>2.3541840000000001</v>
      </c>
      <c r="J243" s="7" t="s">
        <v>188</v>
      </c>
    </row>
    <row r="244" spans="1:10" ht="28.5">
      <c r="A244" t="s">
        <v>187</v>
      </c>
      <c r="B244" t="s">
        <v>1394</v>
      </c>
      <c r="C244" t="s">
        <v>1824</v>
      </c>
      <c r="D244" t="s">
        <v>1825</v>
      </c>
      <c r="E244" t="s">
        <v>638</v>
      </c>
      <c r="F244" t="s">
        <v>50</v>
      </c>
      <c r="G244" t="s">
        <v>1388</v>
      </c>
      <c r="H244" s="8">
        <v>0.01</v>
      </c>
      <c r="I244" s="2">
        <v>0.336312</v>
      </c>
      <c r="J244" s="7" t="s">
        <v>188</v>
      </c>
    </row>
    <row r="245" spans="1:10" ht="28.5">
      <c r="A245" t="s">
        <v>187</v>
      </c>
      <c r="B245" t="s">
        <v>1394</v>
      </c>
      <c r="C245" t="s">
        <v>1826</v>
      </c>
      <c r="D245" t="s">
        <v>1827</v>
      </c>
      <c r="E245" t="s">
        <v>230</v>
      </c>
      <c r="F245" t="s">
        <v>124</v>
      </c>
      <c r="G245" t="s">
        <v>1388</v>
      </c>
      <c r="H245" s="8">
        <v>0.12</v>
      </c>
      <c r="I245" s="2">
        <v>4.0357439999999993</v>
      </c>
      <c r="J245" s="7" t="s">
        <v>188</v>
      </c>
    </row>
    <row r="246" spans="1:10" ht="28.5">
      <c r="A246" t="s">
        <v>187</v>
      </c>
      <c r="B246" t="s">
        <v>1394</v>
      </c>
      <c r="C246" t="s">
        <v>1828</v>
      </c>
      <c r="D246" t="s">
        <v>1829</v>
      </c>
      <c r="E246" t="s">
        <v>634</v>
      </c>
      <c r="F246" t="s">
        <v>23</v>
      </c>
      <c r="G246" t="s">
        <v>1388</v>
      </c>
      <c r="H246" s="8">
        <v>0.03</v>
      </c>
      <c r="I246" s="2">
        <v>1.0089359999999998</v>
      </c>
      <c r="J246" s="7" t="s">
        <v>188</v>
      </c>
    </row>
    <row r="247" spans="1:10" ht="28.5">
      <c r="A247" t="s">
        <v>187</v>
      </c>
      <c r="B247" t="s">
        <v>1394</v>
      </c>
      <c r="C247" t="s">
        <v>1830</v>
      </c>
      <c r="D247" t="s">
        <v>1831</v>
      </c>
      <c r="E247" t="s">
        <v>1052</v>
      </c>
      <c r="F247" t="s">
        <v>50</v>
      </c>
      <c r="G247" t="s">
        <v>1388</v>
      </c>
      <c r="H247" s="8">
        <v>0.02</v>
      </c>
      <c r="I247" s="2">
        <v>0.672624</v>
      </c>
      <c r="J247" s="7" t="s">
        <v>188</v>
      </c>
    </row>
    <row r="248" spans="1:10" ht="28.5">
      <c r="A248" t="s">
        <v>187</v>
      </c>
      <c r="B248" t="s">
        <v>1394</v>
      </c>
      <c r="C248" t="s">
        <v>1832</v>
      </c>
      <c r="D248" t="s">
        <v>1833</v>
      </c>
      <c r="E248" t="s">
        <v>937</v>
      </c>
      <c r="F248" t="s">
        <v>50</v>
      </c>
      <c r="G248" t="s">
        <v>1388</v>
      </c>
      <c r="H248" s="8">
        <v>0.01</v>
      </c>
      <c r="I248" s="2">
        <v>0.336312</v>
      </c>
      <c r="J248" s="7" t="s">
        <v>188</v>
      </c>
    </row>
    <row r="249" spans="1:10" ht="28.5">
      <c r="A249" t="s">
        <v>187</v>
      </c>
      <c r="B249" t="s">
        <v>1394</v>
      </c>
      <c r="C249" t="s">
        <v>1834</v>
      </c>
      <c r="D249" t="s">
        <v>1835</v>
      </c>
      <c r="E249" t="s">
        <v>390</v>
      </c>
      <c r="F249" t="s">
        <v>38</v>
      </c>
      <c r="G249" t="s">
        <v>1388</v>
      </c>
      <c r="H249" s="8">
        <v>0.03</v>
      </c>
      <c r="I249" s="2">
        <v>1.0089359999999998</v>
      </c>
      <c r="J249" s="7" t="s">
        <v>188</v>
      </c>
    </row>
    <row r="250" spans="1:10" ht="28.5">
      <c r="A250" t="s">
        <v>187</v>
      </c>
      <c r="B250" t="s">
        <v>1394</v>
      </c>
      <c r="C250" t="s">
        <v>1836</v>
      </c>
      <c r="D250" t="s">
        <v>1837</v>
      </c>
      <c r="E250" t="s">
        <v>199</v>
      </c>
      <c r="F250" t="s">
        <v>33</v>
      </c>
      <c r="G250" t="s">
        <v>1388</v>
      </c>
      <c r="H250" s="8">
        <v>0.14000000000000001</v>
      </c>
      <c r="I250" s="2">
        <v>4.7083680000000001</v>
      </c>
      <c r="J250" s="7" t="s">
        <v>188</v>
      </c>
    </row>
    <row r="251" spans="1:10" ht="28.5">
      <c r="A251" t="s">
        <v>187</v>
      </c>
      <c r="B251" t="s">
        <v>1394</v>
      </c>
      <c r="C251" t="s">
        <v>1838</v>
      </c>
      <c r="D251" t="s">
        <v>1839</v>
      </c>
      <c r="E251" t="s">
        <v>185</v>
      </c>
      <c r="F251" t="s">
        <v>108</v>
      </c>
      <c r="G251" t="s">
        <v>1388</v>
      </c>
      <c r="H251" s="8">
        <v>0.14000000000000001</v>
      </c>
      <c r="I251" s="2">
        <v>4.7083680000000001</v>
      </c>
      <c r="J251" s="7" t="s">
        <v>188</v>
      </c>
    </row>
    <row r="252" spans="1:10" ht="28.5">
      <c r="A252" t="s">
        <v>187</v>
      </c>
      <c r="B252" t="s">
        <v>1394</v>
      </c>
      <c r="C252" t="s">
        <v>1412</v>
      </c>
      <c r="D252" t="s">
        <v>1413</v>
      </c>
      <c r="E252" t="s">
        <v>43</v>
      </c>
      <c r="F252" t="s">
        <v>25</v>
      </c>
      <c r="G252" t="s">
        <v>1388</v>
      </c>
      <c r="H252" s="8">
        <v>1.87</v>
      </c>
      <c r="I252" s="2">
        <v>62.890344000000006</v>
      </c>
      <c r="J252" s="7" t="s">
        <v>188</v>
      </c>
    </row>
    <row r="253" spans="1:10" ht="28.5">
      <c r="A253" t="s">
        <v>187</v>
      </c>
      <c r="B253" t="s">
        <v>1394</v>
      </c>
      <c r="C253" t="s">
        <v>1840</v>
      </c>
      <c r="D253" t="s">
        <v>1841</v>
      </c>
      <c r="E253" t="s">
        <v>1067</v>
      </c>
      <c r="F253" t="s">
        <v>50</v>
      </c>
      <c r="G253" t="s">
        <v>1388</v>
      </c>
      <c r="H253" s="8">
        <v>0.02</v>
      </c>
      <c r="I253" s="2">
        <v>0.672624</v>
      </c>
      <c r="J253" s="7" t="s">
        <v>188</v>
      </c>
    </row>
    <row r="254" spans="1:10" ht="28.5">
      <c r="A254" t="s">
        <v>187</v>
      </c>
      <c r="B254" t="s">
        <v>1394</v>
      </c>
      <c r="C254" t="s">
        <v>1842</v>
      </c>
      <c r="D254" t="s">
        <v>1843</v>
      </c>
      <c r="E254" t="s">
        <v>1011</v>
      </c>
      <c r="F254" t="s">
        <v>23</v>
      </c>
      <c r="G254" t="s">
        <v>1388</v>
      </c>
      <c r="H254" s="8">
        <v>0.02</v>
      </c>
      <c r="I254" s="2">
        <v>0.672624</v>
      </c>
      <c r="J254" s="7" t="s">
        <v>188</v>
      </c>
    </row>
    <row r="255" spans="1:10" ht="28.5">
      <c r="A255" t="s">
        <v>187</v>
      </c>
      <c r="B255" t="s">
        <v>1394</v>
      </c>
      <c r="C255" t="s">
        <v>1844</v>
      </c>
      <c r="D255" t="s">
        <v>1845</v>
      </c>
      <c r="E255" t="s">
        <v>400</v>
      </c>
      <c r="F255" t="s">
        <v>23</v>
      </c>
      <c r="G255" t="s">
        <v>1388</v>
      </c>
      <c r="H255" s="8">
        <v>0.1</v>
      </c>
      <c r="I255" s="2">
        <v>3.3631200000000003</v>
      </c>
      <c r="J255" s="7" t="s">
        <v>188</v>
      </c>
    </row>
    <row r="256" spans="1:10" ht="28.5">
      <c r="A256" t="s">
        <v>187</v>
      </c>
      <c r="B256" t="s">
        <v>1394</v>
      </c>
      <c r="C256" t="s">
        <v>1846</v>
      </c>
      <c r="D256" t="s">
        <v>1847</v>
      </c>
      <c r="E256" t="s">
        <v>1362</v>
      </c>
      <c r="F256" t="s">
        <v>253</v>
      </c>
      <c r="G256" t="s">
        <v>1388</v>
      </c>
      <c r="H256" s="8">
        <v>0</v>
      </c>
      <c r="I256" s="2">
        <v>0</v>
      </c>
      <c r="J256" s="7" t="s">
        <v>188</v>
      </c>
    </row>
    <row r="257" spans="1:10" ht="28.5">
      <c r="A257" t="s">
        <v>187</v>
      </c>
      <c r="B257" t="s">
        <v>1394</v>
      </c>
      <c r="C257" t="s">
        <v>1848</v>
      </c>
      <c r="D257" t="s">
        <v>1849</v>
      </c>
      <c r="E257" t="s">
        <v>1006</v>
      </c>
      <c r="F257" t="s">
        <v>23</v>
      </c>
      <c r="G257" t="s">
        <v>1388</v>
      </c>
      <c r="H257" s="8">
        <v>0.02</v>
      </c>
      <c r="I257" s="2">
        <v>0.672624</v>
      </c>
      <c r="J257" s="7" t="s">
        <v>188</v>
      </c>
    </row>
    <row r="258" spans="1:10" ht="28.5">
      <c r="A258" t="s">
        <v>187</v>
      </c>
      <c r="B258" t="s">
        <v>1394</v>
      </c>
      <c r="C258" t="s">
        <v>1850</v>
      </c>
      <c r="D258" t="s">
        <v>1851</v>
      </c>
      <c r="E258" t="s">
        <v>497</v>
      </c>
      <c r="F258" t="s">
        <v>27</v>
      </c>
      <c r="G258" t="s">
        <v>1388</v>
      </c>
      <c r="H258" s="8">
        <v>0.02</v>
      </c>
      <c r="I258" s="2">
        <v>0.672624</v>
      </c>
      <c r="J258" s="7" t="s">
        <v>188</v>
      </c>
    </row>
    <row r="259" spans="1:10" ht="28.5">
      <c r="A259" t="s">
        <v>187</v>
      </c>
      <c r="B259" t="s">
        <v>1394</v>
      </c>
      <c r="C259" t="s">
        <v>1769</v>
      </c>
      <c r="D259" t="s">
        <v>1852</v>
      </c>
      <c r="E259" t="s">
        <v>545</v>
      </c>
      <c r="F259" t="s">
        <v>108</v>
      </c>
      <c r="G259" t="s">
        <v>1388</v>
      </c>
      <c r="H259" s="8">
        <v>0.02</v>
      </c>
      <c r="I259" s="2">
        <v>0.672624</v>
      </c>
      <c r="J259" s="7" t="s">
        <v>188</v>
      </c>
    </row>
    <row r="260" spans="1:10" ht="28.5">
      <c r="A260" t="s">
        <v>187</v>
      </c>
      <c r="B260" t="s">
        <v>1394</v>
      </c>
      <c r="C260" t="s">
        <v>1853</v>
      </c>
      <c r="D260" t="s">
        <v>1854</v>
      </c>
      <c r="E260" t="s">
        <v>1154</v>
      </c>
      <c r="F260" t="s">
        <v>50</v>
      </c>
      <c r="G260" t="s">
        <v>1388</v>
      </c>
      <c r="H260" s="8">
        <v>0.01</v>
      </c>
      <c r="I260" s="2">
        <v>0.336312</v>
      </c>
      <c r="J260" s="7" t="s">
        <v>188</v>
      </c>
    </row>
    <row r="261" spans="1:10" ht="28.5">
      <c r="A261" t="s">
        <v>187</v>
      </c>
      <c r="B261" t="s">
        <v>1394</v>
      </c>
      <c r="C261" t="s">
        <v>1855</v>
      </c>
      <c r="D261" t="s">
        <v>1856</v>
      </c>
      <c r="E261" t="s">
        <v>1203</v>
      </c>
      <c r="F261" t="s">
        <v>50</v>
      </c>
      <c r="G261" t="s">
        <v>1388</v>
      </c>
      <c r="H261" s="8">
        <v>0.01</v>
      </c>
      <c r="I261" s="2">
        <v>0.336312</v>
      </c>
      <c r="J261" s="7" t="s">
        <v>188</v>
      </c>
    </row>
    <row r="262" spans="1:10" ht="28.5">
      <c r="A262" t="s">
        <v>187</v>
      </c>
      <c r="B262" t="s">
        <v>1394</v>
      </c>
      <c r="C262" t="s">
        <v>1857</v>
      </c>
      <c r="D262" t="s">
        <v>1858</v>
      </c>
      <c r="E262" t="s">
        <v>975</v>
      </c>
      <c r="F262" t="s">
        <v>38</v>
      </c>
      <c r="G262" t="s">
        <v>1388</v>
      </c>
      <c r="H262" s="8">
        <v>0.02</v>
      </c>
      <c r="I262" s="2">
        <v>0.672624</v>
      </c>
      <c r="J262" s="7" t="s">
        <v>188</v>
      </c>
    </row>
    <row r="263" spans="1:10" ht="28.5">
      <c r="A263" t="s">
        <v>187</v>
      </c>
      <c r="B263" t="s">
        <v>1394</v>
      </c>
      <c r="C263" t="s">
        <v>1859</v>
      </c>
      <c r="D263" t="s">
        <v>1860</v>
      </c>
      <c r="E263" t="s">
        <v>1333</v>
      </c>
      <c r="F263" t="s">
        <v>41</v>
      </c>
      <c r="G263" t="s">
        <v>1388</v>
      </c>
      <c r="H263" s="8">
        <v>0</v>
      </c>
      <c r="I263" s="2">
        <v>0</v>
      </c>
      <c r="J263" s="7" t="s">
        <v>188</v>
      </c>
    </row>
    <row r="264" spans="1:10" ht="28.5">
      <c r="A264" t="s">
        <v>187</v>
      </c>
      <c r="B264" t="s">
        <v>1394</v>
      </c>
      <c r="C264" t="s">
        <v>1861</v>
      </c>
      <c r="D264" t="s">
        <v>1862</v>
      </c>
      <c r="E264" t="s">
        <v>162</v>
      </c>
      <c r="F264" t="s">
        <v>25</v>
      </c>
      <c r="G264" t="s">
        <v>1388</v>
      </c>
      <c r="H264" s="8">
        <v>0.11</v>
      </c>
      <c r="I264" s="2">
        <v>3.6994319999999998</v>
      </c>
      <c r="J264" s="7" t="s">
        <v>188</v>
      </c>
    </row>
    <row r="265" spans="1:10" ht="28.5">
      <c r="A265" t="s">
        <v>187</v>
      </c>
      <c r="B265" t="s">
        <v>1394</v>
      </c>
      <c r="C265" t="s">
        <v>1863</v>
      </c>
      <c r="D265" t="s">
        <v>1864</v>
      </c>
      <c r="E265" t="s">
        <v>1296</v>
      </c>
      <c r="F265" t="s">
        <v>50</v>
      </c>
      <c r="G265" t="s">
        <v>1388</v>
      </c>
      <c r="H265" s="8">
        <v>0.01</v>
      </c>
      <c r="I265" s="2">
        <v>0.336312</v>
      </c>
      <c r="J265" s="7" t="s">
        <v>188</v>
      </c>
    </row>
    <row r="266" spans="1:10" ht="28.5">
      <c r="A266" t="s">
        <v>187</v>
      </c>
      <c r="B266" t="s">
        <v>1394</v>
      </c>
      <c r="C266" t="s">
        <v>1865</v>
      </c>
      <c r="D266" t="s">
        <v>1866</v>
      </c>
      <c r="E266" t="s">
        <v>394</v>
      </c>
      <c r="F266" t="s">
        <v>23</v>
      </c>
      <c r="G266" t="s">
        <v>1388</v>
      </c>
      <c r="H266" s="8">
        <v>0.06</v>
      </c>
      <c r="I266" s="2">
        <v>2.0178719999999997</v>
      </c>
      <c r="J266" s="7" t="s">
        <v>188</v>
      </c>
    </row>
    <row r="267" spans="1:10" ht="28.5">
      <c r="A267" t="s">
        <v>187</v>
      </c>
      <c r="B267" t="s">
        <v>1394</v>
      </c>
      <c r="C267" t="s">
        <v>1867</v>
      </c>
      <c r="D267" t="s">
        <v>1868</v>
      </c>
      <c r="E267" t="s">
        <v>750</v>
      </c>
      <c r="F267" t="s">
        <v>124</v>
      </c>
      <c r="G267" t="s">
        <v>1388</v>
      </c>
      <c r="H267" s="8">
        <v>0.04</v>
      </c>
      <c r="I267" s="2">
        <v>1.345248</v>
      </c>
      <c r="J267" s="7" t="s">
        <v>188</v>
      </c>
    </row>
    <row r="268" spans="1:10" ht="28.5">
      <c r="A268" t="s">
        <v>187</v>
      </c>
      <c r="B268" t="s">
        <v>1394</v>
      </c>
      <c r="C268" t="s">
        <v>1869</v>
      </c>
      <c r="D268" t="s">
        <v>1870</v>
      </c>
      <c r="E268" t="s">
        <v>335</v>
      </c>
      <c r="F268" t="s">
        <v>23</v>
      </c>
      <c r="G268" t="s">
        <v>1388</v>
      </c>
      <c r="H268" s="8">
        <v>0.13</v>
      </c>
      <c r="I268" s="2">
        <v>4.3720559999999997</v>
      </c>
      <c r="J268" s="7" t="s">
        <v>188</v>
      </c>
    </row>
    <row r="269" spans="1:10" ht="28.5">
      <c r="A269" t="s">
        <v>187</v>
      </c>
      <c r="B269" t="s">
        <v>1394</v>
      </c>
      <c r="C269" t="s">
        <v>1871</v>
      </c>
      <c r="D269" t="s">
        <v>1872</v>
      </c>
      <c r="E269" t="s">
        <v>495</v>
      </c>
      <c r="F269" t="s">
        <v>50</v>
      </c>
      <c r="G269" t="s">
        <v>1388</v>
      </c>
      <c r="H269" s="8">
        <v>0.08</v>
      </c>
      <c r="I269" s="2">
        <v>2.690496</v>
      </c>
      <c r="J269" s="7" t="s">
        <v>188</v>
      </c>
    </row>
    <row r="270" spans="1:10" ht="28.5">
      <c r="A270" t="s">
        <v>187</v>
      </c>
      <c r="B270" t="s">
        <v>1394</v>
      </c>
      <c r="C270" t="s">
        <v>1873</v>
      </c>
      <c r="D270" t="s">
        <v>1874</v>
      </c>
      <c r="E270" t="s">
        <v>403</v>
      </c>
      <c r="F270" t="s">
        <v>124</v>
      </c>
      <c r="G270" t="s">
        <v>1388</v>
      </c>
      <c r="H270" s="8">
        <v>0.1</v>
      </c>
      <c r="I270" s="2">
        <v>3.3631200000000003</v>
      </c>
      <c r="J270" s="7" t="s">
        <v>188</v>
      </c>
    </row>
    <row r="271" spans="1:10" ht="28.5">
      <c r="A271" t="s">
        <v>187</v>
      </c>
      <c r="B271" t="s">
        <v>1394</v>
      </c>
      <c r="C271" t="s">
        <v>1875</v>
      </c>
      <c r="D271" t="s">
        <v>1876</v>
      </c>
      <c r="E271" t="s">
        <v>429</v>
      </c>
      <c r="F271" t="s">
        <v>50</v>
      </c>
      <c r="G271" t="s">
        <v>1388</v>
      </c>
      <c r="H271" s="8">
        <v>0.09</v>
      </c>
      <c r="I271" s="2">
        <v>3.0268079999999999</v>
      </c>
      <c r="J271" s="7" t="s">
        <v>188</v>
      </c>
    </row>
    <row r="272" spans="1:10" ht="28.5">
      <c r="A272" t="s">
        <v>187</v>
      </c>
      <c r="B272" t="s">
        <v>1394</v>
      </c>
      <c r="C272" t="s">
        <v>1877</v>
      </c>
      <c r="D272" t="s">
        <v>1878</v>
      </c>
      <c r="E272" t="s">
        <v>939</v>
      </c>
      <c r="F272" t="s">
        <v>38</v>
      </c>
      <c r="G272" t="s">
        <v>1388</v>
      </c>
      <c r="H272" s="8">
        <v>0.01</v>
      </c>
      <c r="I272" s="2">
        <v>0.336312</v>
      </c>
      <c r="J272" s="7" t="s">
        <v>188</v>
      </c>
    </row>
    <row r="273" spans="1:10" ht="28.5">
      <c r="A273" t="s">
        <v>187</v>
      </c>
      <c r="B273" t="s">
        <v>1394</v>
      </c>
      <c r="C273" t="s">
        <v>1879</v>
      </c>
      <c r="D273" t="s">
        <v>1880</v>
      </c>
      <c r="E273" t="s">
        <v>1317</v>
      </c>
      <c r="F273" t="s">
        <v>253</v>
      </c>
      <c r="G273" t="s">
        <v>1388</v>
      </c>
      <c r="H273" s="8">
        <v>0.01</v>
      </c>
      <c r="I273" s="2">
        <v>0.336312</v>
      </c>
      <c r="J273" s="7" t="s">
        <v>188</v>
      </c>
    </row>
    <row r="274" spans="1:10" ht="28.5">
      <c r="A274" t="s">
        <v>187</v>
      </c>
      <c r="B274" t="s">
        <v>1394</v>
      </c>
      <c r="C274" t="s">
        <v>1881</v>
      </c>
      <c r="D274" t="s">
        <v>1882</v>
      </c>
      <c r="E274" t="s">
        <v>275</v>
      </c>
      <c r="F274" t="s">
        <v>25</v>
      </c>
      <c r="G274" t="s">
        <v>1388</v>
      </c>
      <c r="H274" s="8">
        <v>0.03</v>
      </c>
      <c r="I274" s="2">
        <v>1.0089359999999998</v>
      </c>
      <c r="J274" s="7" t="s">
        <v>188</v>
      </c>
    </row>
    <row r="275" spans="1:10" ht="28.5">
      <c r="A275" t="s">
        <v>187</v>
      </c>
      <c r="B275" t="s">
        <v>1394</v>
      </c>
      <c r="C275" t="s">
        <v>1883</v>
      </c>
      <c r="D275" t="s">
        <v>1884</v>
      </c>
      <c r="E275" t="s">
        <v>1258</v>
      </c>
      <c r="F275" t="s">
        <v>27</v>
      </c>
      <c r="G275" t="s">
        <v>1388</v>
      </c>
      <c r="H275" s="8">
        <v>0.01</v>
      </c>
      <c r="I275" s="2">
        <v>0.336312</v>
      </c>
      <c r="J275" s="7" t="s">
        <v>188</v>
      </c>
    </row>
    <row r="276" spans="1:10" ht="28.5">
      <c r="A276" t="s">
        <v>187</v>
      </c>
      <c r="B276" t="s">
        <v>1394</v>
      </c>
      <c r="C276" t="s">
        <v>1885</v>
      </c>
      <c r="D276" t="s">
        <v>1886</v>
      </c>
      <c r="E276" t="s">
        <v>384</v>
      </c>
      <c r="F276" t="s">
        <v>25</v>
      </c>
      <c r="G276" t="s">
        <v>1388</v>
      </c>
      <c r="H276" s="8">
        <v>0.02</v>
      </c>
      <c r="I276" s="2">
        <v>0.672624</v>
      </c>
      <c r="J276" s="7" t="s">
        <v>188</v>
      </c>
    </row>
    <row r="277" spans="1:10" ht="28.5">
      <c r="A277" t="s">
        <v>187</v>
      </c>
      <c r="B277" t="s">
        <v>1394</v>
      </c>
      <c r="C277" t="s">
        <v>1887</v>
      </c>
      <c r="D277" t="s">
        <v>1888</v>
      </c>
      <c r="E277" t="s">
        <v>209</v>
      </c>
      <c r="F277" t="s">
        <v>23</v>
      </c>
      <c r="G277" t="s">
        <v>1388</v>
      </c>
      <c r="H277" s="8">
        <v>0.15</v>
      </c>
      <c r="I277" s="2">
        <v>5.0446799999999996</v>
      </c>
      <c r="J277" s="7" t="s">
        <v>188</v>
      </c>
    </row>
    <row r="278" spans="1:10" ht="28.5">
      <c r="A278" t="s">
        <v>187</v>
      </c>
      <c r="B278" t="s">
        <v>1394</v>
      </c>
      <c r="C278" t="s">
        <v>1889</v>
      </c>
      <c r="D278" t="s">
        <v>1890</v>
      </c>
      <c r="E278" t="s">
        <v>1279</v>
      </c>
      <c r="F278" t="s">
        <v>263</v>
      </c>
      <c r="G278" t="s">
        <v>1388</v>
      </c>
      <c r="H278" s="8">
        <v>0.01</v>
      </c>
      <c r="I278" s="2">
        <v>0.336312</v>
      </c>
      <c r="J278" s="7" t="s">
        <v>188</v>
      </c>
    </row>
    <row r="279" spans="1:10" ht="28.5">
      <c r="A279" t="s">
        <v>187</v>
      </c>
      <c r="B279" t="s">
        <v>1394</v>
      </c>
      <c r="C279" t="s">
        <v>1891</v>
      </c>
      <c r="D279" t="s">
        <v>1892</v>
      </c>
      <c r="E279" t="s">
        <v>1224</v>
      </c>
      <c r="F279" t="s">
        <v>263</v>
      </c>
      <c r="G279" t="s">
        <v>1388</v>
      </c>
      <c r="H279" s="8">
        <v>0.01</v>
      </c>
      <c r="I279" s="2">
        <v>0.336312</v>
      </c>
      <c r="J279" s="7" t="s">
        <v>188</v>
      </c>
    </row>
    <row r="280" spans="1:10" ht="28.5">
      <c r="A280" t="s">
        <v>187</v>
      </c>
      <c r="B280" t="s">
        <v>1394</v>
      </c>
      <c r="C280" t="s">
        <v>1893</v>
      </c>
      <c r="D280" t="s">
        <v>1894</v>
      </c>
      <c r="E280" t="s">
        <v>1323</v>
      </c>
      <c r="F280" t="s">
        <v>263</v>
      </c>
      <c r="G280" t="s">
        <v>1388</v>
      </c>
      <c r="H280" s="8">
        <v>0.01</v>
      </c>
      <c r="I280" s="2">
        <v>0.336312</v>
      </c>
      <c r="J280" s="7" t="s">
        <v>188</v>
      </c>
    </row>
    <row r="281" spans="1:10" ht="28.5">
      <c r="A281" t="s">
        <v>187</v>
      </c>
      <c r="B281" t="s">
        <v>1394</v>
      </c>
      <c r="C281" t="s">
        <v>1895</v>
      </c>
      <c r="D281" t="s">
        <v>1896</v>
      </c>
      <c r="E281" t="s">
        <v>1288</v>
      </c>
      <c r="F281" t="s">
        <v>27</v>
      </c>
      <c r="G281" t="s">
        <v>1388</v>
      </c>
      <c r="H281" s="8">
        <v>0.01</v>
      </c>
      <c r="I281" s="2">
        <v>0.336312</v>
      </c>
      <c r="J281" s="7" t="s">
        <v>188</v>
      </c>
    </row>
    <row r="282" spans="1:10" ht="28.5">
      <c r="A282" t="s">
        <v>187</v>
      </c>
      <c r="B282" t="s">
        <v>1394</v>
      </c>
      <c r="C282" t="s">
        <v>1897</v>
      </c>
      <c r="D282" t="s">
        <v>1898</v>
      </c>
      <c r="E282" t="s">
        <v>594</v>
      </c>
      <c r="F282" t="s">
        <v>33</v>
      </c>
      <c r="G282" t="s">
        <v>1388</v>
      </c>
      <c r="H282" s="8">
        <v>0.06</v>
      </c>
      <c r="I282" s="2">
        <v>2.0178719999999997</v>
      </c>
      <c r="J282" s="7" t="s">
        <v>188</v>
      </c>
    </row>
    <row r="283" spans="1:10" ht="28.5">
      <c r="A283" t="s">
        <v>187</v>
      </c>
      <c r="B283" t="s">
        <v>1394</v>
      </c>
      <c r="C283" t="s">
        <v>1899</v>
      </c>
      <c r="D283" t="s">
        <v>1900</v>
      </c>
      <c r="E283" t="s">
        <v>1051</v>
      </c>
      <c r="F283" t="s">
        <v>50</v>
      </c>
      <c r="G283" t="s">
        <v>1388</v>
      </c>
      <c r="H283" s="8">
        <v>0.02</v>
      </c>
      <c r="I283" s="2">
        <v>0.672624</v>
      </c>
      <c r="J283" s="7" t="s">
        <v>188</v>
      </c>
    </row>
    <row r="284" spans="1:10" ht="28.5">
      <c r="A284" t="s">
        <v>187</v>
      </c>
      <c r="B284" t="s">
        <v>1394</v>
      </c>
      <c r="C284" t="s">
        <v>1901</v>
      </c>
      <c r="D284" t="s">
        <v>1902</v>
      </c>
      <c r="E284" t="s">
        <v>1174</v>
      </c>
      <c r="F284" t="s">
        <v>108</v>
      </c>
      <c r="G284" t="s">
        <v>1388</v>
      </c>
      <c r="H284" s="8">
        <v>0.01</v>
      </c>
      <c r="I284" s="2">
        <v>0.336312</v>
      </c>
      <c r="J284" s="7" t="s">
        <v>188</v>
      </c>
    </row>
    <row r="285" spans="1:10" ht="28.5">
      <c r="A285" t="s">
        <v>187</v>
      </c>
      <c r="B285" t="s">
        <v>1394</v>
      </c>
      <c r="C285" t="s">
        <v>1903</v>
      </c>
      <c r="D285" t="s">
        <v>1904</v>
      </c>
      <c r="E285" t="s">
        <v>1201</v>
      </c>
      <c r="F285" t="s">
        <v>23</v>
      </c>
      <c r="G285" t="s">
        <v>1388</v>
      </c>
      <c r="H285" s="8">
        <v>0.01</v>
      </c>
      <c r="I285" s="2">
        <v>0.336312</v>
      </c>
      <c r="J285" s="7" t="s">
        <v>188</v>
      </c>
    </row>
    <row r="286" spans="1:10" ht="28.5">
      <c r="A286" t="s">
        <v>187</v>
      </c>
      <c r="B286" t="s">
        <v>1394</v>
      </c>
      <c r="C286" t="s">
        <v>1905</v>
      </c>
      <c r="D286" t="s">
        <v>1906</v>
      </c>
      <c r="E286" t="s">
        <v>774</v>
      </c>
      <c r="F286" t="s">
        <v>38</v>
      </c>
      <c r="G286" t="s">
        <v>1388</v>
      </c>
      <c r="H286" s="8">
        <v>0.04</v>
      </c>
      <c r="I286" s="2">
        <v>1.345248</v>
      </c>
      <c r="J286" s="7" t="s">
        <v>188</v>
      </c>
    </row>
    <row r="287" spans="1:10" ht="28.5">
      <c r="A287" t="s">
        <v>187</v>
      </c>
      <c r="B287" t="s">
        <v>1394</v>
      </c>
      <c r="C287" t="s">
        <v>1907</v>
      </c>
      <c r="D287" t="s">
        <v>1908</v>
      </c>
      <c r="E287" t="s">
        <v>540</v>
      </c>
      <c r="F287" t="s">
        <v>108</v>
      </c>
      <c r="G287" t="s">
        <v>1388</v>
      </c>
      <c r="H287" s="8">
        <v>0.01</v>
      </c>
      <c r="I287" s="2">
        <v>0.336312</v>
      </c>
      <c r="J287" s="7" t="s">
        <v>188</v>
      </c>
    </row>
    <row r="288" spans="1:10" ht="28.5">
      <c r="A288" t="s">
        <v>187</v>
      </c>
      <c r="B288" t="s">
        <v>1394</v>
      </c>
      <c r="C288" t="s">
        <v>1909</v>
      </c>
      <c r="D288" t="s">
        <v>1910</v>
      </c>
      <c r="E288" t="s">
        <v>592</v>
      </c>
      <c r="F288" t="s">
        <v>50</v>
      </c>
      <c r="G288" t="s">
        <v>1388</v>
      </c>
      <c r="H288" s="8">
        <v>0.06</v>
      </c>
      <c r="I288" s="2">
        <v>2.0178719999999997</v>
      </c>
      <c r="J288" s="7" t="s">
        <v>188</v>
      </c>
    </row>
    <row r="289" spans="1:10" ht="28.5">
      <c r="A289" t="s">
        <v>187</v>
      </c>
      <c r="B289" t="s">
        <v>1394</v>
      </c>
      <c r="C289" t="s">
        <v>1911</v>
      </c>
      <c r="D289" t="s">
        <v>1912</v>
      </c>
      <c r="E289" t="s">
        <v>655</v>
      </c>
      <c r="F289" t="s">
        <v>38</v>
      </c>
      <c r="G289" t="s">
        <v>1388</v>
      </c>
      <c r="H289" s="8">
        <v>0.05</v>
      </c>
      <c r="I289" s="2">
        <v>1.6815600000000002</v>
      </c>
      <c r="J289" s="7" t="s">
        <v>188</v>
      </c>
    </row>
    <row r="290" spans="1:10" ht="28.5">
      <c r="A290" t="s">
        <v>187</v>
      </c>
      <c r="B290" t="s">
        <v>1394</v>
      </c>
      <c r="C290" t="s">
        <v>1913</v>
      </c>
      <c r="D290" t="s">
        <v>1914</v>
      </c>
      <c r="E290" t="s">
        <v>843</v>
      </c>
      <c r="F290" t="s">
        <v>108</v>
      </c>
      <c r="G290" t="s">
        <v>1388</v>
      </c>
      <c r="H290" s="8">
        <v>0.03</v>
      </c>
      <c r="I290" s="2">
        <v>1.0089359999999998</v>
      </c>
      <c r="J290" s="7" t="s">
        <v>188</v>
      </c>
    </row>
    <row r="291" spans="1:10" ht="28.5">
      <c r="A291" t="s">
        <v>187</v>
      </c>
      <c r="B291" t="s">
        <v>1394</v>
      </c>
      <c r="C291" t="s">
        <v>1414</v>
      </c>
      <c r="D291" t="s">
        <v>1415</v>
      </c>
      <c r="E291" t="s">
        <v>49</v>
      </c>
      <c r="F291" t="s">
        <v>50</v>
      </c>
      <c r="G291" t="s">
        <v>1388</v>
      </c>
      <c r="H291" s="8">
        <v>0.45</v>
      </c>
      <c r="I291" s="2">
        <v>15.134040000000001</v>
      </c>
      <c r="J291" s="7" t="s">
        <v>188</v>
      </c>
    </row>
    <row r="292" spans="1:10" ht="28.5">
      <c r="A292" t="s">
        <v>187</v>
      </c>
      <c r="B292" t="s">
        <v>1394</v>
      </c>
      <c r="C292" t="s">
        <v>1915</v>
      </c>
      <c r="D292" t="s">
        <v>1916</v>
      </c>
      <c r="E292" t="s">
        <v>876</v>
      </c>
      <c r="F292" t="s">
        <v>23</v>
      </c>
      <c r="G292" t="s">
        <v>1388</v>
      </c>
      <c r="H292" s="8">
        <v>0.03</v>
      </c>
      <c r="I292" s="2">
        <v>1.0089359999999998</v>
      </c>
      <c r="J292" s="7" t="s">
        <v>188</v>
      </c>
    </row>
    <row r="293" spans="1:10" ht="28.5">
      <c r="A293" t="s">
        <v>187</v>
      </c>
      <c r="B293" t="s">
        <v>1394</v>
      </c>
      <c r="C293" t="s">
        <v>1917</v>
      </c>
      <c r="D293" t="s">
        <v>1918</v>
      </c>
      <c r="E293" t="s">
        <v>682</v>
      </c>
      <c r="F293" t="s">
        <v>263</v>
      </c>
      <c r="G293" t="s">
        <v>1388</v>
      </c>
      <c r="H293" s="8">
        <v>0.05</v>
      </c>
      <c r="I293" s="2">
        <v>1.6815600000000002</v>
      </c>
      <c r="J293" s="7" t="s">
        <v>188</v>
      </c>
    </row>
    <row r="294" spans="1:10" ht="28.5">
      <c r="A294" t="s">
        <v>187</v>
      </c>
      <c r="B294" t="s">
        <v>1394</v>
      </c>
      <c r="C294" t="s">
        <v>1919</v>
      </c>
      <c r="D294" t="s">
        <v>1920</v>
      </c>
      <c r="E294" t="s">
        <v>1246</v>
      </c>
      <c r="F294" t="s">
        <v>41</v>
      </c>
      <c r="G294" t="s">
        <v>1388</v>
      </c>
      <c r="H294" s="8">
        <v>0.01</v>
      </c>
      <c r="I294" s="2">
        <v>0.336312</v>
      </c>
      <c r="J294" s="7" t="s">
        <v>188</v>
      </c>
    </row>
    <row r="295" spans="1:10" ht="28.5">
      <c r="A295" t="s">
        <v>187</v>
      </c>
      <c r="B295" t="s">
        <v>1394</v>
      </c>
      <c r="C295" t="s">
        <v>1921</v>
      </c>
      <c r="D295" t="s">
        <v>1922</v>
      </c>
      <c r="E295" t="s">
        <v>726</v>
      </c>
      <c r="F295" t="s">
        <v>25</v>
      </c>
      <c r="G295" t="s">
        <v>1388</v>
      </c>
      <c r="H295" s="8">
        <v>0.02</v>
      </c>
      <c r="I295" s="2">
        <v>0.672624</v>
      </c>
      <c r="J295" s="7" t="s">
        <v>188</v>
      </c>
    </row>
    <row r="296" spans="1:10" ht="28.5">
      <c r="A296" t="s">
        <v>187</v>
      </c>
      <c r="B296" t="s">
        <v>1394</v>
      </c>
      <c r="C296" t="s">
        <v>1923</v>
      </c>
      <c r="D296" t="s">
        <v>1924</v>
      </c>
      <c r="E296" t="s">
        <v>776</v>
      </c>
      <c r="F296" t="s">
        <v>25</v>
      </c>
      <c r="G296" t="s">
        <v>1388</v>
      </c>
      <c r="H296" s="8">
        <v>0.04</v>
      </c>
      <c r="I296" s="2">
        <v>1.345248</v>
      </c>
      <c r="J296" s="7" t="s">
        <v>188</v>
      </c>
    </row>
    <row r="297" spans="1:10" ht="28.5">
      <c r="A297" t="s">
        <v>187</v>
      </c>
      <c r="B297" t="s">
        <v>1394</v>
      </c>
      <c r="C297" t="s">
        <v>1925</v>
      </c>
      <c r="D297" t="s">
        <v>1926</v>
      </c>
      <c r="E297" t="s">
        <v>1100</v>
      </c>
      <c r="F297" t="s">
        <v>27</v>
      </c>
      <c r="G297" t="s">
        <v>1388</v>
      </c>
      <c r="H297" s="8">
        <v>0.02</v>
      </c>
      <c r="I297" s="2">
        <v>0.672624</v>
      </c>
      <c r="J297" s="7" t="s">
        <v>188</v>
      </c>
    </row>
    <row r="298" spans="1:10" ht="28.5">
      <c r="A298" t="s">
        <v>187</v>
      </c>
      <c r="B298" t="s">
        <v>1394</v>
      </c>
      <c r="C298" t="s">
        <v>1927</v>
      </c>
      <c r="D298" t="s">
        <v>1928</v>
      </c>
      <c r="E298" t="s">
        <v>591</v>
      </c>
      <c r="F298" t="s">
        <v>33</v>
      </c>
      <c r="G298" t="s">
        <v>1388</v>
      </c>
      <c r="H298" s="8">
        <v>0.06</v>
      </c>
      <c r="I298" s="2">
        <v>2.0178719999999997</v>
      </c>
      <c r="J298" s="7" t="s">
        <v>188</v>
      </c>
    </row>
    <row r="299" spans="1:10" ht="28.5">
      <c r="A299" t="s">
        <v>187</v>
      </c>
      <c r="B299" t="s">
        <v>1394</v>
      </c>
      <c r="C299" t="s">
        <v>1929</v>
      </c>
      <c r="D299" t="s">
        <v>1930</v>
      </c>
      <c r="E299" t="s">
        <v>746</v>
      </c>
      <c r="F299" t="s">
        <v>124</v>
      </c>
      <c r="G299" t="s">
        <v>1388</v>
      </c>
      <c r="H299" s="8">
        <v>0.04</v>
      </c>
      <c r="I299" s="2">
        <v>1.345248</v>
      </c>
      <c r="J299" s="7" t="s">
        <v>188</v>
      </c>
    </row>
    <row r="300" spans="1:10" ht="28.5">
      <c r="A300" t="s">
        <v>187</v>
      </c>
      <c r="B300" t="s">
        <v>1394</v>
      </c>
      <c r="C300" t="s">
        <v>1931</v>
      </c>
      <c r="D300" t="s">
        <v>1932</v>
      </c>
      <c r="E300" t="s">
        <v>368</v>
      </c>
      <c r="F300" t="s">
        <v>33</v>
      </c>
      <c r="G300" t="s">
        <v>1388</v>
      </c>
      <c r="H300" s="8">
        <v>0.04</v>
      </c>
      <c r="I300" s="2">
        <v>1.345248</v>
      </c>
      <c r="J300" s="7" t="s">
        <v>188</v>
      </c>
    </row>
    <row r="301" spans="1:10" ht="28.5">
      <c r="A301" t="s">
        <v>187</v>
      </c>
      <c r="B301" t="s">
        <v>1394</v>
      </c>
      <c r="C301" t="s">
        <v>1933</v>
      </c>
      <c r="D301" t="s">
        <v>1934</v>
      </c>
      <c r="E301" t="s">
        <v>897</v>
      </c>
      <c r="F301" t="s">
        <v>253</v>
      </c>
      <c r="G301" t="s">
        <v>1388</v>
      </c>
      <c r="H301" s="8">
        <v>0.03</v>
      </c>
      <c r="I301" s="2">
        <v>1.0089359999999998</v>
      </c>
      <c r="J301" s="7" t="s">
        <v>188</v>
      </c>
    </row>
    <row r="302" spans="1:10" ht="28.5">
      <c r="A302" t="s">
        <v>187</v>
      </c>
      <c r="B302" t="s">
        <v>1394</v>
      </c>
      <c r="C302" t="s">
        <v>1935</v>
      </c>
      <c r="D302" t="s">
        <v>1936</v>
      </c>
      <c r="E302" t="s">
        <v>347</v>
      </c>
      <c r="F302" t="s">
        <v>50</v>
      </c>
      <c r="G302" t="s">
        <v>1388</v>
      </c>
      <c r="H302" s="8">
        <v>0.02</v>
      </c>
      <c r="I302" s="2">
        <v>0.672624</v>
      </c>
      <c r="J302" s="7" t="s">
        <v>188</v>
      </c>
    </row>
    <row r="303" spans="1:10" ht="28.5">
      <c r="A303" t="s">
        <v>187</v>
      </c>
      <c r="B303" t="s">
        <v>1394</v>
      </c>
      <c r="C303" t="s">
        <v>1937</v>
      </c>
      <c r="D303" t="s">
        <v>1938</v>
      </c>
      <c r="E303" t="s">
        <v>932</v>
      </c>
      <c r="F303" t="s">
        <v>253</v>
      </c>
      <c r="G303" t="s">
        <v>1388</v>
      </c>
      <c r="H303" s="8">
        <v>0.01</v>
      </c>
      <c r="I303" s="2">
        <v>0.336312</v>
      </c>
      <c r="J303" s="7" t="s">
        <v>188</v>
      </c>
    </row>
    <row r="304" spans="1:10" ht="28.5">
      <c r="A304" t="s">
        <v>187</v>
      </c>
      <c r="B304" t="s">
        <v>1394</v>
      </c>
      <c r="C304" t="s">
        <v>1939</v>
      </c>
      <c r="D304" t="s">
        <v>1940</v>
      </c>
      <c r="E304" t="s">
        <v>1002</v>
      </c>
      <c r="F304" t="s">
        <v>41</v>
      </c>
      <c r="G304" t="s">
        <v>1388</v>
      </c>
      <c r="H304" s="8">
        <v>0.02</v>
      </c>
      <c r="I304" s="2">
        <v>0.672624</v>
      </c>
      <c r="J304" s="7" t="s">
        <v>188</v>
      </c>
    </row>
    <row r="305" spans="1:10" ht="28.5">
      <c r="A305" t="s">
        <v>187</v>
      </c>
      <c r="B305" t="s">
        <v>1394</v>
      </c>
      <c r="C305" t="s">
        <v>1941</v>
      </c>
      <c r="D305" t="s">
        <v>1942</v>
      </c>
      <c r="E305" t="s">
        <v>569</v>
      </c>
      <c r="F305" t="s">
        <v>25</v>
      </c>
      <c r="G305" t="s">
        <v>1388</v>
      </c>
      <c r="H305" s="8">
        <v>0.02</v>
      </c>
      <c r="I305" s="2">
        <v>0.672624</v>
      </c>
      <c r="J305" s="7" t="s">
        <v>188</v>
      </c>
    </row>
    <row r="306" spans="1:10" ht="28.5">
      <c r="A306" t="s">
        <v>187</v>
      </c>
      <c r="B306" t="s">
        <v>1394</v>
      </c>
      <c r="C306" t="s">
        <v>1943</v>
      </c>
      <c r="D306" t="s">
        <v>1944</v>
      </c>
      <c r="E306" t="s">
        <v>874</v>
      </c>
      <c r="F306" t="s">
        <v>50</v>
      </c>
      <c r="G306" t="s">
        <v>1388</v>
      </c>
      <c r="H306" s="8">
        <v>0.03</v>
      </c>
      <c r="I306" s="2">
        <v>1.0089359999999998</v>
      </c>
      <c r="J306" s="7" t="s">
        <v>188</v>
      </c>
    </row>
    <row r="307" spans="1:10" ht="28.5">
      <c r="A307" t="s">
        <v>187</v>
      </c>
      <c r="B307" t="s">
        <v>1394</v>
      </c>
      <c r="C307" t="s">
        <v>1945</v>
      </c>
      <c r="D307" t="s">
        <v>1946</v>
      </c>
      <c r="E307" t="s">
        <v>266</v>
      </c>
      <c r="F307" t="s">
        <v>23</v>
      </c>
      <c r="G307" t="s">
        <v>1388</v>
      </c>
      <c r="H307" s="8">
        <v>0.19</v>
      </c>
      <c r="I307" s="2">
        <v>6.3899280000000003</v>
      </c>
      <c r="J307" s="7" t="s">
        <v>188</v>
      </c>
    </row>
    <row r="308" spans="1:10" ht="28.5">
      <c r="A308" t="s">
        <v>187</v>
      </c>
      <c r="B308" t="s">
        <v>1394</v>
      </c>
      <c r="C308" t="s">
        <v>1947</v>
      </c>
      <c r="D308" t="s">
        <v>1948</v>
      </c>
      <c r="E308" t="s">
        <v>506</v>
      </c>
      <c r="F308" t="s">
        <v>27</v>
      </c>
      <c r="G308" t="s">
        <v>1388</v>
      </c>
      <c r="H308" s="8">
        <v>0.01</v>
      </c>
      <c r="I308" s="2">
        <v>0.336312</v>
      </c>
      <c r="J308" s="7" t="s">
        <v>188</v>
      </c>
    </row>
    <row r="309" spans="1:10" ht="28.5">
      <c r="A309" t="s">
        <v>187</v>
      </c>
      <c r="B309" t="s">
        <v>1394</v>
      </c>
      <c r="C309" t="s">
        <v>1949</v>
      </c>
      <c r="D309" t="s">
        <v>1950</v>
      </c>
      <c r="E309" t="s">
        <v>931</v>
      </c>
      <c r="F309" t="s">
        <v>25</v>
      </c>
      <c r="G309" t="s">
        <v>1388</v>
      </c>
      <c r="H309" s="8">
        <v>0.01</v>
      </c>
      <c r="I309" s="2">
        <v>0.336312</v>
      </c>
      <c r="J309" s="7" t="s">
        <v>188</v>
      </c>
    </row>
    <row r="310" spans="1:10" ht="28.5">
      <c r="A310" t="s">
        <v>187</v>
      </c>
      <c r="B310" t="s">
        <v>1394</v>
      </c>
      <c r="C310" t="s">
        <v>1951</v>
      </c>
      <c r="D310" t="s">
        <v>1952</v>
      </c>
      <c r="E310" t="s">
        <v>581</v>
      </c>
      <c r="F310" t="s">
        <v>124</v>
      </c>
      <c r="G310" t="s">
        <v>1388</v>
      </c>
      <c r="H310" s="8">
        <v>0.06</v>
      </c>
      <c r="I310" s="2">
        <v>2.0178719999999997</v>
      </c>
      <c r="J310" s="7" t="s">
        <v>188</v>
      </c>
    </row>
    <row r="311" spans="1:10" ht="28.5">
      <c r="A311" t="s">
        <v>187</v>
      </c>
      <c r="B311" t="s">
        <v>1394</v>
      </c>
      <c r="C311" t="s">
        <v>1953</v>
      </c>
      <c r="D311" t="s">
        <v>1954</v>
      </c>
      <c r="E311" t="s">
        <v>1132</v>
      </c>
      <c r="F311" t="s">
        <v>253</v>
      </c>
      <c r="G311" t="s">
        <v>1388</v>
      </c>
      <c r="H311" s="8">
        <v>0</v>
      </c>
      <c r="I311" s="2">
        <v>0</v>
      </c>
      <c r="J311" s="7" t="s">
        <v>188</v>
      </c>
    </row>
    <row r="312" spans="1:10" ht="28.5">
      <c r="A312" t="s">
        <v>187</v>
      </c>
      <c r="B312" t="s">
        <v>1394</v>
      </c>
      <c r="C312" t="s">
        <v>1416</v>
      </c>
      <c r="D312" t="s">
        <v>1417</v>
      </c>
      <c r="E312" t="s">
        <v>132</v>
      </c>
      <c r="F312" t="s">
        <v>124</v>
      </c>
      <c r="G312" t="s">
        <v>1388</v>
      </c>
      <c r="H312" s="8">
        <v>0.38</v>
      </c>
      <c r="I312" s="2">
        <v>12.779856000000001</v>
      </c>
      <c r="J312" s="7" t="s">
        <v>188</v>
      </c>
    </row>
    <row r="313" spans="1:10" ht="28.5">
      <c r="A313" t="s">
        <v>187</v>
      </c>
      <c r="B313" t="s">
        <v>1394</v>
      </c>
      <c r="C313" t="s">
        <v>1955</v>
      </c>
      <c r="D313" t="s">
        <v>1956</v>
      </c>
      <c r="E313" t="s">
        <v>964</v>
      </c>
      <c r="F313" t="s">
        <v>23</v>
      </c>
      <c r="G313" t="s">
        <v>1388</v>
      </c>
      <c r="H313" s="8">
        <v>0.01</v>
      </c>
      <c r="I313" s="2">
        <v>0.336312</v>
      </c>
      <c r="J313" s="7" t="s">
        <v>188</v>
      </c>
    </row>
    <row r="314" spans="1:10" ht="28.5">
      <c r="A314" t="s">
        <v>187</v>
      </c>
      <c r="B314" t="s">
        <v>1394</v>
      </c>
      <c r="C314" t="s">
        <v>1957</v>
      </c>
      <c r="D314" t="s">
        <v>1958</v>
      </c>
      <c r="E314" t="s">
        <v>666</v>
      </c>
      <c r="F314" t="s">
        <v>38</v>
      </c>
      <c r="G314" t="s">
        <v>1388</v>
      </c>
      <c r="H314" s="8">
        <v>0.05</v>
      </c>
      <c r="I314" s="2">
        <v>1.6815600000000002</v>
      </c>
      <c r="J314" s="7" t="s">
        <v>188</v>
      </c>
    </row>
    <row r="315" spans="1:10" ht="28.5">
      <c r="A315" t="s">
        <v>187</v>
      </c>
      <c r="B315" t="s">
        <v>1394</v>
      </c>
      <c r="C315" t="s">
        <v>1959</v>
      </c>
      <c r="D315" t="s">
        <v>1960</v>
      </c>
      <c r="E315" t="s">
        <v>1122</v>
      </c>
      <c r="F315" t="s">
        <v>108</v>
      </c>
      <c r="G315" t="s">
        <v>1388</v>
      </c>
      <c r="H315" s="8">
        <v>0.01</v>
      </c>
      <c r="I315" s="2">
        <v>0.336312</v>
      </c>
      <c r="J315" s="7" t="s">
        <v>188</v>
      </c>
    </row>
    <row r="316" spans="1:10" ht="28.5">
      <c r="A316" t="s">
        <v>187</v>
      </c>
      <c r="B316" t="s">
        <v>1394</v>
      </c>
      <c r="C316" t="s">
        <v>1961</v>
      </c>
      <c r="D316" t="s">
        <v>1960</v>
      </c>
      <c r="E316" t="s">
        <v>1122</v>
      </c>
      <c r="F316" t="s">
        <v>108</v>
      </c>
      <c r="G316" t="s">
        <v>1388</v>
      </c>
      <c r="H316" s="8">
        <v>0.01</v>
      </c>
      <c r="I316" s="2">
        <v>0.336312</v>
      </c>
      <c r="J316" s="7" t="s">
        <v>188</v>
      </c>
    </row>
    <row r="317" spans="1:10" ht="28.5">
      <c r="A317" t="s">
        <v>187</v>
      </c>
      <c r="B317" t="s">
        <v>1394</v>
      </c>
      <c r="C317" t="s">
        <v>1962</v>
      </c>
      <c r="D317" t="s">
        <v>1963</v>
      </c>
      <c r="E317" t="s">
        <v>331</v>
      </c>
      <c r="F317" t="s">
        <v>23</v>
      </c>
      <c r="G317" t="s">
        <v>1388</v>
      </c>
      <c r="H317" s="8">
        <v>0.13</v>
      </c>
      <c r="I317" s="2">
        <v>4.3720559999999997</v>
      </c>
      <c r="J317" s="7" t="s">
        <v>188</v>
      </c>
    </row>
    <row r="318" spans="1:10" ht="28.5">
      <c r="A318" t="s">
        <v>187</v>
      </c>
      <c r="B318" t="s">
        <v>1394</v>
      </c>
      <c r="C318" t="s">
        <v>1964</v>
      </c>
      <c r="D318" t="s">
        <v>1965</v>
      </c>
      <c r="E318" t="s">
        <v>617</v>
      </c>
      <c r="F318" t="s">
        <v>253</v>
      </c>
      <c r="G318" t="s">
        <v>1388</v>
      </c>
      <c r="H318" s="8">
        <v>0.01</v>
      </c>
      <c r="I318" s="2">
        <v>0.336312</v>
      </c>
      <c r="J318" s="7" t="s">
        <v>188</v>
      </c>
    </row>
    <row r="319" spans="1:10" ht="28.5">
      <c r="A319" t="s">
        <v>187</v>
      </c>
      <c r="B319" t="s">
        <v>1394</v>
      </c>
      <c r="C319" t="s">
        <v>1966</v>
      </c>
      <c r="D319" t="s">
        <v>1967</v>
      </c>
      <c r="E319" t="s">
        <v>853</v>
      </c>
      <c r="F319" t="s">
        <v>33</v>
      </c>
      <c r="G319" t="s">
        <v>1388</v>
      </c>
      <c r="H319" s="8">
        <v>0.03</v>
      </c>
      <c r="I319" s="2">
        <v>1.0089359999999998</v>
      </c>
      <c r="J319" s="7" t="s">
        <v>188</v>
      </c>
    </row>
    <row r="320" spans="1:10" ht="28.5">
      <c r="A320" t="s">
        <v>187</v>
      </c>
      <c r="B320" t="s">
        <v>1394</v>
      </c>
      <c r="C320" t="s">
        <v>1968</v>
      </c>
      <c r="D320" t="s">
        <v>1969</v>
      </c>
      <c r="E320" t="s">
        <v>910</v>
      </c>
      <c r="F320" t="s">
        <v>108</v>
      </c>
      <c r="G320" t="s">
        <v>1388</v>
      </c>
      <c r="H320" s="8">
        <v>0.03</v>
      </c>
      <c r="I320" s="2">
        <v>1.0089359999999998</v>
      </c>
      <c r="J320" s="7" t="s">
        <v>188</v>
      </c>
    </row>
    <row r="321" spans="1:10" ht="28.5">
      <c r="A321" t="s">
        <v>187</v>
      </c>
      <c r="B321" t="s">
        <v>1394</v>
      </c>
      <c r="C321" t="s">
        <v>1970</v>
      </c>
      <c r="D321" t="s">
        <v>1971</v>
      </c>
      <c r="E321" t="s">
        <v>589</v>
      </c>
      <c r="F321" t="s">
        <v>25</v>
      </c>
      <c r="G321" t="s">
        <v>1388</v>
      </c>
      <c r="H321" s="8">
        <v>0.06</v>
      </c>
      <c r="I321" s="2">
        <v>2.0178719999999997</v>
      </c>
      <c r="J321" s="7" t="s">
        <v>188</v>
      </c>
    </row>
    <row r="322" spans="1:10" ht="28.5">
      <c r="A322" t="s">
        <v>187</v>
      </c>
      <c r="B322" t="s">
        <v>1394</v>
      </c>
      <c r="C322" t="s">
        <v>1972</v>
      </c>
      <c r="D322" t="s">
        <v>1973</v>
      </c>
      <c r="E322" t="s">
        <v>221</v>
      </c>
      <c r="F322" t="s">
        <v>33</v>
      </c>
      <c r="G322" t="s">
        <v>1388</v>
      </c>
      <c r="H322" s="8">
        <v>0.08</v>
      </c>
      <c r="I322" s="2">
        <v>2.690496</v>
      </c>
      <c r="J322" s="7" t="s">
        <v>188</v>
      </c>
    </row>
    <row r="323" spans="1:10" ht="28.5">
      <c r="A323" t="s">
        <v>187</v>
      </c>
      <c r="B323" t="s">
        <v>1394</v>
      </c>
      <c r="C323" t="s">
        <v>1974</v>
      </c>
      <c r="D323" t="s">
        <v>1975</v>
      </c>
      <c r="E323" t="s">
        <v>902</v>
      </c>
      <c r="F323" t="s">
        <v>23</v>
      </c>
      <c r="G323" t="s">
        <v>1388</v>
      </c>
      <c r="H323" s="8">
        <v>0.03</v>
      </c>
      <c r="I323" s="2">
        <v>1.0089359999999998</v>
      </c>
      <c r="J323" s="7" t="s">
        <v>188</v>
      </c>
    </row>
    <row r="324" spans="1:10" ht="28.5">
      <c r="A324" t="s">
        <v>187</v>
      </c>
      <c r="B324" t="s">
        <v>1394</v>
      </c>
      <c r="C324" t="s">
        <v>1976</v>
      </c>
      <c r="D324" t="s">
        <v>1977</v>
      </c>
      <c r="E324" t="s">
        <v>99</v>
      </c>
      <c r="F324" t="s">
        <v>50</v>
      </c>
      <c r="G324" t="s">
        <v>1388</v>
      </c>
      <c r="H324" s="8">
        <v>0.08</v>
      </c>
      <c r="I324" s="2">
        <v>2.690496</v>
      </c>
      <c r="J324" s="7" t="s">
        <v>188</v>
      </c>
    </row>
    <row r="325" spans="1:10" ht="28.5">
      <c r="A325" t="s">
        <v>187</v>
      </c>
      <c r="B325" t="s">
        <v>1394</v>
      </c>
      <c r="C325" t="s">
        <v>1978</v>
      </c>
      <c r="D325" t="s">
        <v>1979</v>
      </c>
      <c r="E325" t="s">
        <v>1233</v>
      </c>
      <c r="F325" t="s">
        <v>25</v>
      </c>
      <c r="G325" t="s">
        <v>1388</v>
      </c>
      <c r="H325" s="8">
        <v>0.01</v>
      </c>
      <c r="I325" s="2">
        <v>0.336312</v>
      </c>
      <c r="J325" s="7" t="s">
        <v>188</v>
      </c>
    </row>
    <row r="326" spans="1:10" ht="28.5">
      <c r="A326" t="s">
        <v>187</v>
      </c>
      <c r="B326" t="s">
        <v>1394</v>
      </c>
      <c r="C326" t="s">
        <v>1418</v>
      </c>
      <c r="D326" t="s">
        <v>1419</v>
      </c>
      <c r="E326" t="s">
        <v>126</v>
      </c>
      <c r="F326" t="s">
        <v>25</v>
      </c>
      <c r="G326" t="s">
        <v>1388</v>
      </c>
      <c r="H326" s="8">
        <v>0.48</v>
      </c>
      <c r="I326" s="2">
        <v>16.142975999999997</v>
      </c>
      <c r="J326" s="7" t="s">
        <v>188</v>
      </c>
    </row>
    <row r="327" spans="1:10" ht="28.5">
      <c r="A327" t="s">
        <v>187</v>
      </c>
      <c r="B327" t="s">
        <v>1394</v>
      </c>
      <c r="C327" t="s">
        <v>1980</v>
      </c>
      <c r="D327" t="s">
        <v>1981</v>
      </c>
      <c r="E327" t="s">
        <v>184</v>
      </c>
      <c r="F327" t="s">
        <v>23</v>
      </c>
      <c r="G327" t="s">
        <v>1388</v>
      </c>
      <c r="H327" s="8">
        <v>0.25</v>
      </c>
      <c r="I327" s="2">
        <v>8.4077999999999999</v>
      </c>
      <c r="J327" s="7" t="s">
        <v>188</v>
      </c>
    </row>
    <row r="328" spans="1:10" ht="28.5">
      <c r="A328" t="s">
        <v>187</v>
      </c>
      <c r="B328" t="s">
        <v>1394</v>
      </c>
      <c r="C328" t="s">
        <v>1982</v>
      </c>
      <c r="D328" t="s">
        <v>1983</v>
      </c>
      <c r="E328" t="s">
        <v>548</v>
      </c>
      <c r="F328" t="s">
        <v>23</v>
      </c>
      <c r="G328" t="s">
        <v>1388</v>
      </c>
      <c r="H328" s="8">
        <v>0.03</v>
      </c>
      <c r="I328" s="2">
        <v>1.0089359999999998</v>
      </c>
      <c r="J328" s="7" t="s">
        <v>188</v>
      </c>
    </row>
    <row r="329" spans="1:10" ht="28.5">
      <c r="A329" t="s">
        <v>187</v>
      </c>
      <c r="B329" t="s">
        <v>1394</v>
      </c>
      <c r="C329" t="s">
        <v>1984</v>
      </c>
      <c r="D329" t="s">
        <v>1985</v>
      </c>
      <c r="E329" t="s">
        <v>635</v>
      </c>
      <c r="F329" t="s">
        <v>263</v>
      </c>
      <c r="G329" t="s">
        <v>1388</v>
      </c>
      <c r="H329" s="8">
        <v>0.01</v>
      </c>
      <c r="I329" s="2">
        <v>0.336312</v>
      </c>
      <c r="J329" s="7" t="s">
        <v>188</v>
      </c>
    </row>
    <row r="330" spans="1:10" ht="28.5">
      <c r="A330" t="s">
        <v>187</v>
      </c>
      <c r="B330" t="s">
        <v>1394</v>
      </c>
      <c r="C330" t="s">
        <v>1986</v>
      </c>
      <c r="D330" t="s">
        <v>1987</v>
      </c>
      <c r="E330" t="s">
        <v>268</v>
      </c>
      <c r="F330" t="s">
        <v>50</v>
      </c>
      <c r="G330" t="s">
        <v>1388</v>
      </c>
      <c r="H330" s="8">
        <v>0.03</v>
      </c>
      <c r="I330" s="2">
        <v>1.0089359999999998</v>
      </c>
      <c r="J330" s="7" t="s">
        <v>188</v>
      </c>
    </row>
    <row r="331" spans="1:10" ht="28.5">
      <c r="A331" t="s">
        <v>187</v>
      </c>
      <c r="B331" t="s">
        <v>1394</v>
      </c>
      <c r="C331" t="s">
        <v>1988</v>
      </c>
      <c r="D331" t="s">
        <v>1989</v>
      </c>
      <c r="E331" t="s">
        <v>1176</v>
      </c>
      <c r="F331" t="s">
        <v>108</v>
      </c>
      <c r="G331" t="s">
        <v>1388</v>
      </c>
      <c r="H331" s="8">
        <v>0.01</v>
      </c>
      <c r="I331" s="2">
        <v>0.336312</v>
      </c>
      <c r="J331" s="7" t="s">
        <v>188</v>
      </c>
    </row>
    <row r="332" spans="1:10" ht="28.5">
      <c r="A332" t="s">
        <v>187</v>
      </c>
      <c r="B332" t="s">
        <v>1394</v>
      </c>
      <c r="C332" t="s">
        <v>1990</v>
      </c>
      <c r="D332" t="s">
        <v>1991</v>
      </c>
      <c r="E332" t="s">
        <v>427</v>
      </c>
      <c r="F332" t="s">
        <v>25</v>
      </c>
      <c r="G332" t="s">
        <v>1388</v>
      </c>
      <c r="H332" s="8">
        <v>0.09</v>
      </c>
      <c r="I332" s="2">
        <v>3.0268079999999999</v>
      </c>
      <c r="J332" s="7" t="s">
        <v>188</v>
      </c>
    </row>
    <row r="333" spans="1:10" ht="28.5">
      <c r="A333" t="s">
        <v>187</v>
      </c>
      <c r="B333" t="s">
        <v>1394</v>
      </c>
      <c r="C333" t="s">
        <v>1992</v>
      </c>
      <c r="D333" t="s">
        <v>1993</v>
      </c>
      <c r="E333" t="s">
        <v>1047</v>
      </c>
      <c r="F333" t="s">
        <v>253</v>
      </c>
      <c r="G333" t="s">
        <v>1388</v>
      </c>
      <c r="H333" s="8">
        <v>0.02</v>
      </c>
      <c r="I333" s="2">
        <v>0.672624</v>
      </c>
      <c r="J333" s="7" t="s">
        <v>188</v>
      </c>
    </row>
    <row r="334" spans="1:10" ht="28.5">
      <c r="A334" t="s">
        <v>187</v>
      </c>
      <c r="B334" t="s">
        <v>1394</v>
      </c>
      <c r="C334" t="s">
        <v>1994</v>
      </c>
      <c r="D334" t="s">
        <v>1995</v>
      </c>
      <c r="E334" t="s">
        <v>404</v>
      </c>
      <c r="F334" t="s">
        <v>23</v>
      </c>
      <c r="G334" t="s">
        <v>1388</v>
      </c>
      <c r="H334" s="8">
        <v>0.1</v>
      </c>
      <c r="I334" s="2">
        <v>3.3631200000000003</v>
      </c>
      <c r="J334" s="7" t="s">
        <v>188</v>
      </c>
    </row>
    <row r="335" spans="1:10" ht="28.5">
      <c r="A335" t="s">
        <v>187</v>
      </c>
      <c r="B335" t="s">
        <v>1394</v>
      </c>
      <c r="C335" t="s">
        <v>1996</v>
      </c>
      <c r="D335" t="s">
        <v>1997</v>
      </c>
      <c r="E335" t="s">
        <v>973</v>
      </c>
      <c r="F335" t="s">
        <v>253</v>
      </c>
      <c r="G335" t="s">
        <v>1388</v>
      </c>
      <c r="H335" s="8">
        <v>0.02</v>
      </c>
      <c r="I335" s="2">
        <v>0.672624</v>
      </c>
      <c r="J335" s="7" t="s">
        <v>188</v>
      </c>
    </row>
    <row r="336" spans="1:10" ht="28.5">
      <c r="A336" t="s">
        <v>187</v>
      </c>
      <c r="B336" t="s">
        <v>1394</v>
      </c>
      <c r="C336" t="s">
        <v>1998</v>
      </c>
      <c r="D336" t="s">
        <v>1999</v>
      </c>
      <c r="E336" t="s">
        <v>824</v>
      </c>
      <c r="F336" t="s">
        <v>50</v>
      </c>
      <c r="G336" t="s">
        <v>1388</v>
      </c>
      <c r="H336" s="8">
        <v>0.01</v>
      </c>
      <c r="I336" s="2">
        <v>0.336312</v>
      </c>
      <c r="J336" s="7" t="s">
        <v>188</v>
      </c>
    </row>
    <row r="337" spans="1:10" ht="28.5">
      <c r="A337" t="s">
        <v>187</v>
      </c>
      <c r="B337" t="s">
        <v>1394</v>
      </c>
      <c r="C337" t="s">
        <v>2000</v>
      </c>
      <c r="D337" t="s">
        <v>2001</v>
      </c>
      <c r="E337" t="s">
        <v>914</v>
      </c>
      <c r="F337" t="s">
        <v>108</v>
      </c>
      <c r="G337" t="s">
        <v>1388</v>
      </c>
      <c r="H337" s="8">
        <v>0.03</v>
      </c>
      <c r="I337" s="2">
        <v>1.0089359999999998</v>
      </c>
      <c r="J337" s="7" t="s">
        <v>188</v>
      </c>
    </row>
    <row r="338" spans="1:10" ht="28.5">
      <c r="A338" t="s">
        <v>187</v>
      </c>
      <c r="B338" t="s">
        <v>1394</v>
      </c>
      <c r="C338" t="s">
        <v>2002</v>
      </c>
      <c r="D338" t="s">
        <v>2003</v>
      </c>
      <c r="E338" t="s">
        <v>1048</v>
      </c>
      <c r="F338" t="s">
        <v>108</v>
      </c>
      <c r="G338" t="s">
        <v>1388</v>
      </c>
      <c r="H338" s="8">
        <v>0.02</v>
      </c>
      <c r="I338" s="2">
        <v>0.672624</v>
      </c>
      <c r="J338" s="7" t="s">
        <v>188</v>
      </c>
    </row>
    <row r="339" spans="1:10" ht="28.5">
      <c r="A339" t="s">
        <v>187</v>
      </c>
      <c r="B339" t="s">
        <v>1394</v>
      </c>
      <c r="C339" t="s">
        <v>1420</v>
      </c>
      <c r="D339" t="s">
        <v>1421</v>
      </c>
      <c r="E339" t="s">
        <v>133</v>
      </c>
      <c r="F339" t="s">
        <v>108</v>
      </c>
      <c r="G339" t="s">
        <v>1388</v>
      </c>
      <c r="H339" s="8">
        <v>0.37</v>
      </c>
      <c r="I339" s="2">
        <v>12.443543999999999</v>
      </c>
      <c r="J339" s="7" t="s">
        <v>188</v>
      </c>
    </row>
    <row r="340" spans="1:10" ht="28.5">
      <c r="A340" t="s">
        <v>187</v>
      </c>
      <c r="B340" t="s">
        <v>1394</v>
      </c>
      <c r="C340" t="s">
        <v>2004</v>
      </c>
      <c r="D340" t="s">
        <v>2005</v>
      </c>
      <c r="E340" t="s">
        <v>1301</v>
      </c>
      <c r="F340" t="s">
        <v>33</v>
      </c>
      <c r="G340" t="s">
        <v>1388</v>
      </c>
      <c r="H340" s="8">
        <v>0.01</v>
      </c>
      <c r="I340" s="2">
        <v>0.336312</v>
      </c>
      <c r="J340" s="7" t="s">
        <v>188</v>
      </c>
    </row>
    <row r="341" spans="1:10" ht="28.5">
      <c r="A341" t="s">
        <v>187</v>
      </c>
      <c r="B341" t="s">
        <v>1394</v>
      </c>
      <c r="C341" t="s">
        <v>2006</v>
      </c>
      <c r="D341" t="s">
        <v>2007</v>
      </c>
      <c r="E341" t="s">
        <v>729</v>
      </c>
      <c r="F341" t="s">
        <v>41</v>
      </c>
      <c r="G341" t="s">
        <v>1388</v>
      </c>
      <c r="H341" s="8">
        <v>0.02</v>
      </c>
      <c r="I341" s="2">
        <v>0.672624</v>
      </c>
      <c r="J341" s="7" t="s">
        <v>188</v>
      </c>
    </row>
    <row r="342" spans="1:10" ht="28.5">
      <c r="A342" t="s">
        <v>187</v>
      </c>
      <c r="B342" t="s">
        <v>1394</v>
      </c>
      <c r="C342" t="s">
        <v>2008</v>
      </c>
      <c r="D342" t="s">
        <v>2009</v>
      </c>
      <c r="E342" t="s">
        <v>346</v>
      </c>
      <c r="F342" t="s">
        <v>25</v>
      </c>
      <c r="G342" t="s">
        <v>1388</v>
      </c>
      <c r="H342" s="8">
        <v>0.02</v>
      </c>
      <c r="I342" s="2">
        <v>0.672624</v>
      </c>
      <c r="J342" s="7" t="s">
        <v>188</v>
      </c>
    </row>
    <row r="343" spans="1:10" ht="28.5">
      <c r="A343" t="s">
        <v>187</v>
      </c>
      <c r="B343" t="s">
        <v>1394</v>
      </c>
      <c r="C343" t="s">
        <v>2010</v>
      </c>
      <c r="D343" t="s">
        <v>2011</v>
      </c>
      <c r="E343" t="s">
        <v>607</v>
      </c>
      <c r="F343" t="s">
        <v>25</v>
      </c>
      <c r="G343" t="s">
        <v>1388</v>
      </c>
      <c r="H343" s="8">
        <v>0.06</v>
      </c>
      <c r="I343" s="2">
        <v>2.0178719999999997</v>
      </c>
      <c r="J343" s="7" t="s">
        <v>188</v>
      </c>
    </row>
    <row r="344" spans="1:10" ht="28.5">
      <c r="A344" t="s">
        <v>187</v>
      </c>
      <c r="B344" t="s">
        <v>1394</v>
      </c>
      <c r="C344" t="s">
        <v>2012</v>
      </c>
      <c r="D344" t="s">
        <v>2013</v>
      </c>
      <c r="E344" t="s">
        <v>763</v>
      </c>
      <c r="F344" t="s">
        <v>23</v>
      </c>
      <c r="G344" t="s">
        <v>1388</v>
      </c>
      <c r="H344" s="8">
        <v>0.04</v>
      </c>
      <c r="I344" s="2">
        <v>1.345248</v>
      </c>
      <c r="J344" s="7" t="s">
        <v>188</v>
      </c>
    </row>
    <row r="345" spans="1:10" ht="28.5">
      <c r="A345" t="s">
        <v>187</v>
      </c>
      <c r="B345" t="s">
        <v>1394</v>
      </c>
      <c r="C345" t="s">
        <v>2014</v>
      </c>
      <c r="D345" t="s">
        <v>2015</v>
      </c>
      <c r="E345" t="s">
        <v>1010</v>
      </c>
      <c r="F345" t="s">
        <v>108</v>
      </c>
      <c r="G345" t="s">
        <v>1388</v>
      </c>
      <c r="H345" s="8">
        <v>0.02</v>
      </c>
      <c r="I345" s="2">
        <v>0.672624</v>
      </c>
      <c r="J345" s="7" t="s">
        <v>188</v>
      </c>
    </row>
    <row r="346" spans="1:10" ht="28.5">
      <c r="A346" t="s">
        <v>187</v>
      </c>
      <c r="B346" t="s">
        <v>1394</v>
      </c>
      <c r="C346" t="s">
        <v>2016</v>
      </c>
      <c r="D346" t="s">
        <v>2017</v>
      </c>
      <c r="E346" t="s">
        <v>480</v>
      </c>
      <c r="F346" t="s">
        <v>108</v>
      </c>
      <c r="G346" t="s">
        <v>1388</v>
      </c>
      <c r="H346" s="8">
        <v>0.08</v>
      </c>
      <c r="I346" s="2">
        <v>2.690496</v>
      </c>
      <c r="J346" s="7" t="s">
        <v>188</v>
      </c>
    </row>
    <row r="347" spans="1:10" ht="28.5">
      <c r="A347" t="s">
        <v>187</v>
      </c>
      <c r="B347" t="s">
        <v>1394</v>
      </c>
      <c r="C347" t="s">
        <v>2018</v>
      </c>
      <c r="D347" t="s">
        <v>2019</v>
      </c>
      <c r="E347" t="s">
        <v>1261</v>
      </c>
      <c r="F347" t="s">
        <v>33</v>
      </c>
      <c r="G347" t="s">
        <v>1388</v>
      </c>
      <c r="H347" s="8">
        <v>0.01</v>
      </c>
      <c r="I347" s="2">
        <v>0.336312</v>
      </c>
      <c r="J347" s="7" t="s">
        <v>188</v>
      </c>
    </row>
    <row r="348" spans="1:10" ht="28.5">
      <c r="A348" t="s">
        <v>187</v>
      </c>
      <c r="B348" t="s">
        <v>1394</v>
      </c>
      <c r="C348" t="s">
        <v>2020</v>
      </c>
      <c r="D348" t="s">
        <v>2021</v>
      </c>
      <c r="E348" t="s">
        <v>183</v>
      </c>
      <c r="F348" t="s">
        <v>27</v>
      </c>
      <c r="G348" t="s">
        <v>1388</v>
      </c>
      <c r="H348" s="8">
        <v>0.1</v>
      </c>
      <c r="I348" s="2">
        <v>3.3631200000000003</v>
      </c>
      <c r="J348" s="7" t="s">
        <v>188</v>
      </c>
    </row>
    <row r="349" spans="1:10" ht="28.5">
      <c r="A349" t="s">
        <v>187</v>
      </c>
      <c r="B349" t="s">
        <v>1394</v>
      </c>
      <c r="C349" t="s">
        <v>2022</v>
      </c>
      <c r="D349" t="s">
        <v>2023</v>
      </c>
      <c r="E349" t="s">
        <v>575</v>
      </c>
      <c r="F349" t="s">
        <v>50</v>
      </c>
      <c r="G349" t="s">
        <v>1388</v>
      </c>
      <c r="H349" s="8">
        <v>0.06</v>
      </c>
      <c r="I349" s="2">
        <v>2.0178719999999997</v>
      </c>
      <c r="J349" s="7" t="s">
        <v>188</v>
      </c>
    </row>
    <row r="350" spans="1:10" ht="28.5">
      <c r="A350" t="s">
        <v>187</v>
      </c>
      <c r="B350" t="s">
        <v>1394</v>
      </c>
      <c r="C350" t="s">
        <v>2024</v>
      </c>
      <c r="D350" t="s">
        <v>2025</v>
      </c>
      <c r="E350" t="s">
        <v>504</v>
      </c>
      <c r="F350" t="s">
        <v>23</v>
      </c>
      <c r="G350" t="s">
        <v>1388</v>
      </c>
      <c r="H350" s="8">
        <v>0.04</v>
      </c>
      <c r="I350" s="2">
        <v>1.345248</v>
      </c>
      <c r="J350" s="7" t="s">
        <v>188</v>
      </c>
    </row>
    <row r="351" spans="1:10" ht="28.5">
      <c r="A351" t="s">
        <v>187</v>
      </c>
      <c r="B351" t="s">
        <v>1394</v>
      </c>
      <c r="C351" t="s">
        <v>2026</v>
      </c>
      <c r="D351" t="s">
        <v>2027</v>
      </c>
      <c r="E351" t="s">
        <v>234</v>
      </c>
      <c r="F351" t="s">
        <v>23</v>
      </c>
      <c r="G351" t="s">
        <v>1388</v>
      </c>
      <c r="H351" s="8">
        <v>0.23</v>
      </c>
      <c r="I351" s="2">
        <v>7.7351760000000001</v>
      </c>
      <c r="J351" s="7" t="s">
        <v>188</v>
      </c>
    </row>
    <row r="352" spans="1:10" ht="28.5">
      <c r="A352" t="s">
        <v>187</v>
      </c>
      <c r="B352" t="s">
        <v>1394</v>
      </c>
      <c r="C352" t="s">
        <v>2028</v>
      </c>
      <c r="D352" t="s">
        <v>2029</v>
      </c>
      <c r="E352" t="s">
        <v>284</v>
      </c>
      <c r="F352" t="s">
        <v>50</v>
      </c>
      <c r="G352" t="s">
        <v>1388</v>
      </c>
      <c r="H352" s="8">
        <v>0.04</v>
      </c>
      <c r="I352" s="2">
        <v>1.345248</v>
      </c>
      <c r="J352" s="7" t="s">
        <v>188</v>
      </c>
    </row>
    <row r="353" spans="1:10" ht="28.5">
      <c r="A353" t="s">
        <v>187</v>
      </c>
      <c r="B353" t="s">
        <v>1394</v>
      </c>
      <c r="C353" t="s">
        <v>2030</v>
      </c>
      <c r="D353" t="s">
        <v>2031</v>
      </c>
      <c r="E353" t="s">
        <v>309</v>
      </c>
      <c r="F353" t="s">
        <v>38</v>
      </c>
      <c r="G353" t="s">
        <v>1388</v>
      </c>
      <c r="H353" s="8">
        <v>0.14000000000000001</v>
      </c>
      <c r="I353" s="2">
        <v>4.7083680000000001</v>
      </c>
      <c r="J353" s="7" t="s">
        <v>188</v>
      </c>
    </row>
    <row r="354" spans="1:10" ht="28.5">
      <c r="A354" t="s">
        <v>187</v>
      </c>
      <c r="B354" t="s">
        <v>1394</v>
      </c>
      <c r="C354" t="s">
        <v>2032</v>
      </c>
      <c r="D354" t="s">
        <v>2033</v>
      </c>
      <c r="E354" t="s">
        <v>613</v>
      </c>
      <c r="F354" t="s">
        <v>38</v>
      </c>
      <c r="G354" t="s">
        <v>1388</v>
      </c>
      <c r="H354" s="8">
        <v>0.06</v>
      </c>
      <c r="I354" s="2">
        <v>2.0178719999999997</v>
      </c>
      <c r="J354" s="7" t="s">
        <v>188</v>
      </c>
    </row>
    <row r="355" spans="1:10" ht="28.5">
      <c r="A355" t="s">
        <v>187</v>
      </c>
      <c r="B355" t="s">
        <v>1394</v>
      </c>
      <c r="C355" t="s">
        <v>2034</v>
      </c>
      <c r="D355" t="s">
        <v>2035</v>
      </c>
      <c r="E355" t="s">
        <v>1117</v>
      </c>
      <c r="F355" t="s">
        <v>50</v>
      </c>
      <c r="G355" t="s">
        <v>1388</v>
      </c>
      <c r="H355" s="8">
        <v>0.02</v>
      </c>
      <c r="I355" s="2">
        <v>0.672624</v>
      </c>
      <c r="J355" s="7" t="s">
        <v>188</v>
      </c>
    </row>
    <row r="356" spans="1:10" ht="28.5">
      <c r="A356" t="s">
        <v>187</v>
      </c>
      <c r="B356" t="s">
        <v>1394</v>
      </c>
      <c r="C356" t="s">
        <v>2036</v>
      </c>
      <c r="D356" t="s">
        <v>2037</v>
      </c>
      <c r="E356" t="s">
        <v>297</v>
      </c>
      <c r="F356" t="s">
        <v>124</v>
      </c>
      <c r="G356" t="s">
        <v>1388</v>
      </c>
      <c r="H356" s="8">
        <v>0.15</v>
      </c>
      <c r="I356" s="2">
        <v>5.0446799999999996</v>
      </c>
      <c r="J356" s="7" t="s">
        <v>188</v>
      </c>
    </row>
    <row r="357" spans="1:10" ht="28.5">
      <c r="A357" t="s">
        <v>187</v>
      </c>
      <c r="B357" t="s">
        <v>1394</v>
      </c>
      <c r="C357" t="s">
        <v>2038</v>
      </c>
      <c r="D357" t="s">
        <v>2039</v>
      </c>
      <c r="E357" t="s">
        <v>738</v>
      </c>
      <c r="F357" t="s">
        <v>253</v>
      </c>
      <c r="G357" t="s">
        <v>1388</v>
      </c>
      <c r="H357" s="8">
        <v>0.04</v>
      </c>
      <c r="I357" s="2">
        <v>1.345248</v>
      </c>
      <c r="J357" s="7" t="s">
        <v>188</v>
      </c>
    </row>
    <row r="358" spans="1:10" ht="28.5">
      <c r="A358" t="s">
        <v>187</v>
      </c>
      <c r="B358" t="s">
        <v>1394</v>
      </c>
      <c r="C358" t="s">
        <v>2040</v>
      </c>
      <c r="D358" t="s">
        <v>2041</v>
      </c>
      <c r="E358" t="s">
        <v>978</v>
      </c>
      <c r="F358" t="s">
        <v>108</v>
      </c>
      <c r="G358" t="s">
        <v>1388</v>
      </c>
      <c r="H358" s="8">
        <v>0.02</v>
      </c>
      <c r="I358" s="2">
        <v>0.672624</v>
      </c>
      <c r="J358" s="7" t="s">
        <v>188</v>
      </c>
    </row>
    <row r="359" spans="1:10" ht="28.5">
      <c r="A359" t="s">
        <v>187</v>
      </c>
      <c r="B359" t="s">
        <v>1394</v>
      </c>
      <c r="C359" t="s">
        <v>2042</v>
      </c>
      <c r="D359" t="s">
        <v>2043</v>
      </c>
      <c r="E359" t="s">
        <v>442</v>
      </c>
      <c r="F359" t="s">
        <v>253</v>
      </c>
      <c r="G359" t="s">
        <v>1388</v>
      </c>
      <c r="H359" s="8">
        <v>0.09</v>
      </c>
      <c r="I359" s="2">
        <v>3.0268079999999999</v>
      </c>
      <c r="J359" s="7" t="s">
        <v>188</v>
      </c>
    </row>
    <row r="360" spans="1:10" ht="28.5">
      <c r="A360" t="s">
        <v>187</v>
      </c>
      <c r="B360" t="s">
        <v>1394</v>
      </c>
      <c r="C360" t="s">
        <v>2044</v>
      </c>
      <c r="D360" t="s">
        <v>2045</v>
      </c>
      <c r="E360" t="s">
        <v>150</v>
      </c>
      <c r="F360" t="s">
        <v>25</v>
      </c>
      <c r="G360" t="s">
        <v>1388</v>
      </c>
      <c r="H360" s="8">
        <v>0.04</v>
      </c>
      <c r="I360" s="2">
        <v>1.345248</v>
      </c>
      <c r="J360" s="7" t="s">
        <v>188</v>
      </c>
    </row>
    <row r="361" spans="1:10" ht="28.5">
      <c r="A361" t="s">
        <v>187</v>
      </c>
      <c r="B361" t="s">
        <v>1394</v>
      </c>
      <c r="C361" t="s">
        <v>2046</v>
      </c>
      <c r="D361" t="s">
        <v>2045</v>
      </c>
      <c r="E361" t="s">
        <v>150</v>
      </c>
      <c r="F361" t="s">
        <v>25</v>
      </c>
      <c r="G361" t="s">
        <v>1388</v>
      </c>
      <c r="H361" s="8">
        <v>0</v>
      </c>
      <c r="I361" s="2">
        <v>0</v>
      </c>
      <c r="J361" s="7" t="s">
        <v>188</v>
      </c>
    </row>
    <row r="362" spans="1:10" ht="28.5">
      <c r="A362" t="s">
        <v>187</v>
      </c>
      <c r="B362" t="s">
        <v>1394</v>
      </c>
      <c r="C362" t="s">
        <v>2047</v>
      </c>
      <c r="D362" t="s">
        <v>2048</v>
      </c>
      <c r="E362" t="s">
        <v>1349</v>
      </c>
      <c r="F362" t="s">
        <v>253</v>
      </c>
      <c r="G362" t="s">
        <v>1388</v>
      </c>
      <c r="H362" s="8">
        <v>0</v>
      </c>
      <c r="I362" s="2">
        <v>0</v>
      </c>
      <c r="J362" s="7" t="s">
        <v>188</v>
      </c>
    </row>
    <row r="363" spans="1:10" ht="28.5">
      <c r="A363" t="s">
        <v>187</v>
      </c>
      <c r="B363" t="s">
        <v>1394</v>
      </c>
      <c r="C363" t="s">
        <v>2049</v>
      </c>
      <c r="D363" t="s">
        <v>2050</v>
      </c>
      <c r="E363" t="s">
        <v>795</v>
      </c>
      <c r="F363" t="s">
        <v>38</v>
      </c>
      <c r="G363" t="s">
        <v>1388</v>
      </c>
      <c r="H363" s="8">
        <v>0.01</v>
      </c>
      <c r="I363" s="2">
        <v>0.336312</v>
      </c>
      <c r="J363" s="7" t="s">
        <v>188</v>
      </c>
    </row>
    <row r="364" spans="1:10" ht="28.5">
      <c r="A364" t="s">
        <v>187</v>
      </c>
      <c r="B364" t="s">
        <v>1394</v>
      </c>
      <c r="C364" t="s">
        <v>2051</v>
      </c>
      <c r="D364" t="s">
        <v>2052</v>
      </c>
      <c r="E364" t="s">
        <v>802</v>
      </c>
      <c r="F364" t="s">
        <v>33</v>
      </c>
      <c r="G364" t="s">
        <v>1388</v>
      </c>
      <c r="H364" s="8">
        <v>0.02</v>
      </c>
      <c r="I364" s="2">
        <v>0.672624</v>
      </c>
      <c r="J364" s="7" t="s">
        <v>188</v>
      </c>
    </row>
    <row r="365" spans="1:10" ht="28.5">
      <c r="A365" t="s">
        <v>187</v>
      </c>
      <c r="B365" t="s">
        <v>1394</v>
      </c>
      <c r="C365" t="s">
        <v>2053</v>
      </c>
      <c r="D365" t="s">
        <v>2054</v>
      </c>
      <c r="E365" t="s">
        <v>900</v>
      </c>
      <c r="F365" t="s">
        <v>50</v>
      </c>
      <c r="G365" t="s">
        <v>1388</v>
      </c>
      <c r="H365" s="8">
        <v>0.03</v>
      </c>
      <c r="I365" s="2">
        <v>1.0089359999999998</v>
      </c>
      <c r="J365" s="7" t="s">
        <v>188</v>
      </c>
    </row>
    <row r="366" spans="1:10" ht="28.5">
      <c r="A366" t="s">
        <v>187</v>
      </c>
      <c r="B366" t="s">
        <v>1394</v>
      </c>
      <c r="C366" t="s">
        <v>2055</v>
      </c>
      <c r="D366" t="s">
        <v>2056</v>
      </c>
      <c r="E366" t="s">
        <v>829</v>
      </c>
      <c r="F366" t="s">
        <v>23</v>
      </c>
      <c r="G366" t="s">
        <v>1388</v>
      </c>
      <c r="H366" s="8">
        <v>0.01</v>
      </c>
      <c r="I366" s="2">
        <v>0.336312</v>
      </c>
      <c r="J366" s="7" t="s">
        <v>188</v>
      </c>
    </row>
    <row r="367" spans="1:10" ht="28.5">
      <c r="A367" t="s">
        <v>187</v>
      </c>
      <c r="B367" t="s">
        <v>1394</v>
      </c>
      <c r="C367" t="s">
        <v>2057</v>
      </c>
      <c r="D367" t="s">
        <v>2058</v>
      </c>
      <c r="E367" t="s">
        <v>1008</v>
      </c>
      <c r="F367" t="s">
        <v>25</v>
      </c>
      <c r="G367" t="s">
        <v>1388</v>
      </c>
      <c r="H367" s="8">
        <v>0.02</v>
      </c>
      <c r="I367" s="2">
        <v>0.672624</v>
      </c>
      <c r="J367" s="7" t="s">
        <v>188</v>
      </c>
    </row>
    <row r="368" spans="1:10" ht="28.5">
      <c r="A368" t="s">
        <v>187</v>
      </c>
      <c r="B368" t="s">
        <v>1394</v>
      </c>
      <c r="C368" t="s">
        <v>2059</v>
      </c>
      <c r="D368" t="s">
        <v>2060</v>
      </c>
      <c r="E368" t="s">
        <v>314</v>
      </c>
      <c r="F368" t="s">
        <v>25</v>
      </c>
      <c r="G368" t="s">
        <v>1388</v>
      </c>
      <c r="H368" s="8">
        <v>0.14000000000000001</v>
      </c>
      <c r="I368" s="2">
        <v>4.7083680000000001</v>
      </c>
      <c r="J368" s="7" t="s">
        <v>188</v>
      </c>
    </row>
    <row r="369" spans="1:10" ht="28.5">
      <c r="A369" t="s">
        <v>187</v>
      </c>
      <c r="B369" t="s">
        <v>1394</v>
      </c>
      <c r="C369" t="s">
        <v>2061</v>
      </c>
      <c r="D369" t="s">
        <v>2062</v>
      </c>
      <c r="E369" t="s">
        <v>890</v>
      </c>
      <c r="F369" t="s">
        <v>23</v>
      </c>
      <c r="G369" t="s">
        <v>1388</v>
      </c>
      <c r="H369" s="8">
        <v>0.03</v>
      </c>
      <c r="I369" s="2">
        <v>1.0089359999999998</v>
      </c>
      <c r="J369" s="7" t="s">
        <v>188</v>
      </c>
    </row>
    <row r="370" spans="1:10" ht="28.5">
      <c r="A370" t="s">
        <v>187</v>
      </c>
      <c r="B370" t="s">
        <v>1394</v>
      </c>
      <c r="C370" t="s">
        <v>2063</v>
      </c>
      <c r="D370" t="s">
        <v>2064</v>
      </c>
      <c r="E370" t="s">
        <v>537</v>
      </c>
      <c r="F370" t="s">
        <v>41</v>
      </c>
      <c r="G370" t="s">
        <v>1388</v>
      </c>
      <c r="H370" s="8">
        <v>7.0000000000000007E-2</v>
      </c>
      <c r="I370" s="2">
        <v>2.3541840000000001</v>
      </c>
      <c r="J370" s="7" t="s">
        <v>188</v>
      </c>
    </row>
    <row r="371" spans="1:10" ht="28.5">
      <c r="A371" t="s">
        <v>187</v>
      </c>
      <c r="B371" t="s">
        <v>1394</v>
      </c>
      <c r="C371" t="s">
        <v>2065</v>
      </c>
      <c r="D371" t="s">
        <v>2066</v>
      </c>
      <c r="E371" t="s">
        <v>1177</v>
      </c>
      <c r="F371" t="s">
        <v>263</v>
      </c>
      <c r="G371" t="s">
        <v>1388</v>
      </c>
      <c r="H371" s="8">
        <v>0.01</v>
      </c>
      <c r="I371" s="2">
        <v>0.336312</v>
      </c>
      <c r="J371" s="7" t="s">
        <v>188</v>
      </c>
    </row>
    <row r="372" spans="1:10" ht="28.5">
      <c r="A372" t="s">
        <v>187</v>
      </c>
      <c r="B372" t="s">
        <v>1394</v>
      </c>
      <c r="C372" t="s">
        <v>2067</v>
      </c>
      <c r="D372" t="s">
        <v>2068</v>
      </c>
      <c r="E372" t="s">
        <v>113</v>
      </c>
      <c r="F372" t="s">
        <v>108</v>
      </c>
      <c r="G372" t="s">
        <v>1388</v>
      </c>
      <c r="H372" s="8">
        <v>0.47</v>
      </c>
      <c r="I372" s="2">
        <v>15.806663999999998</v>
      </c>
      <c r="J372" s="7" t="s">
        <v>188</v>
      </c>
    </row>
    <row r="373" spans="1:10" ht="28.5">
      <c r="A373" t="s">
        <v>187</v>
      </c>
      <c r="B373" t="s">
        <v>1394</v>
      </c>
      <c r="C373" t="s">
        <v>2069</v>
      </c>
      <c r="D373" t="s">
        <v>2070</v>
      </c>
      <c r="E373" t="s">
        <v>1355</v>
      </c>
      <c r="F373" t="s">
        <v>263</v>
      </c>
      <c r="G373" t="s">
        <v>1388</v>
      </c>
      <c r="H373" s="8">
        <v>0</v>
      </c>
      <c r="I373" s="2">
        <v>0</v>
      </c>
      <c r="J373" s="7" t="s">
        <v>188</v>
      </c>
    </row>
    <row r="374" spans="1:10" ht="28.5">
      <c r="A374" t="s">
        <v>187</v>
      </c>
      <c r="B374" t="s">
        <v>1394</v>
      </c>
      <c r="C374" t="s">
        <v>2071</v>
      </c>
      <c r="D374" t="s">
        <v>2072</v>
      </c>
      <c r="E374" t="s">
        <v>542</v>
      </c>
      <c r="F374" t="s">
        <v>23</v>
      </c>
      <c r="G374" t="s">
        <v>1388</v>
      </c>
      <c r="H374" s="8">
        <v>0.02</v>
      </c>
      <c r="I374" s="2">
        <v>0.672624</v>
      </c>
      <c r="J374" s="7" t="s">
        <v>188</v>
      </c>
    </row>
    <row r="375" spans="1:10" ht="28.5">
      <c r="A375" t="s">
        <v>187</v>
      </c>
      <c r="B375" t="s">
        <v>1394</v>
      </c>
      <c r="C375" t="s">
        <v>2073</v>
      </c>
      <c r="D375" t="s">
        <v>2074</v>
      </c>
      <c r="E375" t="s">
        <v>786</v>
      </c>
      <c r="F375" t="s">
        <v>25</v>
      </c>
      <c r="G375" t="s">
        <v>1388</v>
      </c>
      <c r="H375" s="8">
        <v>0.04</v>
      </c>
      <c r="I375" s="2">
        <v>1.345248</v>
      </c>
      <c r="J375" s="7" t="s">
        <v>188</v>
      </c>
    </row>
    <row r="376" spans="1:10" ht="28.5">
      <c r="A376" t="s">
        <v>187</v>
      </c>
      <c r="B376" t="s">
        <v>1394</v>
      </c>
      <c r="C376" t="s">
        <v>2075</v>
      </c>
      <c r="D376" t="s">
        <v>2076</v>
      </c>
      <c r="E376" t="s">
        <v>486</v>
      </c>
      <c r="F376" t="s">
        <v>41</v>
      </c>
      <c r="G376" t="s">
        <v>1388</v>
      </c>
      <c r="H376" s="8">
        <v>0.08</v>
      </c>
      <c r="I376" s="2">
        <v>2.690496</v>
      </c>
      <c r="J376" s="7" t="s">
        <v>188</v>
      </c>
    </row>
    <row r="377" spans="1:10" ht="28.5">
      <c r="A377" t="s">
        <v>187</v>
      </c>
      <c r="B377" t="s">
        <v>1394</v>
      </c>
      <c r="C377" t="s">
        <v>2077</v>
      </c>
      <c r="D377" t="s">
        <v>2078</v>
      </c>
      <c r="E377" t="s">
        <v>241</v>
      </c>
      <c r="F377" t="s">
        <v>25</v>
      </c>
      <c r="G377" t="s">
        <v>1388</v>
      </c>
      <c r="H377" s="8">
        <v>0.22</v>
      </c>
      <c r="I377" s="2">
        <v>7.3988639999999997</v>
      </c>
      <c r="J377" s="7" t="s">
        <v>188</v>
      </c>
    </row>
    <row r="378" spans="1:10" ht="28.5">
      <c r="A378" t="s">
        <v>187</v>
      </c>
      <c r="B378" t="s">
        <v>1394</v>
      </c>
      <c r="C378" t="s">
        <v>2079</v>
      </c>
      <c r="D378" t="s">
        <v>2080</v>
      </c>
      <c r="E378" t="s">
        <v>780</v>
      </c>
      <c r="F378" t="s">
        <v>263</v>
      </c>
      <c r="G378" t="s">
        <v>1388</v>
      </c>
      <c r="H378" s="8">
        <v>0.04</v>
      </c>
      <c r="I378" s="2">
        <v>1.345248</v>
      </c>
      <c r="J378" s="7" t="s">
        <v>188</v>
      </c>
    </row>
    <row r="379" spans="1:10" ht="28.5">
      <c r="A379" t="s">
        <v>187</v>
      </c>
      <c r="B379" t="s">
        <v>1394</v>
      </c>
      <c r="C379" t="s">
        <v>2081</v>
      </c>
      <c r="D379" t="s">
        <v>2082</v>
      </c>
      <c r="E379" t="s">
        <v>1366</v>
      </c>
      <c r="F379" t="s">
        <v>50</v>
      </c>
      <c r="G379" t="s">
        <v>1388</v>
      </c>
      <c r="H379" s="8">
        <v>0</v>
      </c>
      <c r="I379" s="2">
        <v>0</v>
      </c>
      <c r="J379" s="7" t="s">
        <v>188</v>
      </c>
    </row>
    <row r="380" spans="1:10" ht="28.5">
      <c r="A380" t="s">
        <v>187</v>
      </c>
      <c r="B380" t="s">
        <v>1394</v>
      </c>
      <c r="C380" t="s">
        <v>1899</v>
      </c>
      <c r="D380" t="s">
        <v>2083</v>
      </c>
      <c r="E380" t="s">
        <v>451</v>
      </c>
      <c r="F380" t="s">
        <v>33</v>
      </c>
      <c r="G380" t="s">
        <v>1388</v>
      </c>
      <c r="H380" s="8">
        <v>0.04</v>
      </c>
      <c r="I380" s="2">
        <v>1.345248</v>
      </c>
      <c r="J380" s="7" t="s">
        <v>188</v>
      </c>
    </row>
    <row r="381" spans="1:10" ht="28.5">
      <c r="A381" t="s">
        <v>187</v>
      </c>
      <c r="B381" t="s">
        <v>1394</v>
      </c>
      <c r="C381" t="s">
        <v>2084</v>
      </c>
      <c r="D381" t="s">
        <v>2085</v>
      </c>
      <c r="E381" t="s">
        <v>380</v>
      </c>
      <c r="F381" t="s">
        <v>50</v>
      </c>
      <c r="G381" t="s">
        <v>1388</v>
      </c>
      <c r="H381" s="8">
        <v>0.11</v>
      </c>
      <c r="I381" s="2">
        <v>3.6994319999999998</v>
      </c>
      <c r="J381" s="7" t="s">
        <v>188</v>
      </c>
    </row>
    <row r="382" spans="1:10" ht="28.5">
      <c r="A382" t="s">
        <v>187</v>
      </c>
      <c r="B382" t="s">
        <v>1394</v>
      </c>
      <c r="C382" t="s">
        <v>2086</v>
      </c>
      <c r="D382" t="s">
        <v>2087</v>
      </c>
      <c r="E382" t="s">
        <v>1352</v>
      </c>
      <c r="F382" t="s">
        <v>27</v>
      </c>
      <c r="G382" t="s">
        <v>1388</v>
      </c>
      <c r="H382" s="8">
        <v>0</v>
      </c>
      <c r="I382" s="2">
        <v>0</v>
      </c>
      <c r="J382" s="7" t="s">
        <v>188</v>
      </c>
    </row>
    <row r="383" spans="1:10" ht="28.5">
      <c r="A383" t="s">
        <v>187</v>
      </c>
      <c r="B383" t="s">
        <v>1394</v>
      </c>
      <c r="C383" t="s">
        <v>2088</v>
      </c>
      <c r="D383" t="s">
        <v>2089</v>
      </c>
      <c r="E383" t="s">
        <v>401</v>
      </c>
      <c r="F383" t="s">
        <v>50</v>
      </c>
      <c r="G383" t="s">
        <v>1388</v>
      </c>
      <c r="H383" s="8">
        <v>0.1</v>
      </c>
      <c r="I383" s="2">
        <v>3.3631200000000003</v>
      </c>
      <c r="J383" s="7" t="s">
        <v>188</v>
      </c>
    </row>
    <row r="384" spans="1:10" ht="28.5">
      <c r="A384" t="s">
        <v>187</v>
      </c>
      <c r="B384" t="s">
        <v>1394</v>
      </c>
      <c r="C384" t="s">
        <v>2090</v>
      </c>
      <c r="D384" t="s">
        <v>2091</v>
      </c>
      <c r="E384" t="s">
        <v>893</v>
      </c>
      <c r="F384" t="s">
        <v>50</v>
      </c>
      <c r="G384" t="s">
        <v>1388</v>
      </c>
      <c r="H384" s="8">
        <v>0.03</v>
      </c>
      <c r="I384" s="2">
        <v>1.0089359999999998</v>
      </c>
      <c r="J384" s="7" t="s">
        <v>188</v>
      </c>
    </row>
    <row r="385" spans="1:10" ht="28.5">
      <c r="A385" t="s">
        <v>187</v>
      </c>
      <c r="B385" t="s">
        <v>1394</v>
      </c>
      <c r="C385" t="s">
        <v>2092</v>
      </c>
      <c r="D385" t="s">
        <v>2093</v>
      </c>
      <c r="E385" t="s">
        <v>1356</v>
      </c>
      <c r="F385" t="s">
        <v>23</v>
      </c>
      <c r="G385" t="s">
        <v>1388</v>
      </c>
      <c r="H385" s="8">
        <v>0</v>
      </c>
      <c r="I385" s="2">
        <v>0</v>
      </c>
      <c r="J385" s="7" t="s">
        <v>188</v>
      </c>
    </row>
    <row r="386" spans="1:10" ht="28.5">
      <c r="A386" t="s">
        <v>187</v>
      </c>
      <c r="B386" t="s">
        <v>1394</v>
      </c>
      <c r="C386" t="s">
        <v>2094</v>
      </c>
      <c r="D386" t="s">
        <v>2095</v>
      </c>
      <c r="E386" t="s">
        <v>192</v>
      </c>
      <c r="F386" t="s">
        <v>33</v>
      </c>
      <c r="G386" t="s">
        <v>1388</v>
      </c>
      <c r="H386" s="8">
        <v>0.15</v>
      </c>
      <c r="I386" s="2">
        <v>5.0446799999999996</v>
      </c>
      <c r="J386" s="7" t="s">
        <v>188</v>
      </c>
    </row>
    <row r="387" spans="1:10" ht="28.5">
      <c r="A387" t="s">
        <v>187</v>
      </c>
      <c r="B387" t="s">
        <v>1394</v>
      </c>
      <c r="C387" t="s">
        <v>2096</v>
      </c>
      <c r="D387" t="s">
        <v>2097</v>
      </c>
      <c r="E387" t="s">
        <v>1374</v>
      </c>
      <c r="F387" t="s">
        <v>25</v>
      </c>
      <c r="G387" t="s">
        <v>1388</v>
      </c>
      <c r="H387" s="8">
        <v>0</v>
      </c>
      <c r="I387" s="2">
        <v>0</v>
      </c>
      <c r="J387" s="7" t="s">
        <v>188</v>
      </c>
    </row>
    <row r="388" spans="1:10" ht="28.5">
      <c r="A388" t="s">
        <v>187</v>
      </c>
      <c r="B388" t="s">
        <v>1394</v>
      </c>
      <c r="C388" t="s">
        <v>2098</v>
      </c>
      <c r="D388" t="s">
        <v>2099</v>
      </c>
      <c r="E388" t="s">
        <v>320</v>
      </c>
      <c r="F388" t="s">
        <v>38</v>
      </c>
      <c r="G388" t="s">
        <v>1388</v>
      </c>
      <c r="H388" s="8">
        <v>0.04</v>
      </c>
      <c r="I388" s="2">
        <v>1.345248</v>
      </c>
      <c r="J388" s="7" t="s">
        <v>188</v>
      </c>
    </row>
    <row r="389" spans="1:10" ht="28.5">
      <c r="A389" t="s">
        <v>187</v>
      </c>
      <c r="B389" t="s">
        <v>1394</v>
      </c>
      <c r="C389" t="s">
        <v>2100</v>
      </c>
      <c r="D389" t="s">
        <v>2101</v>
      </c>
      <c r="E389" t="s">
        <v>719</v>
      </c>
      <c r="F389" t="s">
        <v>50</v>
      </c>
      <c r="G389" t="s">
        <v>1388</v>
      </c>
      <c r="H389" s="8">
        <v>0.01</v>
      </c>
      <c r="I389" s="2">
        <v>0.336312</v>
      </c>
      <c r="J389" s="7" t="s">
        <v>188</v>
      </c>
    </row>
    <row r="390" spans="1:10" ht="28.5">
      <c r="A390" t="s">
        <v>187</v>
      </c>
      <c r="B390" t="s">
        <v>1394</v>
      </c>
      <c r="C390" t="s">
        <v>2102</v>
      </c>
      <c r="D390" t="s">
        <v>2103</v>
      </c>
      <c r="E390" t="s">
        <v>1102</v>
      </c>
      <c r="F390" t="s">
        <v>50</v>
      </c>
      <c r="G390" t="s">
        <v>1388</v>
      </c>
      <c r="H390" s="8">
        <v>0.02</v>
      </c>
      <c r="I390" s="2">
        <v>0.672624</v>
      </c>
      <c r="J390" s="7" t="s">
        <v>188</v>
      </c>
    </row>
    <row r="391" spans="1:10" ht="28.5">
      <c r="A391" t="s">
        <v>187</v>
      </c>
      <c r="B391" t="s">
        <v>1394</v>
      </c>
      <c r="C391" t="s">
        <v>2104</v>
      </c>
      <c r="D391" t="s">
        <v>2105</v>
      </c>
      <c r="E391" t="s">
        <v>687</v>
      </c>
      <c r="F391" t="s">
        <v>23</v>
      </c>
      <c r="G391" t="s">
        <v>1388</v>
      </c>
      <c r="H391" s="8">
        <v>0.05</v>
      </c>
      <c r="I391" s="2">
        <v>1.6815600000000002</v>
      </c>
      <c r="J391" s="7" t="s">
        <v>188</v>
      </c>
    </row>
    <row r="392" spans="1:10" ht="28.5">
      <c r="A392" t="s">
        <v>187</v>
      </c>
      <c r="B392" t="s">
        <v>1394</v>
      </c>
      <c r="C392" t="s">
        <v>2106</v>
      </c>
      <c r="D392" t="s">
        <v>2107</v>
      </c>
      <c r="E392" t="s">
        <v>851</v>
      </c>
      <c r="F392" t="s">
        <v>33</v>
      </c>
      <c r="G392" t="s">
        <v>1388</v>
      </c>
      <c r="H392" s="8">
        <v>0.03</v>
      </c>
      <c r="I392" s="2">
        <v>1.0089359999999998</v>
      </c>
      <c r="J392" s="7" t="s">
        <v>188</v>
      </c>
    </row>
    <row r="393" spans="1:10" ht="28.5">
      <c r="A393" t="s">
        <v>187</v>
      </c>
      <c r="B393" t="s">
        <v>1394</v>
      </c>
      <c r="C393" t="s">
        <v>2108</v>
      </c>
      <c r="D393" t="s">
        <v>2109</v>
      </c>
      <c r="E393" t="s">
        <v>672</v>
      </c>
      <c r="F393" t="s">
        <v>50</v>
      </c>
      <c r="G393" t="s">
        <v>1388</v>
      </c>
      <c r="H393" s="8">
        <v>0.05</v>
      </c>
      <c r="I393" s="2">
        <v>1.6815600000000002</v>
      </c>
      <c r="J393" s="7" t="s">
        <v>188</v>
      </c>
    </row>
    <row r="394" spans="1:10" ht="28.5">
      <c r="A394" t="s">
        <v>187</v>
      </c>
      <c r="B394" t="s">
        <v>1394</v>
      </c>
      <c r="C394" t="s">
        <v>2110</v>
      </c>
      <c r="D394" t="s">
        <v>2111</v>
      </c>
      <c r="E394" t="s">
        <v>387</v>
      </c>
      <c r="F394" t="s">
        <v>50</v>
      </c>
      <c r="G394" t="s">
        <v>1388</v>
      </c>
      <c r="H394" s="8">
        <v>0.02</v>
      </c>
      <c r="I394" s="2">
        <v>0.672624</v>
      </c>
      <c r="J394" s="7" t="s">
        <v>188</v>
      </c>
    </row>
    <row r="395" spans="1:10" ht="28.5">
      <c r="A395" t="s">
        <v>187</v>
      </c>
      <c r="B395" t="s">
        <v>1394</v>
      </c>
      <c r="C395" t="s">
        <v>2112</v>
      </c>
      <c r="D395" t="s">
        <v>2113</v>
      </c>
      <c r="E395" t="s">
        <v>814</v>
      </c>
      <c r="F395" t="s">
        <v>263</v>
      </c>
      <c r="G395" t="s">
        <v>1388</v>
      </c>
      <c r="H395" s="8">
        <v>0.01</v>
      </c>
      <c r="I395" s="2">
        <v>0.336312</v>
      </c>
      <c r="J395" s="7" t="s">
        <v>188</v>
      </c>
    </row>
    <row r="396" spans="1:10" ht="28.5">
      <c r="A396" t="s">
        <v>187</v>
      </c>
      <c r="B396" t="s">
        <v>1394</v>
      </c>
      <c r="C396" t="s">
        <v>2114</v>
      </c>
      <c r="D396" t="s">
        <v>2115</v>
      </c>
      <c r="E396" t="s">
        <v>513</v>
      </c>
      <c r="F396" t="s">
        <v>263</v>
      </c>
      <c r="G396" t="s">
        <v>1388</v>
      </c>
      <c r="H396" s="8">
        <v>0.02</v>
      </c>
      <c r="I396" s="2">
        <v>0.672624</v>
      </c>
      <c r="J396" s="7" t="s">
        <v>188</v>
      </c>
    </row>
    <row r="397" spans="1:10" ht="28.5">
      <c r="A397" t="s">
        <v>187</v>
      </c>
      <c r="B397" t="s">
        <v>1394</v>
      </c>
      <c r="C397" t="s">
        <v>2116</v>
      </c>
      <c r="D397" t="s">
        <v>2117</v>
      </c>
      <c r="E397" t="s">
        <v>816</v>
      </c>
      <c r="F397" t="s">
        <v>23</v>
      </c>
      <c r="G397" t="s">
        <v>1388</v>
      </c>
      <c r="H397" s="8">
        <v>0.02</v>
      </c>
      <c r="I397" s="2">
        <v>0.672624</v>
      </c>
      <c r="J397" s="7" t="s">
        <v>188</v>
      </c>
    </row>
    <row r="398" spans="1:10" ht="28.5">
      <c r="A398" t="s">
        <v>187</v>
      </c>
      <c r="B398" t="s">
        <v>1394</v>
      </c>
      <c r="C398" t="s">
        <v>2118</v>
      </c>
      <c r="D398" t="s">
        <v>2119</v>
      </c>
      <c r="E398" t="s">
        <v>102</v>
      </c>
      <c r="F398" t="s">
        <v>33</v>
      </c>
      <c r="G398" t="s">
        <v>1388</v>
      </c>
      <c r="H398" s="8">
        <v>0.14000000000000001</v>
      </c>
      <c r="I398" s="2">
        <v>4.7083680000000001</v>
      </c>
      <c r="J398" s="7" t="s">
        <v>188</v>
      </c>
    </row>
    <row r="399" spans="1:10" ht="28.5">
      <c r="A399" t="s">
        <v>187</v>
      </c>
      <c r="B399" t="s">
        <v>1394</v>
      </c>
      <c r="C399" t="s">
        <v>1844</v>
      </c>
      <c r="D399" t="s">
        <v>2120</v>
      </c>
      <c r="E399" t="s">
        <v>595</v>
      </c>
      <c r="F399" t="s">
        <v>108</v>
      </c>
      <c r="G399" t="s">
        <v>1388</v>
      </c>
      <c r="H399" s="8">
        <v>0.06</v>
      </c>
      <c r="I399" s="2">
        <v>2.0178719999999997</v>
      </c>
      <c r="J399" s="7" t="s">
        <v>188</v>
      </c>
    </row>
    <row r="400" spans="1:10" ht="28.5">
      <c r="A400" t="s">
        <v>187</v>
      </c>
      <c r="B400" t="s">
        <v>1394</v>
      </c>
      <c r="C400" t="s">
        <v>2121</v>
      </c>
      <c r="D400" t="s">
        <v>2122</v>
      </c>
      <c r="E400" t="s">
        <v>502</v>
      </c>
      <c r="F400" t="s">
        <v>23</v>
      </c>
      <c r="G400" t="s">
        <v>1388</v>
      </c>
      <c r="H400" s="8">
        <v>0.04</v>
      </c>
      <c r="I400" s="2">
        <v>1.345248</v>
      </c>
      <c r="J400" s="7" t="s">
        <v>188</v>
      </c>
    </row>
    <row r="401" spans="1:10" ht="28.5">
      <c r="A401" t="s">
        <v>187</v>
      </c>
      <c r="B401" t="s">
        <v>1394</v>
      </c>
      <c r="C401" t="s">
        <v>2123</v>
      </c>
      <c r="D401" t="s">
        <v>2124</v>
      </c>
      <c r="E401" t="s">
        <v>923</v>
      </c>
      <c r="F401" t="s">
        <v>38</v>
      </c>
      <c r="G401" t="s">
        <v>1388</v>
      </c>
      <c r="H401" s="8">
        <v>0.03</v>
      </c>
      <c r="I401" s="2">
        <v>1.0089359999999998</v>
      </c>
      <c r="J401" s="7" t="s">
        <v>188</v>
      </c>
    </row>
    <row r="402" spans="1:10" ht="28.5">
      <c r="A402" t="s">
        <v>187</v>
      </c>
      <c r="B402" t="s">
        <v>1394</v>
      </c>
      <c r="C402" t="s">
        <v>2125</v>
      </c>
      <c r="D402" t="s">
        <v>2126</v>
      </c>
      <c r="E402" t="s">
        <v>1290</v>
      </c>
      <c r="F402" t="s">
        <v>50</v>
      </c>
      <c r="G402" t="s">
        <v>1388</v>
      </c>
      <c r="H402" s="8">
        <v>0.01</v>
      </c>
      <c r="I402" s="2">
        <v>0.336312</v>
      </c>
      <c r="J402" s="7" t="s">
        <v>188</v>
      </c>
    </row>
    <row r="403" spans="1:10" ht="28.5">
      <c r="A403" t="s">
        <v>187</v>
      </c>
      <c r="B403" t="s">
        <v>1394</v>
      </c>
      <c r="C403" t="s">
        <v>2127</v>
      </c>
      <c r="D403" t="s">
        <v>2128</v>
      </c>
      <c r="E403" t="s">
        <v>803</v>
      </c>
      <c r="F403" t="s">
        <v>25</v>
      </c>
      <c r="G403" t="s">
        <v>1388</v>
      </c>
      <c r="H403" s="8">
        <v>0.02</v>
      </c>
      <c r="I403" s="2">
        <v>0.672624</v>
      </c>
      <c r="J403" s="7" t="s">
        <v>188</v>
      </c>
    </row>
    <row r="404" spans="1:10" ht="28.5">
      <c r="A404" t="s">
        <v>187</v>
      </c>
      <c r="B404" t="s">
        <v>1394</v>
      </c>
      <c r="C404" t="s">
        <v>2129</v>
      </c>
      <c r="D404" t="s">
        <v>2130</v>
      </c>
      <c r="E404" t="s">
        <v>436</v>
      </c>
      <c r="F404" t="s">
        <v>25</v>
      </c>
      <c r="G404" t="s">
        <v>1388</v>
      </c>
      <c r="H404" s="8">
        <v>0.09</v>
      </c>
      <c r="I404" s="2">
        <v>3.0268079999999999</v>
      </c>
      <c r="J404" s="7" t="s">
        <v>188</v>
      </c>
    </row>
    <row r="405" spans="1:10" ht="28.5">
      <c r="A405" t="s">
        <v>187</v>
      </c>
      <c r="B405" t="s">
        <v>1394</v>
      </c>
      <c r="C405" t="s">
        <v>2131</v>
      </c>
      <c r="D405" t="s">
        <v>2132</v>
      </c>
      <c r="E405" t="s">
        <v>1359</v>
      </c>
      <c r="F405" t="s">
        <v>108</v>
      </c>
      <c r="G405" t="s">
        <v>1388</v>
      </c>
      <c r="H405" s="8">
        <v>0</v>
      </c>
      <c r="I405" s="2">
        <v>0</v>
      </c>
      <c r="J405" s="7" t="s">
        <v>188</v>
      </c>
    </row>
    <row r="406" spans="1:10" ht="28.5">
      <c r="A406" t="s">
        <v>187</v>
      </c>
      <c r="B406" t="s">
        <v>1394</v>
      </c>
      <c r="C406" t="s">
        <v>2133</v>
      </c>
      <c r="D406" t="s">
        <v>2134</v>
      </c>
      <c r="E406" t="s">
        <v>334</v>
      </c>
      <c r="F406" t="s">
        <v>23</v>
      </c>
      <c r="G406" t="s">
        <v>1388</v>
      </c>
      <c r="H406" s="8">
        <v>0.13</v>
      </c>
      <c r="I406" s="2">
        <v>4.3720559999999997</v>
      </c>
      <c r="J406" s="7" t="s">
        <v>188</v>
      </c>
    </row>
    <row r="407" spans="1:10" ht="28.5">
      <c r="A407" t="s">
        <v>187</v>
      </c>
      <c r="B407" t="s">
        <v>1394</v>
      </c>
      <c r="C407" t="s">
        <v>2135</v>
      </c>
      <c r="D407" t="s">
        <v>2136</v>
      </c>
      <c r="E407" t="s">
        <v>1071</v>
      </c>
      <c r="F407" t="s">
        <v>38</v>
      </c>
      <c r="G407" t="s">
        <v>1388</v>
      </c>
      <c r="H407" s="8">
        <v>0.02</v>
      </c>
      <c r="I407" s="2">
        <v>0.672624</v>
      </c>
      <c r="J407" s="7" t="s">
        <v>188</v>
      </c>
    </row>
    <row r="408" spans="1:10" ht="28.5">
      <c r="A408" t="s">
        <v>187</v>
      </c>
      <c r="B408" t="s">
        <v>1394</v>
      </c>
      <c r="C408" t="s">
        <v>2137</v>
      </c>
      <c r="D408" t="s">
        <v>2138</v>
      </c>
      <c r="E408" t="s">
        <v>281</v>
      </c>
      <c r="F408" t="s">
        <v>50</v>
      </c>
      <c r="G408" t="s">
        <v>1388</v>
      </c>
      <c r="H408" s="8">
        <v>0.17</v>
      </c>
      <c r="I408" s="2">
        <v>5.7173040000000004</v>
      </c>
      <c r="J408" s="7" t="s">
        <v>188</v>
      </c>
    </row>
    <row r="409" spans="1:10" ht="28.5">
      <c r="A409" t="s">
        <v>187</v>
      </c>
      <c r="B409" t="s">
        <v>1394</v>
      </c>
      <c r="C409" t="s">
        <v>2139</v>
      </c>
      <c r="D409" t="s">
        <v>2140</v>
      </c>
      <c r="E409" t="s">
        <v>1282</v>
      </c>
      <c r="F409" t="s">
        <v>38</v>
      </c>
      <c r="G409" t="s">
        <v>1388</v>
      </c>
      <c r="H409" s="8">
        <v>0.01</v>
      </c>
      <c r="I409" s="2">
        <v>0.336312</v>
      </c>
      <c r="J409" s="7" t="s">
        <v>188</v>
      </c>
    </row>
    <row r="410" spans="1:10" ht="28.5">
      <c r="A410" t="s">
        <v>187</v>
      </c>
      <c r="B410" t="s">
        <v>1394</v>
      </c>
      <c r="C410" t="s">
        <v>2141</v>
      </c>
      <c r="D410" t="s">
        <v>2142</v>
      </c>
      <c r="E410" t="s">
        <v>201</v>
      </c>
      <c r="F410" t="s">
        <v>25</v>
      </c>
      <c r="G410" t="s">
        <v>1388</v>
      </c>
      <c r="H410" s="8">
        <v>0.13</v>
      </c>
      <c r="I410" s="2">
        <v>4.3720559999999997</v>
      </c>
      <c r="J410" s="7" t="s">
        <v>188</v>
      </c>
    </row>
    <row r="411" spans="1:10" ht="28.5">
      <c r="A411" t="s">
        <v>187</v>
      </c>
      <c r="B411" t="s">
        <v>1394</v>
      </c>
      <c r="C411" t="s">
        <v>2143</v>
      </c>
      <c r="D411" t="s">
        <v>2144</v>
      </c>
      <c r="E411" t="s">
        <v>564</v>
      </c>
      <c r="F411" t="s">
        <v>50</v>
      </c>
      <c r="G411" t="s">
        <v>1388</v>
      </c>
      <c r="H411" s="8">
        <v>0.01</v>
      </c>
      <c r="I411" s="2">
        <v>0.336312</v>
      </c>
      <c r="J411" s="7" t="s">
        <v>188</v>
      </c>
    </row>
    <row r="412" spans="1:10" ht="28.5">
      <c r="A412" t="s">
        <v>187</v>
      </c>
      <c r="B412" t="s">
        <v>1394</v>
      </c>
      <c r="C412" t="s">
        <v>2145</v>
      </c>
      <c r="D412" t="s">
        <v>2145</v>
      </c>
      <c r="E412" t="s">
        <v>1342</v>
      </c>
      <c r="F412" t="s">
        <v>33</v>
      </c>
      <c r="G412" t="s">
        <v>1388</v>
      </c>
      <c r="H412" s="8">
        <v>0</v>
      </c>
      <c r="I412" s="2">
        <v>0</v>
      </c>
      <c r="J412" s="7" t="s">
        <v>188</v>
      </c>
    </row>
    <row r="413" spans="1:10" ht="28.5">
      <c r="A413" t="s">
        <v>187</v>
      </c>
      <c r="B413" t="s">
        <v>1394</v>
      </c>
      <c r="C413" t="s">
        <v>2146</v>
      </c>
      <c r="D413" t="s">
        <v>2147</v>
      </c>
      <c r="E413" t="s">
        <v>415</v>
      </c>
      <c r="F413" t="s">
        <v>38</v>
      </c>
      <c r="G413" t="s">
        <v>1388</v>
      </c>
      <c r="H413" s="8">
        <v>0.03</v>
      </c>
      <c r="I413" s="2">
        <v>1.0089359999999998</v>
      </c>
      <c r="J413" s="7" t="s">
        <v>188</v>
      </c>
    </row>
    <row r="414" spans="1:10" ht="28.5">
      <c r="A414" t="s">
        <v>187</v>
      </c>
      <c r="B414" t="s">
        <v>1394</v>
      </c>
      <c r="C414" t="s">
        <v>2148</v>
      </c>
      <c r="D414" t="s">
        <v>2149</v>
      </c>
      <c r="E414" t="s">
        <v>1278</v>
      </c>
      <c r="F414" t="s">
        <v>25</v>
      </c>
      <c r="G414" t="s">
        <v>1388</v>
      </c>
      <c r="H414" s="8">
        <v>0.01</v>
      </c>
      <c r="I414" s="2">
        <v>0.336312</v>
      </c>
      <c r="J414" s="7" t="s">
        <v>188</v>
      </c>
    </row>
    <row r="415" spans="1:10" ht="28.5">
      <c r="A415" t="s">
        <v>187</v>
      </c>
      <c r="B415" t="s">
        <v>1394</v>
      </c>
      <c r="C415" t="s">
        <v>2150</v>
      </c>
      <c r="D415" t="s">
        <v>2151</v>
      </c>
      <c r="E415" t="s">
        <v>247</v>
      </c>
      <c r="F415" t="s">
        <v>23</v>
      </c>
      <c r="G415" t="s">
        <v>1388</v>
      </c>
      <c r="H415" s="8">
        <v>7.0000000000000007E-2</v>
      </c>
      <c r="I415" s="2">
        <v>2.3541840000000001</v>
      </c>
      <c r="J415" s="7" t="s">
        <v>188</v>
      </c>
    </row>
    <row r="416" spans="1:10" ht="28.5">
      <c r="A416" t="s">
        <v>187</v>
      </c>
      <c r="B416" t="s">
        <v>1394</v>
      </c>
      <c r="C416" t="s">
        <v>2152</v>
      </c>
      <c r="D416" t="s">
        <v>2153</v>
      </c>
      <c r="E416" t="s">
        <v>106</v>
      </c>
      <c r="F416" t="s">
        <v>23</v>
      </c>
      <c r="G416" t="s">
        <v>1388</v>
      </c>
      <c r="H416" s="8">
        <v>0.06</v>
      </c>
      <c r="I416" s="2">
        <v>2.0178719999999997</v>
      </c>
      <c r="J416" s="7" t="s">
        <v>188</v>
      </c>
    </row>
    <row r="417" spans="1:10" ht="28.5">
      <c r="A417" t="s">
        <v>187</v>
      </c>
      <c r="B417" t="s">
        <v>1394</v>
      </c>
      <c r="C417" t="s">
        <v>2154</v>
      </c>
      <c r="D417" t="s">
        <v>2155</v>
      </c>
      <c r="E417" t="s">
        <v>639</v>
      </c>
      <c r="F417" t="s">
        <v>50</v>
      </c>
      <c r="G417" t="s">
        <v>1388</v>
      </c>
      <c r="H417" s="8">
        <v>0.01</v>
      </c>
      <c r="I417" s="2">
        <v>0.336312</v>
      </c>
      <c r="J417" s="7" t="s">
        <v>188</v>
      </c>
    </row>
    <row r="418" spans="1:10" ht="28.5">
      <c r="A418" t="s">
        <v>187</v>
      </c>
      <c r="B418" t="s">
        <v>1394</v>
      </c>
      <c r="C418" t="s">
        <v>2156</v>
      </c>
      <c r="D418" t="s">
        <v>2157</v>
      </c>
      <c r="E418" t="s">
        <v>243</v>
      </c>
      <c r="F418" t="s">
        <v>50</v>
      </c>
      <c r="G418" t="s">
        <v>1388</v>
      </c>
      <c r="H418" s="8">
        <v>7.0000000000000007E-2</v>
      </c>
      <c r="I418" s="2">
        <v>2.3541840000000001</v>
      </c>
      <c r="J418" s="7" t="s">
        <v>188</v>
      </c>
    </row>
    <row r="419" spans="1:10" ht="28.5">
      <c r="A419" t="s">
        <v>187</v>
      </c>
      <c r="B419" t="s">
        <v>1394</v>
      </c>
      <c r="C419" t="s">
        <v>2158</v>
      </c>
      <c r="D419" t="s">
        <v>2159</v>
      </c>
      <c r="E419" t="s">
        <v>359</v>
      </c>
      <c r="F419" t="s">
        <v>27</v>
      </c>
      <c r="G419" t="s">
        <v>1388</v>
      </c>
      <c r="H419" s="8">
        <v>0.12</v>
      </c>
      <c r="I419" s="2">
        <v>4.0357439999999993</v>
      </c>
      <c r="J419" s="7" t="s">
        <v>188</v>
      </c>
    </row>
    <row r="420" spans="1:10" ht="28.5">
      <c r="A420" t="s">
        <v>187</v>
      </c>
      <c r="B420" t="s">
        <v>1394</v>
      </c>
      <c r="C420" t="s">
        <v>2160</v>
      </c>
      <c r="D420" t="s">
        <v>2161</v>
      </c>
      <c r="E420" t="s">
        <v>369</v>
      </c>
      <c r="F420" t="s">
        <v>124</v>
      </c>
      <c r="G420" t="s">
        <v>1388</v>
      </c>
      <c r="H420" s="8">
        <v>0.05</v>
      </c>
      <c r="I420" s="2">
        <v>1.6815600000000002</v>
      </c>
      <c r="J420" s="7" t="s">
        <v>188</v>
      </c>
    </row>
    <row r="421" spans="1:10" ht="28.5">
      <c r="A421" t="s">
        <v>187</v>
      </c>
      <c r="B421" t="s">
        <v>1394</v>
      </c>
      <c r="C421" t="s">
        <v>2162</v>
      </c>
      <c r="D421" t="s">
        <v>2163</v>
      </c>
      <c r="E421" t="s">
        <v>856</v>
      </c>
      <c r="F421" t="s">
        <v>33</v>
      </c>
      <c r="G421" t="s">
        <v>1388</v>
      </c>
      <c r="H421" s="8">
        <v>0.03</v>
      </c>
      <c r="I421" s="2">
        <v>1.0089359999999998</v>
      </c>
      <c r="J421" s="7" t="s">
        <v>188</v>
      </c>
    </row>
    <row r="422" spans="1:10" ht="28.5">
      <c r="A422" t="s">
        <v>187</v>
      </c>
      <c r="B422" t="s">
        <v>1394</v>
      </c>
      <c r="C422" t="s">
        <v>2164</v>
      </c>
      <c r="D422" t="s">
        <v>2165</v>
      </c>
      <c r="E422" t="s">
        <v>665</v>
      </c>
      <c r="F422" t="s">
        <v>108</v>
      </c>
      <c r="G422" t="s">
        <v>1388</v>
      </c>
      <c r="H422" s="8">
        <v>0.05</v>
      </c>
      <c r="I422" s="2">
        <v>1.6815600000000002</v>
      </c>
      <c r="J422" s="7" t="s">
        <v>188</v>
      </c>
    </row>
    <row r="423" spans="1:10" ht="28.5">
      <c r="A423" t="s">
        <v>187</v>
      </c>
      <c r="B423" t="s">
        <v>1394</v>
      </c>
      <c r="C423" t="s">
        <v>2166</v>
      </c>
      <c r="D423" t="s">
        <v>2167</v>
      </c>
      <c r="E423" t="s">
        <v>503</v>
      </c>
      <c r="F423" t="s">
        <v>124</v>
      </c>
      <c r="G423" t="s">
        <v>1388</v>
      </c>
      <c r="H423" s="8">
        <v>0.04</v>
      </c>
      <c r="I423" s="2">
        <v>1.345248</v>
      </c>
      <c r="J423" s="7" t="s">
        <v>188</v>
      </c>
    </row>
    <row r="424" spans="1:10" ht="28.5">
      <c r="A424" t="s">
        <v>187</v>
      </c>
      <c r="B424" t="s">
        <v>1394</v>
      </c>
      <c r="C424" t="s">
        <v>2168</v>
      </c>
      <c r="D424" t="s">
        <v>2169</v>
      </c>
      <c r="E424" t="s">
        <v>1153</v>
      </c>
      <c r="F424" t="s">
        <v>38</v>
      </c>
      <c r="G424" t="s">
        <v>1388</v>
      </c>
      <c r="H424" s="8">
        <v>0.01</v>
      </c>
      <c r="I424" s="2">
        <v>0.336312</v>
      </c>
      <c r="J424" s="7" t="s">
        <v>188</v>
      </c>
    </row>
    <row r="425" spans="1:10" ht="28.5">
      <c r="A425" t="s">
        <v>187</v>
      </c>
      <c r="B425" t="s">
        <v>1394</v>
      </c>
      <c r="C425" t="s">
        <v>2170</v>
      </c>
      <c r="D425" t="s">
        <v>2171</v>
      </c>
      <c r="E425" t="s">
        <v>1330</v>
      </c>
      <c r="F425" t="s">
        <v>38</v>
      </c>
      <c r="G425" t="s">
        <v>1388</v>
      </c>
      <c r="H425" s="8">
        <v>0.01</v>
      </c>
      <c r="I425" s="2">
        <v>0.336312</v>
      </c>
      <c r="J425" s="7" t="s">
        <v>188</v>
      </c>
    </row>
    <row r="426" spans="1:10" ht="28.5">
      <c r="A426" t="s">
        <v>187</v>
      </c>
      <c r="B426" t="s">
        <v>1394</v>
      </c>
      <c r="C426" t="s">
        <v>2172</v>
      </c>
      <c r="D426" t="s">
        <v>2173</v>
      </c>
      <c r="E426" t="s">
        <v>576</v>
      </c>
      <c r="F426" t="s">
        <v>263</v>
      </c>
      <c r="G426" t="s">
        <v>1388</v>
      </c>
      <c r="H426" s="8">
        <v>0.06</v>
      </c>
      <c r="I426" s="2">
        <v>2.0178719999999997</v>
      </c>
      <c r="J426" s="7" t="s">
        <v>188</v>
      </c>
    </row>
    <row r="427" spans="1:10" ht="28.5">
      <c r="A427" t="s">
        <v>187</v>
      </c>
      <c r="B427" t="s">
        <v>1394</v>
      </c>
      <c r="C427" t="s">
        <v>2174</v>
      </c>
      <c r="D427" t="s">
        <v>2175</v>
      </c>
      <c r="E427" t="s">
        <v>739</v>
      </c>
      <c r="F427" t="s">
        <v>25</v>
      </c>
      <c r="G427" t="s">
        <v>1388</v>
      </c>
      <c r="H427" s="8">
        <v>0.04</v>
      </c>
      <c r="I427" s="2">
        <v>1.345248</v>
      </c>
      <c r="J427" s="7" t="s">
        <v>188</v>
      </c>
    </row>
    <row r="428" spans="1:10" ht="28.5">
      <c r="A428" t="s">
        <v>187</v>
      </c>
      <c r="B428" t="s">
        <v>1394</v>
      </c>
      <c r="C428" t="s">
        <v>2176</v>
      </c>
      <c r="D428" t="s">
        <v>2177</v>
      </c>
      <c r="E428" t="s">
        <v>623</v>
      </c>
      <c r="F428" t="s">
        <v>23</v>
      </c>
      <c r="G428" t="s">
        <v>1388</v>
      </c>
      <c r="H428" s="8">
        <v>0.03</v>
      </c>
      <c r="I428" s="2">
        <v>1.0089359999999998</v>
      </c>
      <c r="J428" s="7" t="s">
        <v>188</v>
      </c>
    </row>
    <row r="429" spans="1:10" ht="28.5">
      <c r="A429" t="s">
        <v>187</v>
      </c>
      <c r="B429" t="s">
        <v>1394</v>
      </c>
      <c r="C429" t="s">
        <v>2178</v>
      </c>
      <c r="D429" t="s">
        <v>2179</v>
      </c>
      <c r="E429" t="s">
        <v>877</v>
      </c>
      <c r="F429" t="s">
        <v>108</v>
      </c>
      <c r="G429" t="s">
        <v>1388</v>
      </c>
      <c r="H429" s="8">
        <v>0.03</v>
      </c>
      <c r="I429" s="2">
        <v>1.0089359999999998</v>
      </c>
      <c r="J429" s="7" t="s">
        <v>188</v>
      </c>
    </row>
    <row r="430" spans="1:10" ht="28.5">
      <c r="A430" t="s">
        <v>187</v>
      </c>
      <c r="B430" t="s">
        <v>1394</v>
      </c>
      <c r="C430" t="s">
        <v>2180</v>
      </c>
      <c r="D430" t="s">
        <v>2181</v>
      </c>
      <c r="E430" t="s">
        <v>891</v>
      </c>
      <c r="F430" t="s">
        <v>108</v>
      </c>
      <c r="G430" t="s">
        <v>1388</v>
      </c>
      <c r="H430" s="8">
        <v>0.03</v>
      </c>
      <c r="I430" s="2">
        <v>1.0089359999999998</v>
      </c>
      <c r="J430" s="7" t="s">
        <v>188</v>
      </c>
    </row>
    <row r="431" spans="1:10" ht="28.5">
      <c r="A431" t="s">
        <v>187</v>
      </c>
      <c r="B431" t="s">
        <v>1394</v>
      </c>
      <c r="C431" t="s">
        <v>2182</v>
      </c>
      <c r="D431" t="s">
        <v>2183</v>
      </c>
      <c r="E431" t="s">
        <v>773</v>
      </c>
      <c r="F431" t="s">
        <v>38</v>
      </c>
      <c r="G431" t="s">
        <v>1388</v>
      </c>
      <c r="H431" s="8">
        <v>0.04</v>
      </c>
      <c r="I431" s="2">
        <v>1.345248</v>
      </c>
      <c r="J431" s="7" t="s">
        <v>188</v>
      </c>
    </row>
    <row r="432" spans="1:10" ht="28.5">
      <c r="A432" t="s">
        <v>187</v>
      </c>
      <c r="B432" t="s">
        <v>1394</v>
      </c>
      <c r="C432" t="s">
        <v>2184</v>
      </c>
      <c r="D432" t="s">
        <v>2185</v>
      </c>
      <c r="E432" t="s">
        <v>528</v>
      </c>
      <c r="F432" t="s">
        <v>253</v>
      </c>
      <c r="G432" t="s">
        <v>1388</v>
      </c>
      <c r="H432" s="8">
        <v>7.0000000000000007E-2</v>
      </c>
      <c r="I432" s="2">
        <v>2.3541840000000001</v>
      </c>
      <c r="J432" s="7" t="s">
        <v>188</v>
      </c>
    </row>
    <row r="433" spans="1:10" ht="28.5">
      <c r="A433" t="s">
        <v>187</v>
      </c>
      <c r="B433" t="s">
        <v>1394</v>
      </c>
      <c r="C433" t="s">
        <v>2186</v>
      </c>
      <c r="D433" t="s">
        <v>2187</v>
      </c>
      <c r="E433" t="s">
        <v>1196</v>
      </c>
      <c r="F433" t="s">
        <v>38</v>
      </c>
      <c r="G433" t="s">
        <v>1388</v>
      </c>
      <c r="H433" s="8">
        <v>0.01</v>
      </c>
      <c r="I433" s="2">
        <v>0.336312</v>
      </c>
      <c r="J433" s="7" t="s">
        <v>188</v>
      </c>
    </row>
    <row r="434" spans="1:10" ht="28.5">
      <c r="A434" t="s">
        <v>187</v>
      </c>
      <c r="B434" t="s">
        <v>1394</v>
      </c>
      <c r="C434" t="s">
        <v>2188</v>
      </c>
      <c r="D434" t="s">
        <v>2189</v>
      </c>
      <c r="E434" t="s">
        <v>487</v>
      </c>
      <c r="F434" t="s">
        <v>38</v>
      </c>
      <c r="G434" t="s">
        <v>1388</v>
      </c>
      <c r="H434" s="8">
        <v>0.08</v>
      </c>
      <c r="I434" s="2">
        <v>2.690496</v>
      </c>
      <c r="J434" s="7" t="s">
        <v>188</v>
      </c>
    </row>
    <row r="435" spans="1:10" ht="28.5">
      <c r="A435" t="s">
        <v>187</v>
      </c>
      <c r="B435" t="s">
        <v>1394</v>
      </c>
      <c r="C435" t="s">
        <v>2190</v>
      </c>
      <c r="D435" t="s">
        <v>2191</v>
      </c>
      <c r="E435" t="s">
        <v>836</v>
      </c>
      <c r="F435" t="s">
        <v>50</v>
      </c>
      <c r="G435" t="s">
        <v>1388</v>
      </c>
      <c r="H435" s="8">
        <v>0.03</v>
      </c>
      <c r="I435" s="2">
        <v>1.0089359999999998</v>
      </c>
      <c r="J435" s="7" t="s">
        <v>188</v>
      </c>
    </row>
    <row r="436" spans="1:10" ht="28.5">
      <c r="A436" t="s">
        <v>187</v>
      </c>
      <c r="B436" t="s">
        <v>1394</v>
      </c>
      <c r="C436" t="s">
        <v>2192</v>
      </c>
      <c r="D436" t="s">
        <v>2193</v>
      </c>
      <c r="E436" t="s">
        <v>1005</v>
      </c>
      <c r="F436" t="s">
        <v>41</v>
      </c>
      <c r="G436" t="s">
        <v>1388</v>
      </c>
      <c r="H436" s="8">
        <v>0.02</v>
      </c>
      <c r="I436" s="2">
        <v>0.672624</v>
      </c>
      <c r="J436" s="7" t="s">
        <v>188</v>
      </c>
    </row>
    <row r="437" spans="1:10" ht="28.5">
      <c r="A437" t="s">
        <v>187</v>
      </c>
      <c r="B437" t="s">
        <v>1394</v>
      </c>
      <c r="C437" t="s">
        <v>2194</v>
      </c>
      <c r="D437" t="s">
        <v>2195</v>
      </c>
      <c r="E437" t="s">
        <v>1314</v>
      </c>
      <c r="F437" t="s">
        <v>38</v>
      </c>
      <c r="G437" t="s">
        <v>1388</v>
      </c>
      <c r="H437" s="8">
        <v>0.01</v>
      </c>
      <c r="I437" s="2">
        <v>0.336312</v>
      </c>
      <c r="J437" s="7" t="s">
        <v>188</v>
      </c>
    </row>
    <row r="438" spans="1:10" ht="28.5">
      <c r="A438" t="s">
        <v>187</v>
      </c>
      <c r="B438" t="s">
        <v>1394</v>
      </c>
      <c r="C438" t="s">
        <v>2196</v>
      </c>
      <c r="D438" t="s">
        <v>2197</v>
      </c>
      <c r="E438" t="s">
        <v>695</v>
      </c>
      <c r="F438" t="s">
        <v>41</v>
      </c>
      <c r="G438" t="s">
        <v>1388</v>
      </c>
      <c r="H438" s="8">
        <v>0.02</v>
      </c>
      <c r="I438" s="2">
        <v>0.672624</v>
      </c>
      <c r="J438" s="7" t="s">
        <v>188</v>
      </c>
    </row>
    <row r="439" spans="1:10" ht="28.5">
      <c r="A439" t="s">
        <v>187</v>
      </c>
      <c r="B439" t="s">
        <v>1394</v>
      </c>
      <c r="C439" t="s">
        <v>2198</v>
      </c>
      <c r="D439" t="s">
        <v>2198</v>
      </c>
      <c r="E439" t="s">
        <v>609</v>
      </c>
      <c r="F439" t="s">
        <v>50</v>
      </c>
      <c r="G439" t="s">
        <v>1388</v>
      </c>
      <c r="H439" s="8">
        <v>0.06</v>
      </c>
      <c r="I439" s="2">
        <v>2.0178719999999997</v>
      </c>
      <c r="J439" s="7" t="s">
        <v>188</v>
      </c>
    </row>
    <row r="440" spans="1:10" ht="28.5">
      <c r="A440" t="s">
        <v>187</v>
      </c>
      <c r="B440" t="s">
        <v>1394</v>
      </c>
      <c r="C440" t="s">
        <v>2158</v>
      </c>
      <c r="D440" t="s">
        <v>2199</v>
      </c>
      <c r="E440" t="s">
        <v>845</v>
      </c>
      <c r="F440" t="s">
        <v>253</v>
      </c>
      <c r="G440" t="s">
        <v>1388</v>
      </c>
      <c r="H440" s="8">
        <v>0.03</v>
      </c>
      <c r="I440" s="2">
        <v>1.0089359999999998</v>
      </c>
      <c r="J440" s="7" t="s">
        <v>188</v>
      </c>
    </row>
    <row r="441" spans="1:10" ht="28.5">
      <c r="A441" t="s">
        <v>187</v>
      </c>
      <c r="B441" t="s">
        <v>1394</v>
      </c>
      <c r="C441" t="s">
        <v>2200</v>
      </c>
      <c r="D441" t="s">
        <v>2201</v>
      </c>
      <c r="E441" t="s">
        <v>377</v>
      </c>
      <c r="F441" t="s">
        <v>253</v>
      </c>
      <c r="G441" t="s">
        <v>1388</v>
      </c>
      <c r="H441" s="8">
        <v>0.11</v>
      </c>
      <c r="I441" s="2">
        <v>3.6994319999999998</v>
      </c>
      <c r="J441" s="7" t="s">
        <v>188</v>
      </c>
    </row>
    <row r="442" spans="1:10" ht="28.5">
      <c r="A442" t="s">
        <v>187</v>
      </c>
      <c r="B442" t="s">
        <v>1394</v>
      </c>
      <c r="C442" t="s">
        <v>2202</v>
      </c>
      <c r="D442" t="s">
        <v>2203</v>
      </c>
      <c r="E442" t="s">
        <v>1018</v>
      </c>
      <c r="F442" t="s">
        <v>41</v>
      </c>
      <c r="G442" t="s">
        <v>1388</v>
      </c>
      <c r="H442" s="8">
        <v>0.02</v>
      </c>
      <c r="I442" s="2">
        <v>0.672624</v>
      </c>
      <c r="J442" s="7" t="s">
        <v>188</v>
      </c>
    </row>
    <row r="443" spans="1:10" ht="28.5">
      <c r="A443" t="s">
        <v>187</v>
      </c>
      <c r="B443" t="s">
        <v>1394</v>
      </c>
      <c r="C443" t="s">
        <v>2204</v>
      </c>
      <c r="D443" t="s">
        <v>2205</v>
      </c>
      <c r="E443" t="s">
        <v>651</v>
      </c>
      <c r="F443" t="s">
        <v>253</v>
      </c>
      <c r="G443" t="s">
        <v>1388</v>
      </c>
      <c r="H443" s="8">
        <v>0.05</v>
      </c>
      <c r="I443" s="2">
        <v>1.6815600000000002</v>
      </c>
      <c r="J443" s="7" t="s">
        <v>188</v>
      </c>
    </row>
    <row r="444" spans="1:10" ht="28.5">
      <c r="A444" t="s">
        <v>187</v>
      </c>
      <c r="B444" t="s">
        <v>1394</v>
      </c>
      <c r="C444" t="s">
        <v>2206</v>
      </c>
      <c r="D444" t="s">
        <v>2207</v>
      </c>
      <c r="E444" t="s">
        <v>454</v>
      </c>
      <c r="F444" t="s">
        <v>50</v>
      </c>
      <c r="G444" t="s">
        <v>1388</v>
      </c>
      <c r="H444" s="8">
        <v>0.02</v>
      </c>
      <c r="I444" s="2">
        <v>0.672624</v>
      </c>
      <c r="J444" s="7" t="s">
        <v>188</v>
      </c>
    </row>
    <row r="445" spans="1:10" ht="28.5">
      <c r="A445" t="s">
        <v>187</v>
      </c>
      <c r="B445" t="s">
        <v>1394</v>
      </c>
      <c r="C445" t="s">
        <v>2208</v>
      </c>
      <c r="D445" t="s">
        <v>2209</v>
      </c>
      <c r="E445" t="s">
        <v>278</v>
      </c>
      <c r="F445" t="s">
        <v>50</v>
      </c>
      <c r="G445" t="s">
        <v>1388</v>
      </c>
      <c r="H445" s="8">
        <v>0.17</v>
      </c>
      <c r="I445" s="2">
        <v>5.7173040000000004</v>
      </c>
      <c r="J445" s="7" t="s">
        <v>188</v>
      </c>
    </row>
    <row r="446" spans="1:10" ht="28.5">
      <c r="A446" t="s">
        <v>187</v>
      </c>
      <c r="B446" t="s">
        <v>1394</v>
      </c>
      <c r="C446" t="s">
        <v>2210</v>
      </c>
      <c r="D446" t="s">
        <v>2211</v>
      </c>
      <c r="E446" t="s">
        <v>1065</v>
      </c>
      <c r="F446" t="s">
        <v>50</v>
      </c>
      <c r="G446" t="s">
        <v>1388</v>
      </c>
      <c r="H446" s="8">
        <v>0.02</v>
      </c>
      <c r="I446" s="2">
        <v>0.672624</v>
      </c>
      <c r="J446" s="7" t="s">
        <v>188</v>
      </c>
    </row>
    <row r="447" spans="1:10" ht="28.5">
      <c r="A447" t="s">
        <v>187</v>
      </c>
      <c r="B447" t="s">
        <v>1394</v>
      </c>
      <c r="C447" t="s">
        <v>2212</v>
      </c>
      <c r="D447" t="s">
        <v>2213</v>
      </c>
      <c r="E447" t="s">
        <v>615</v>
      </c>
      <c r="F447" t="s">
        <v>38</v>
      </c>
      <c r="G447" t="s">
        <v>1388</v>
      </c>
      <c r="H447" s="8">
        <v>0.06</v>
      </c>
      <c r="I447" s="2">
        <v>2.0178719999999997</v>
      </c>
      <c r="J447" s="7" t="s">
        <v>188</v>
      </c>
    </row>
    <row r="448" spans="1:10" ht="28.5">
      <c r="A448" t="s">
        <v>187</v>
      </c>
      <c r="B448" t="s">
        <v>1394</v>
      </c>
      <c r="C448" t="s">
        <v>2214</v>
      </c>
      <c r="D448" t="s">
        <v>2215</v>
      </c>
      <c r="E448" t="s">
        <v>1156</v>
      </c>
      <c r="F448" t="s">
        <v>27</v>
      </c>
      <c r="G448" t="s">
        <v>1388</v>
      </c>
      <c r="H448" s="8">
        <v>0.01</v>
      </c>
      <c r="I448" s="2">
        <v>0.336312</v>
      </c>
      <c r="J448" s="7" t="s">
        <v>188</v>
      </c>
    </row>
    <row r="449" spans="1:10" ht="28.5">
      <c r="A449" t="s">
        <v>187</v>
      </c>
      <c r="B449" t="s">
        <v>1394</v>
      </c>
      <c r="C449" t="s">
        <v>2216</v>
      </c>
      <c r="D449" t="s">
        <v>2217</v>
      </c>
      <c r="E449" t="s">
        <v>115</v>
      </c>
      <c r="F449" t="s">
        <v>41</v>
      </c>
      <c r="G449" t="s">
        <v>1388</v>
      </c>
      <c r="H449" s="8">
        <v>0.08</v>
      </c>
      <c r="I449" s="2">
        <v>2.690496</v>
      </c>
      <c r="J449" s="7" t="s">
        <v>188</v>
      </c>
    </row>
    <row r="450" spans="1:10" ht="28.5">
      <c r="A450" t="s">
        <v>187</v>
      </c>
      <c r="B450" t="s">
        <v>1394</v>
      </c>
      <c r="C450" t="s">
        <v>2218</v>
      </c>
      <c r="D450" t="s">
        <v>2219</v>
      </c>
      <c r="E450" t="s">
        <v>420</v>
      </c>
      <c r="F450" t="s">
        <v>253</v>
      </c>
      <c r="G450" t="s">
        <v>1388</v>
      </c>
      <c r="H450" s="8">
        <v>0.03</v>
      </c>
      <c r="I450" s="2">
        <v>1.0089359999999998</v>
      </c>
      <c r="J450" s="7" t="s">
        <v>188</v>
      </c>
    </row>
    <row r="451" spans="1:10" ht="28.5">
      <c r="A451" t="s">
        <v>187</v>
      </c>
      <c r="B451" t="s">
        <v>1394</v>
      </c>
      <c r="C451" t="s">
        <v>2220</v>
      </c>
      <c r="D451" t="s">
        <v>2221</v>
      </c>
      <c r="E451" t="s">
        <v>730</v>
      </c>
      <c r="F451" t="s">
        <v>253</v>
      </c>
      <c r="G451" t="s">
        <v>1388</v>
      </c>
      <c r="H451" s="8">
        <v>0.02</v>
      </c>
      <c r="I451" s="2">
        <v>0.672624</v>
      </c>
      <c r="J451" s="7" t="s">
        <v>188</v>
      </c>
    </row>
    <row r="452" spans="1:10" ht="28.5">
      <c r="A452" t="s">
        <v>187</v>
      </c>
      <c r="B452" t="s">
        <v>1394</v>
      </c>
      <c r="C452" t="s">
        <v>2222</v>
      </c>
      <c r="D452" t="s">
        <v>2223</v>
      </c>
      <c r="E452" t="s">
        <v>1343</v>
      </c>
      <c r="F452" t="s">
        <v>253</v>
      </c>
      <c r="G452" t="s">
        <v>1388</v>
      </c>
      <c r="H452" s="8">
        <v>0</v>
      </c>
      <c r="I452" s="2">
        <v>0</v>
      </c>
      <c r="J452" s="7" t="s">
        <v>188</v>
      </c>
    </row>
    <row r="453" spans="1:10" ht="28.5">
      <c r="A453" t="s">
        <v>187</v>
      </c>
      <c r="B453" t="s">
        <v>1394</v>
      </c>
      <c r="C453" t="s">
        <v>2224</v>
      </c>
      <c r="D453" t="s">
        <v>2225</v>
      </c>
      <c r="E453" t="s">
        <v>649</v>
      </c>
      <c r="F453" t="s">
        <v>33</v>
      </c>
      <c r="G453" t="s">
        <v>1388</v>
      </c>
      <c r="H453" s="8">
        <v>0.05</v>
      </c>
      <c r="I453" s="2">
        <v>1.6815600000000002</v>
      </c>
      <c r="J453" s="7" t="s">
        <v>188</v>
      </c>
    </row>
    <row r="454" spans="1:10" ht="28.5">
      <c r="A454" t="s">
        <v>187</v>
      </c>
      <c r="B454" t="s">
        <v>1394</v>
      </c>
      <c r="C454" t="s">
        <v>2226</v>
      </c>
      <c r="D454" t="s">
        <v>2227</v>
      </c>
      <c r="E454" t="s">
        <v>704</v>
      </c>
      <c r="F454" t="s">
        <v>50</v>
      </c>
      <c r="G454" t="s">
        <v>1388</v>
      </c>
      <c r="H454" s="8">
        <v>0.01</v>
      </c>
      <c r="I454" s="2">
        <v>0.336312</v>
      </c>
      <c r="J454" s="7" t="s">
        <v>188</v>
      </c>
    </row>
    <row r="455" spans="1:10" ht="28.5">
      <c r="A455" t="s">
        <v>187</v>
      </c>
      <c r="B455" t="s">
        <v>1394</v>
      </c>
      <c r="C455" t="s">
        <v>2228</v>
      </c>
      <c r="D455" t="s">
        <v>2229</v>
      </c>
      <c r="E455" t="s">
        <v>1245</v>
      </c>
      <c r="F455" t="s">
        <v>33</v>
      </c>
      <c r="G455" t="s">
        <v>1388</v>
      </c>
      <c r="H455" s="8">
        <v>0.01</v>
      </c>
      <c r="I455" s="2">
        <v>0.336312</v>
      </c>
      <c r="J455" s="7" t="s">
        <v>188</v>
      </c>
    </row>
    <row r="456" spans="1:10" ht="28.5">
      <c r="A456" t="s">
        <v>187</v>
      </c>
      <c r="B456" t="s">
        <v>1394</v>
      </c>
      <c r="C456" t="s">
        <v>2230</v>
      </c>
      <c r="D456" t="s">
        <v>2231</v>
      </c>
      <c r="E456" t="s">
        <v>982</v>
      </c>
      <c r="F456" t="s">
        <v>50</v>
      </c>
      <c r="G456" t="s">
        <v>1388</v>
      </c>
      <c r="H456" s="8">
        <v>0.02</v>
      </c>
      <c r="I456" s="2">
        <v>0.672624</v>
      </c>
      <c r="J456" s="7" t="s">
        <v>188</v>
      </c>
    </row>
    <row r="457" spans="1:10" ht="28.5">
      <c r="A457" t="s">
        <v>187</v>
      </c>
      <c r="B457" t="s">
        <v>1394</v>
      </c>
      <c r="C457" t="s">
        <v>2232</v>
      </c>
      <c r="D457" t="s">
        <v>2233</v>
      </c>
      <c r="E457" t="s">
        <v>652</v>
      </c>
      <c r="F457" t="s">
        <v>27</v>
      </c>
      <c r="G457" t="s">
        <v>1388</v>
      </c>
      <c r="H457" s="8">
        <v>0.05</v>
      </c>
      <c r="I457" s="2">
        <v>1.6815600000000002</v>
      </c>
      <c r="J457" s="7" t="s">
        <v>188</v>
      </c>
    </row>
    <row r="458" spans="1:10" ht="28.5">
      <c r="A458" t="s">
        <v>187</v>
      </c>
      <c r="B458" t="s">
        <v>1394</v>
      </c>
      <c r="C458" t="s">
        <v>2234</v>
      </c>
      <c r="D458" t="s">
        <v>2235</v>
      </c>
      <c r="E458" t="s">
        <v>1249</v>
      </c>
      <c r="F458" t="s">
        <v>50</v>
      </c>
      <c r="G458" t="s">
        <v>1388</v>
      </c>
      <c r="H458" s="8">
        <v>0.01</v>
      </c>
      <c r="I458" s="2">
        <v>0.336312</v>
      </c>
      <c r="J458" s="7" t="s">
        <v>188</v>
      </c>
    </row>
    <row r="459" spans="1:10" ht="28.5">
      <c r="A459" t="s">
        <v>187</v>
      </c>
      <c r="B459" t="s">
        <v>1394</v>
      </c>
      <c r="C459" t="s">
        <v>2236</v>
      </c>
      <c r="D459" t="s">
        <v>2237</v>
      </c>
      <c r="E459" t="s">
        <v>237</v>
      </c>
      <c r="F459" t="s">
        <v>33</v>
      </c>
      <c r="G459" t="s">
        <v>1388</v>
      </c>
      <c r="H459" s="8">
        <v>0.09</v>
      </c>
      <c r="I459" s="2">
        <v>3.0268079999999999</v>
      </c>
      <c r="J459" s="7" t="s">
        <v>188</v>
      </c>
    </row>
    <row r="460" spans="1:10" ht="28.5">
      <c r="A460" t="s">
        <v>187</v>
      </c>
      <c r="B460" t="s">
        <v>1394</v>
      </c>
      <c r="C460" t="s">
        <v>1422</v>
      </c>
      <c r="D460" t="s">
        <v>1423</v>
      </c>
      <c r="E460" t="s">
        <v>32</v>
      </c>
      <c r="F460" t="s">
        <v>33</v>
      </c>
      <c r="G460" t="s">
        <v>1388</v>
      </c>
      <c r="H460" s="8">
        <v>1.04</v>
      </c>
      <c r="I460" s="2">
        <v>34.976447999999998</v>
      </c>
      <c r="J460" s="7" t="s">
        <v>188</v>
      </c>
    </row>
    <row r="461" spans="1:10" ht="28.5">
      <c r="A461" t="s">
        <v>187</v>
      </c>
      <c r="B461" t="s">
        <v>1394</v>
      </c>
      <c r="C461" t="s">
        <v>2238</v>
      </c>
      <c r="D461" t="s">
        <v>2239</v>
      </c>
      <c r="E461" t="s">
        <v>1262</v>
      </c>
      <c r="F461" t="s">
        <v>253</v>
      </c>
      <c r="G461" t="s">
        <v>1388</v>
      </c>
      <c r="H461" s="8">
        <v>0.01</v>
      </c>
      <c r="I461" s="2">
        <v>0.336312</v>
      </c>
      <c r="J461" s="7" t="s">
        <v>188</v>
      </c>
    </row>
    <row r="462" spans="1:10" ht="28.5">
      <c r="A462" t="s">
        <v>187</v>
      </c>
      <c r="B462" t="s">
        <v>1394</v>
      </c>
      <c r="C462" t="s">
        <v>2240</v>
      </c>
      <c r="D462" t="s">
        <v>2240</v>
      </c>
      <c r="E462" t="s">
        <v>1321</v>
      </c>
      <c r="F462" t="s">
        <v>27</v>
      </c>
      <c r="G462" t="s">
        <v>1388</v>
      </c>
      <c r="H462" s="8">
        <v>0.01</v>
      </c>
      <c r="I462" s="2">
        <v>0.336312</v>
      </c>
      <c r="J462" s="7" t="s">
        <v>188</v>
      </c>
    </row>
    <row r="463" spans="1:10" ht="28.5">
      <c r="A463" t="s">
        <v>187</v>
      </c>
      <c r="B463" t="s">
        <v>1394</v>
      </c>
      <c r="C463" t="s">
        <v>2241</v>
      </c>
      <c r="D463" t="s">
        <v>2242</v>
      </c>
      <c r="E463" t="s">
        <v>777</v>
      </c>
      <c r="F463" t="s">
        <v>50</v>
      </c>
      <c r="G463" t="s">
        <v>1388</v>
      </c>
      <c r="H463" s="8">
        <v>0.04</v>
      </c>
      <c r="I463" s="2">
        <v>1.345248</v>
      </c>
      <c r="J463" s="7" t="s">
        <v>188</v>
      </c>
    </row>
    <row r="464" spans="1:10" ht="28.5">
      <c r="A464" t="s">
        <v>187</v>
      </c>
      <c r="B464" t="s">
        <v>1394</v>
      </c>
      <c r="C464" t="s">
        <v>2243</v>
      </c>
      <c r="D464" t="s">
        <v>2244</v>
      </c>
      <c r="E464" t="s">
        <v>1081</v>
      </c>
      <c r="F464" t="s">
        <v>253</v>
      </c>
      <c r="G464" t="s">
        <v>1388</v>
      </c>
      <c r="H464" s="8">
        <v>0.02</v>
      </c>
      <c r="I464" s="2">
        <v>0.672624</v>
      </c>
      <c r="J464" s="7" t="s">
        <v>188</v>
      </c>
    </row>
    <row r="465" spans="1:10" ht="28.5">
      <c r="A465" t="s">
        <v>187</v>
      </c>
      <c r="B465" t="s">
        <v>1394</v>
      </c>
      <c r="C465" t="s">
        <v>2245</v>
      </c>
      <c r="D465" t="s">
        <v>2246</v>
      </c>
      <c r="E465" t="s">
        <v>462</v>
      </c>
      <c r="F465" t="s">
        <v>50</v>
      </c>
      <c r="G465" t="s">
        <v>1388</v>
      </c>
      <c r="H465" s="8">
        <v>0.08</v>
      </c>
      <c r="I465" s="2">
        <v>2.690496</v>
      </c>
      <c r="J465" s="7" t="s">
        <v>188</v>
      </c>
    </row>
    <row r="466" spans="1:10" ht="28.5">
      <c r="A466" t="s">
        <v>187</v>
      </c>
      <c r="B466" t="s">
        <v>1394</v>
      </c>
      <c r="C466" t="s">
        <v>2247</v>
      </c>
      <c r="D466" t="s">
        <v>2248</v>
      </c>
      <c r="E466" t="s">
        <v>1128</v>
      </c>
      <c r="F466" t="s">
        <v>108</v>
      </c>
      <c r="G466" t="s">
        <v>1388</v>
      </c>
      <c r="H466" s="8">
        <v>0.01</v>
      </c>
      <c r="I466" s="2">
        <v>0.336312</v>
      </c>
      <c r="J466" s="7" t="s">
        <v>188</v>
      </c>
    </row>
    <row r="467" spans="1:10" ht="28.5">
      <c r="A467" t="s">
        <v>187</v>
      </c>
      <c r="B467" t="s">
        <v>1394</v>
      </c>
      <c r="C467" t="s">
        <v>2249</v>
      </c>
      <c r="D467" t="s">
        <v>2250</v>
      </c>
      <c r="E467" t="s">
        <v>1240</v>
      </c>
      <c r="F467" t="s">
        <v>41</v>
      </c>
      <c r="G467" t="s">
        <v>1388</v>
      </c>
      <c r="H467" s="8">
        <v>0.01</v>
      </c>
      <c r="I467" s="2">
        <v>0.336312</v>
      </c>
      <c r="J467" s="7" t="s">
        <v>188</v>
      </c>
    </row>
    <row r="468" spans="1:10" ht="28.5">
      <c r="A468" t="s">
        <v>187</v>
      </c>
      <c r="B468" t="s">
        <v>1394</v>
      </c>
      <c r="C468" t="s">
        <v>2251</v>
      </c>
      <c r="D468" t="s">
        <v>2252</v>
      </c>
      <c r="E468" t="s">
        <v>317</v>
      </c>
      <c r="F468" t="s">
        <v>124</v>
      </c>
      <c r="G468" t="s">
        <v>1388</v>
      </c>
      <c r="H468" s="8">
        <v>0.14000000000000001</v>
      </c>
      <c r="I468" s="2">
        <v>4.7083680000000001</v>
      </c>
      <c r="J468" s="7" t="s">
        <v>188</v>
      </c>
    </row>
    <row r="469" spans="1:10" ht="28.5">
      <c r="A469" t="s">
        <v>187</v>
      </c>
      <c r="B469" t="s">
        <v>1394</v>
      </c>
      <c r="C469" t="s">
        <v>2253</v>
      </c>
      <c r="D469" t="s">
        <v>2254</v>
      </c>
      <c r="E469" t="s">
        <v>936</v>
      </c>
      <c r="F469" t="s">
        <v>41</v>
      </c>
      <c r="G469" t="s">
        <v>1388</v>
      </c>
      <c r="H469" s="8">
        <v>0.01</v>
      </c>
      <c r="I469" s="2">
        <v>0.336312</v>
      </c>
      <c r="J469" s="7" t="s">
        <v>188</v>
      </c>
    </row>
    <row r="470" spans="1:10" ht="28.5">
      <c r="A470" t="s">
        <v>187</v>
      </c>
      <c r="B470" t="s">
        <v>1394</v>
      </c>
      <c r="C470" t="s">
        <v>2255</v>
      </c>
      <c r="D470" t="s">
        <v>2256</v>
      </c>
      <c r="E470" t="s">
        <v>1158</v>
      </c>
      <c r="F470" t="s">
        <v>253</v>
      </c>
      <c r="G470" t="s">
        <v>1388</v>
      </c>
      <c r="H470" s="8">
        <v>0.01</v>
      </c>
      <c r="I470" s="2">
        <v>0.336312</v>
      </c>
      <c r="J470" s="7" t="s">
        <v>188</v>
      </c>
    </row>
    <row r="471" spans="1:10" ht="28.5">
      <c r="A471" t="s">
        <v>187</v>
      </c>
      <c r="B471" t="s">
        <v>1394</v>
      </c>
      <c r="C471" t="s">
        <v>2257</v>
      </c>
      <c r="D471" t="s">
        <v>2257</v>
      </c>
      <c r="E471" t="s">
        <v>258</v>
      </c>
      <c r="F471" t="s">
        <v>253</v>
      </c>
      <c r="G471" t="s">
        <v>1388</v>
      </c>
      <c r="H471" s="8">
        <v>0.1</v>
      </c>
      <c r="I471" s="2">
        <v>3.3631200000000003</v>
      </c>
      <c r="J471" s="7" t="s">
        <v>188</v>
      </c>
    </row>
    <row r="472" spans="1:10" ht="28.5">
      <c r="A472" t="s">
        <v>187</v>
      </c>
      <c r="B472" t="s">
        <v>1394</v>
      </c>
      <c r="C472" t="s">
        <v>2258</v>
      </c>
      <c r="D472" t="s">
        <v>2259</v>
      </c>
      <c r="E472" t="s">
        <v>565</v>
      </c>
      <c r="F472" t="s">
        <v>124</v>
      </c>
      <c r="G472" t="s">
        <v>1388</v>
      </c>
      <c r="H472" s="8">
        <v>0.02</v>
      </c>
      <c r="I472" s="2">
        <v>0.672624</v>
      </c>
      <c r="J472" s="7" t="s">
        <v>188</v>
      </c>
    </row>
    <row r="473" spans="1:10" ht="28.5">
      <c r="A473" t="s">
        <v>187</v>
      </c>
      <c r="B473" t="s">
        <v>1394</v>
      </c>
      <c r="C473" t="s">
        <v>2260</v>
      </c>
      <c r="D473" t="s">
        <v>2261</v>
      </c>
      <c r="E473" t="s">
        <v>294</v>
      </c>
      <c r="F473" t="s">
        <v>253</v>
      </c>
      <c r="G473" t="s">
        <v>1388</v>
      </c>
      <c r="H473" s="8">
        <v>0.06</v>
      </c>
      <c r="I473" s="2">
        <v>2.0178719999999997</v>
      </c>
      <c r="J473" s="7" t="s">
        <v>188</v>
      </c>
    </row>
    <row r="474" spans="1:10" ht="28.5">
      <c r="A474" t="s">
        <v>187</v>
      </c>
      <c r="B474" t="s">
        <v>1394</v>
      </c>
      <c r="C474" t="s">
        <v>2262</v>
      </c>
      <c r="D474" t="s">
        <v>2262</v>
      </c>
      <c r="E474" t="s">
        <v>363</v>
      </c>
      <c r="F474" t="s">
        <v>124</v>
      </c>
      <c r="G474" t="s">
        <v>1388</v>
      </c>
      <c r="H474" s="8">
        <v>0.05</v>
      </c>
      <c r="I474" s="2">
        <v>1.6815600000000002</v>
      </c>
      <c r="J474" s="7" t="s">
        <v>188</v>
      </c>
    </row>
    <row r="475" spans="1:10" ht="28.5">
      <c r="A475" t="s">
        <v>187</v>
      </c>
      <c r="B475" t="s">
        <v>1394</v>
      </c>
      <c r="C475" t="s">
        <v>2263</v>
      </c>
      <c r="D475" t="s">
        <v>2264</v>
      </c>
      <c r="E475" t="s">
        <v>1155</v>
      </c>
      <c r="F475" t="s">
        <v>253</v>
      </c>
      <c r="G475" t="s">
        <v>1388</v>
      </c>
      <c r="H475" s="8">
        <v>0.01</v>
      </c>
      <c r="I475" s="2">
        <v>0.336312</v>
      </c>
      <c r="J475" s="7" t="s">
        <v>188</v>
      </c>
    </row>
    <row r="476" spans="1:10" ht="28.5">
      <c r="A476" t="s">
        <v>187</v>
      </c>
      <c r="B476" t="s">
        <v>1394</v>
      </c>
      <c r="C476" t="s">
        <v>2265</v>
      </c>
      <c r="D476" t="s">
        <v>2266</v>
      </c>
      <c r="E476" t="s">
        <v>994</v>
      </c>
      <c r="F476" t="s">
        <v>25</v>
      </c>
      <c r="G476" t="s">
        <v>1388</v>
      </c>
      <c r="H476" s="8">
        <v>0.02</v>
      </c>
      <c r="I476" s="2">
        <v>0.672624</v>
      </c>
      <c r="J476" s="7" t="s">
        <v>188</v>
      </c>
    </row>
    <row r="477" spans="1:10" ht="28.5">
      <c r="A477" t="s">
        <v>187</v>
      </c>
      <c r="B477" t="s">
        <v>1394</v>
      </c>
      <c r="C477" t="s">
        <v>2267</v>
      </c>
      <c r="D477" t="s">
        <v>2268</v>
      </c>
      <c r="E477" t="s">
        <v>610</v>
      </c>
      <c r="F477" t="s">
        <v>253</v>
      </c>
      <c r="G477" t="s">
        <v>1388</v>
      </c>
      <c r="H477" s="8">
        <v>0.06</v>
      </c>
      <c r="I477" s="2">
        <v>2.0178719999999997</v>
      </c>
      <c r="J477" s="7" t="s">
        <v>188</v>
      </c>
    </row>
    <row r="478" spans="1:10" ht="28.5">
      <c r="A478" t="s">
        <v>187</v>
      </c>
      <c r="B478" t="s">
        <v>1394</v>
      </c>
      <c r="C478" t="s">
        <v>2269</v>
      </c>
      <c r="D478" t="s">
        <v>2270</v>
      </c>
      <c r="E478" t="s">
        <v>444</v>
      </c>
      <c r="F478" t="s">
        <v>124</v>
      </c>
      <c r="G478" t="s">
        <v>1388</v>
      </c>
      <c r="H478" s="8">
        <v>0.09</v>
      </c>
      <c r="I478" s="2">
        <v>3.0268079999999999</v>
      </c>
      <c r="J478" s="7" t="s">
        <v>188</v>
      </c>
    </row>
    <row r="479" spans="1:10" ht="28.5">
      <c r="A479" t="s">
        <v>187</v>
      </c>
      <c r="B479" t="s">
        <v>1394</v>
      </c>
      <c r="C479" t="s">
        <v>2271</v>
      </c>
      <c r="D479" t="s">
        <v>2272</v>
      </c>
      <c r="E479" t="s">
        <v>834</v>
      </c>
      <c r="F479" t="s">
        <v>50</v>
      </c>
      <c r="G479" t="s">
        <v>1388</v>
      </c>
      <c r="H479" s="8">
        <v>0.02</v>
      </c>
      <c r="I479" s="2">
        <v>0.672624</v>
      </c>
      <c r="J479" s="7" t="s">
        <v>188</v>
      </c>
    </row>
    <row r="480" spans="1:10" ht="28.5">
      <c r="A480" t="s">
        <v>187</v>
      </c>
      <c r="B480" t="s">
        <v>1394</v>
      </c>
      <c r="C480" t="s">
        <v>2273</v>
      </c>
      <c r="D480" t="s">
        <v>2274</v>
      </c>
      <c r="E480" t="s">
        <v>834</v>
      </c>
      <c r="F480" t="s">
        <v>50</v>
      </c>
      <c r="G480" t="s">
        <v>1388</v>
      </c>
      <c r="H480" s="8">
        <v>0.01</v>
      </c>
      <c r="I480" s="2">
        <v>0.336312</v>
      </c>
      <c r="J480" s="7" t="s">
        <v>188</v>
      </c>
    </row>
    <row r="481" spans="1:10" ht="28.5">
      <c r="A481" t="s">
        <v>187</v>
      </c>
      <c r="B481" t="s">
        <v>1394</v>
      </c>
      <c r="C481" t="s">
        <v>2275</v>
      </c>
      <c r="D481" t="s">
        <v>2275</v>
      </c>
      <c r="E481" t="s">
        <v>1098</v>
      </c>
      <c r="F481" t="s">
        <v>23</v>
      </c>
      <c r="G481" t="s">
        <v>1388</v>
      </c>
      <c r="H481" s="8">
        <v>0.02</v>
      </c>
      <c r="I481" s="2">
        <v>0.672624</v>
      </c>
      <c r="J481" s="7" t="s">
        <v>188</v>
      </c>
    </row>
    <row r="482" spans="1:10" ht="28.5">
      <c r="A482" t="s">
        <v>187</v>
      </c>
      <c r="B482" t="s">
        <v>1394</v>
      </c>
      <c r="C482" t="s">
        <v>2275</v>
      </c>
      <c r="D482" t="s">
        <v>2276</v>
      </c>
      <c r="E482" t="s">
        <v>842</v>
      </c>
      <c r="F482" t="s">
        <v>124</v>
      </c>
      <c r="G482" t="s">
        <v>1388</v>
      </c>
      <c r="H482" s="8">
        <v>0.03</v>
      </c>
      <c r="I482" s="2">
        <v>1.0089359999999998</v>
      </c>
      <c r="J482" s="7" t="s">
        <v>188</v>
      </c>
    </row>
    <row r="483" spans="1:10" ht="28.5">
      <c r="A483" t="s">
        <v>187</v>
      </c>
      <c r="B483" t="s">
        <v>1394</v>
      </c>
      <c r="C483" t="s">
        <v>2277</v>
      </c>
      <c r="D483" t="s">
        <v>2278</v>
      </c>
      <c r="E483" t="s">
        <v>985</v>
      </c>
      <c r="F483" t="s">
        <v>50</v>
      </c>
      <c r="G483" t="s">
        <v>1388</v>
      </c>
      <c r="H483" s="8">
        <v>0.02</v>
      </c>
      <c r="I483" s="2">
        <v>0.672624</v>
      </c>
      <c r="J483" s="7" t="s">
        <v>188</v>
      </c>
    </row>
    <row r="484" spans="1:10" ht="28.5">
      <c r="A484" t="s">
        <v>187</v>
      </c>
      <c r="B484" t="s">
        <v>1394</v>
      </c>
      <c r="C484" t="s">
        <v>2279</v>
      </c>
      <c r="D484" t="s">
        <v>2280</v>
      </c>
      <c r="E484" t="s">
        <v>375</v>
      </c>
      <c r="F484" t="s">
        <v>263</v>
      </c>
      <c r="G484" t="s">
        <v>1388</v>
      </c>
      <c r="H484" s="8">
        <v>0.11</v>
      </c>
      <c r="I484" s="2">
        <v>3.6994319999999998</v>
      </c>
      <c r="J484" s="7" t="s">
        <v>188</v>
      </c>
    </row>
    <row r="485" spans="1:10" ht="28.5">
      <c r="A485" t="s">
        <v>187</v>
      </c>
      <c r="B485" t="s">
        <v>1394</v>
      </c>
      <c r="C485" t="s">
        <v>2281</v>
      </c>
      <c r="D485" t="s">
        <v>2282</v>
      </c>
      <c r="E485" t="s">
        <v>552</v>
      </c>
      <c r="F485" t="s">
        <v>124</v>
      </c>
      <c r="G485" t="s">
        <v>1388</v>
      </c>
      <c r="H485" s="8">
        <v>0.03</v>
      </c>
      <c r="I485" s="2">
        <v>1.0089359999999998</v>
      </c>
      <c r="J485" s="7" t="s">
        <v>188</v>
      </c>
    </row>
    <row r="486" spans="1:10" ht="28.5">
      <c r="A486" t="s">
        <v>187</v>
      </c>
      <c r="B486" t="s">
        <v>1394</v>
      </c>
      <c r="C486" t="s">
        <v>2283</v>
      </c>
      <c r="D486" t="s">
        <v>2284</v>
      </c>
      <c r="E486" t="s">
        <v>969</v>
      </c>
      <c r="F486" t="s">
        <v>41</v>
      </c>
      <c r="G486" t="s">
        <v>1388</v>
      </c>
      <c r="H486" s="8">
        <v>0.01</v>
      </c>
      <c r="I486" s="2">
        <v>0.336312</v>
      </c>
      <c r="J486" s="7" t="s">
        <v>188</v>
      </c>
    </row>
    <row r="487" spans="1:10" ht="28.5">
      <c r="A487" t="s">
        <v>187</v>
      </c>
      <c r="B487" t="s">
        <v>1394</v>
      </c>
      <c r="C487" t="s">
        <v>2285</v>
      </c>
      <c r="D487" t="s">
        <v>2286</v>
      </c>
      <c r="E487" t="s">
        <v>911</v>
      </c>
      <c r="F487" t="s">
        <v>263</v>
      </c>
      <c r="G487" t="s">
        <v>1388</v>
      </c>
      <c r="H487" s="8">
        <v>0.03</v>
      </c>
      <c r="I487" s="2">
        <v>1.0089359999999998</v>
      </c>
      <c r="J487" s="7" t="s">
        <v>188</v>
      </c>
    </row>
    <row r="488" spans="1:10" ht="28.5">
      <c r="A488" t="s">
        <v>187</v>
      </c>
      <c r="B488" t="s">
        <v>1394</v>
      </c>
      <c r="C488" t="s">
        <v>2287</v>
      </c>
      <c r="D488" t="s">
        <v>2288</v>
      </c>
      <c r="E488" t="s">
        <v>325</v>
      </c>
      <c r="F488" t="s">
        <v>25</v>
      </c>
      <c r="G488" t="s">
        <v>1388</v>
      </c>
      <c r="H488" s="8">
        <v>0.03</v>
      </c>
      <c r="I488" s="2">
        <v>1.0089359999999998</v>
      </c>
      <c r="J488" s="7" t="s">
        <v>188</v>
      </c>
    </row>
    <row r="489" spans="1:10" ht="28.5">
      <c r="A489" t="s">
        <v>187</v>
      </c>
      <c r="B489" t="s">
        <v>1394</v>
      </c>
      <c r="C489" t="s">
        <v>2289</v>
      </c>
      <c r="D489" t="s">
        <v>2290</v>
      </c>
      <c r="E489" t="s">
        <v>1294</v>
      </c>
      <c r="F489" t="s">
        <v>23</v>
      </c>
      <c r="G489" t="s">
        <v>1388</v>
      </c>
      <c r="H489" s="8">
        <v>0.01</v>
      </c>
      <c r="I489" s="2">
        <v>0.336312</v>
      </c>
      <c r="J489" s="7" t="s">
        <v>188</v>
      </c>
    </row>
    <row r="490" spans="1:10" ht="28.5">
      <c r="A490" t="s">
        <v>187</v>
      </c>
      <c r="B490" t="s">
        <v>1394</v>
      </c>
      <c r="C490" t="s">
        <v>2291</v>
      </c>
      <c r="D490" t="s">
        <v>2292</v>
      </c>
      <c r="E490" t="s">
        <v>449</v>
      </c>
      <c r="F490" t="s">
        <v>23</v>
      </c>
      <c r="G490" t="s">
        <v>1388</v>
      </c>
      <c r="H490" s="8">
        <v>0.04</v>
      </c>
      <c r="I490" s="2">
        <v>1.345248</v>
      </c>
      <c r="J490" s="7" t="s">
        <v>188</v>
      </c>
    </row>
    <row r="491" spans="1:10" ht="28.5">
      <c r="A491" t="s">
        <v>187</v>
      </c>
      <c r="B491" t="s">
        <v>1394</v>
      </c>
      <c r="C491" t="s">
        <v>2293</v>
      </c>
      <c r="D491" t="s">
        <v>2294</v>
      </c>
      <c r="E491" t="s">
        <v>1045</v>
      </c>
      <c r="F491" t="s">
        <v>263</v>
      </c>
      <c r="G491" t="s">
        <v>1388</v>
      </c>
      <c r="H491" s="8">
        <v>0.02</v>
      </c>
      <c r="I491" s="2">
        <v>0.672624</v>
      </c>
      <c r="J491" s="7" t="s">
        <v>188</v>
      </c>
    </row>
    <row r="492" spans="1:10" ht="28.5">
      <c r="A492" t="s">
        <v>187</v>
      </c>
      <c r="B492" t="s">
        <v>1394</v>
      </c>
      <c r="C492" t="s">
        <v>2295</v>
      </c>
      <c r="D492" t="s">
        <v>2296</v>
      </c>
      <c r="E492" t="s">
        <v>574</v>
      </c>
      <c r="F492" t="s">
        <v>33</v>
      </c>
      <c r="G492" t="s">
        <v>1388</v>
      </c>
      <c r="H492" s="8">
        <v>0.06</v>
      </c>
      <c r="I492" s="2">
        <v>2.0178719999999997</v>
      </c>
      <c r="J492" s="7" t="s">
        <v>188</v>
      </c>
    </row>
    <row r="493" spans="1:10" ht="28.5">
      <c r="A493" t="s">
        <v>187</v>
      </c>
      <c r="B493" t="s">
        <v>1394</v>
      </c>
      <c r="C493" t="s">
        <v>2297</v>
      </c>
      <c r="D493" t="s">
        <v>2298</v>
      </c>
      <c r="E493" t="s">
        <v>727</v>
      </c>
      <c r="F493" t="s">
        <v>108</v>
      </c>
      <c r="G493" t="s">
        <v>1388</v>
      </c>
      <c r="H493" s="8">
        <v>0.02</v>
      </c>
      <c r="I493" s="2">
        <v>0.672624</v>
      </c>
      <c r="J493" s="7" t="s">
        <v>188</v>
      </c>
    </row>
    <row r="494" spans="1:10" ht="28.5">
      <c r="A494" t="s">
        <v>187</v>
      </c>
      <c r="B494" t="s">
        <v>1394</v>
      </c>
      <c r="C494" t="s">
        <v>2295</v>
      </c>
      <c r="D494" t="s">
        <v>2299</v>
      </c>
      <c r="E494" t="s">
        <v>1036</v>
      </c>
      <c r="F494" t="s">
        <v>108</v>
      </c>
      <c r="G494" t="s">
        <v>1388</v>
      </c>
      <c r="H494" s="8">
        <v>0.02</v>
      </c>
      <c r="I494" s="2">
        <v>0.672624</v>
      </c>
      <c r="J494" s="7" t="s">
        <v>188</v>
      </c>
    </row>
    <row r="495" spans="1:10" ht="28.5">
      <c r="A495" t="s">
        <v>187</v>
      </c>
      <c r="B495" t="s">
        <v>1394</v>
      </c>
      <c r="C495" t="s">
        <v>2300</v>
      </c>
      <c r="D495" t="s">
        <v>2301</v>
      </c>
      <c r="E495" t="s">
        <v>1220</v>
      </c>
      <c r="F495" t="s">
        <v>33</v>
      </c>
      <c r="G495" t="s">
        <v>1388</v>
      </c>
      <c r="H495" s="8">
        <v>0.01</v>
      </c>
      <c r="I495" s="2">
        <v>0.336312</v>
      </c>
      <c r="J495" s="7" t="s">
        <v>188</v>
      </c>
    </row>
    <row r="496" spans="1:10" ht="28.5">
      <c r="A496" t="s">
        <v>187</v>
      </c>
      <c r="B496" t="s">
        <v>1394</v>
      </c>
      <c r="C496" t="s">
        <v>2302</v>
      </c>
      <c r="D496" t="s">
        <v>2303</v>
      </c>
      <c r="E496" t="s">
        <v>1192</v>
      </c>
      <c r="F496" t="s">
        <v>23</v>
      </c>
      <c r="G496" t="s">
        <v>1388</v>
      </c>
      <c r="H496" s="8">
        <v>0.01</v>
      </c>
      <c r="I496" s="2">
        <v>0.336312</v>
      </c>
      <c r="J496" s="7" t="s">
        <v>188</v>
      </c>
    </row>
    <row r="497" spans="1:10" ht="28.5">
      <c r="A497" t="s">
        <v>187</v>
      </c>
      <c r="B497" t="s">
        <v>1394</v>
      </c>
      <c r="C497" t="s">
        <v>2304</v>
      </c>
      <c r="D497" t="s">
        <v>2305</v>
      </c>
      <c r="E497" t="s">
        <v>629</v>
      </c>
      <c r="F497" t="s">
        <v>23</v>
      </c>
      <c r="G497" t="s">
        <v>1388</v>
      </c>
      <c r="H497" s="8">
        <v>0.02</v>
      </c>
      <c r="I497" s="2">
        <v>0.672624</v>
      </c>
      <c r="J497" s="7" t="s">
        <v>188</v>
      </c>
    </row>
    <row r="498" spans="1:10" ht="28.5">
      <c r="A498" t="s">
        <v>187</v>
      </c>
      <c r="B498" t="s">
        <v>1394</v>
      </c>
      <c r="C498" t="s">
        <v>2306</v>
      </c>
      <c r="D498" t="s">
        <v>2307</v>
      </c>
      <c r="E498" t="s">
        <v>1025</v>
      </c>
      <c r="F498" t="s">
        <v>253</v>
      </c>
      <c r="G498" t="s">
        <v>1388</v>
      </c>
      <c r="H498" s="8">
        <v>0.02</v>
      </c>
      <c r="I498" s="2">
        <v>0.672624</v>
      </c>
      <c r="J498" s="7" t="s">
        <v>188</v>
      </c>
    </row>
    <row r="499" spans="1:10" ht="28.5">
      <c r="A499" t="s">
        <v>187</v>
      </c>
      <c r="B499" t="s">
        <v>1394</v>
      </c>
      <c r="C499" t="s">
        <v>2308</v>
      </c>
      <c r="D499" t="s">
        <v>2309</v>
      </c>
      <c r="E499" t="s">
        <v>995</v>
      </c>
      <c r="F499" t="s">
        <v>25</v>
      </c>
      <c r="G499" t="s">
        <v>1388</v>
      </c>
      <c r="H499" s="8">
        <v>0.02</v>
      </c>
      <c r="I499" s="2">
        <v>0.672624</v>
      </c>
      <c r="J499" s="7" t="s">
        <v>188</v>
      </c>
    </row>
    <row r="500" spans="1:10" ht="28.5">
      <c r="A500" t="s">
        <v>187</v>
      </c>
      <c r="B500" t="s">
        <v>1394</v>
      </c>
      <c r="C500" t="s">
        <v>2310</v>
      </c>
      <c r="D500" t="s">
        <v>2311</v>
      </c>
      <c r="E500" t="s">
        <v>551</v>
      </c>
      <c r="F500" t="s">
        <v>253</v>
      </c>
      <c r="G500" t="s">
        <v>1388</v>
      </c>
      <c r="H500" s="8">
        <v>0.03</v>
      </c>
      <c r="I500" s="2">
        <v>1.0089359999999998</v>
      </c>
      <c r="J500" s="7" t="s">
        <v>188</v>
      </c>
    </row>
    <row r="501" spans="1:10" ht="28.5">
      <c r="A501" t="s">
        <v>187</v>
      </c>
      <c r="B501" t="s">
        <v>1394</v>
      </c>
      <c r="C501" t="s">
        <v>2312</v>
      </c>
      <c r="D501" t="s">
        <v>2313</v>
      </c>
      <c r="E501" t="s">
        <v>1217</v>
      </c>
      <c r="F501" t="s">
        <v>38</v>
      </c>
      <c r="G501" t="s">
        <v>1388</v>
      </c>
      <c r="H501" s="8">
        <v>0.01</v>
      </c>
      <c r="I501" s="2">
        <v>0.336312</v>
      </c>
      <c r="J501" s="7" t="s">
        <v>188</v>
      </c>
    </row>
    <row r="502" spans="1:10" ht="28.5">
      <c r="A502" t="s">
        <v>187</v>
      </c>
      <c r="B502" t="s">
        <v>1394</v>
      </c>
      <c r="C502" t="s">
        <v>2314</v>
      </c>
      <c r="D502" t="s">
        <v>2315</v>
      </c>
      <c r="E502" t="s">
        <v>1090</v>
      </c>
      <c r="F502" t="s">
        <v>41</v>
      </c>
      <c r="G502" t="s">
        <v>1388</v>
      </c>
      <c r="H502" s="8">
        <v>0.02</v>
      </c>
      <c r="I502" s="2">
        <v>0.672624</v>
      </c>
      <c r="J502" s="7" t="s">
        <v>188</v>
      </c>
    </row>
    <row r="503" spans="1:10" ht="28.5">
      <c r="A503" t="s">
        <v>187</v>
      </c>
      <c r="B503" t="s">
        <v>1394</v>
      </c>
      <c r="C503" t="s">
        <v>2316</v>
      </c>
      <c r="D503" t="s">
        <v>2317</v>
      </c>
      <c r="E503" t="s">
        <v>955</v>
      </c>
      <c r="F503" t="s">
        <v>41</v>
      </c>
      <c r="G503" t="s">
        <v>1388</v>
      </c>
      <c r="H503" s="8">
        <v>0.01</v>
      </c>
      <c r="I503" s="2">
        <v>0.336312</v>
      </c>
      <c r="J503" s="7" t="s">
        <v>188</v>
      </c>
    </row>
    <row r="504" spans="1:10" ht="28.5">
      <c r="A504" t="s">
        <v>187</v>
      </c>
      <c r="B504" t="s">
        <v>1394</v>
      </c>
      <c r="C504" t="s">
        <v>2318</v>
      </c>
      <c r="D504" t="s">
        <v>2319</v>
      </c>
      <c r="E504" t="s">
        <v>422</v>
      </c>
      <c r="F504" t="s">
        <v>253</v>
      </c>
      <c r="G504" t="s">
        <v>1388</v>
      </c>
      <c r="H504" s="8">
        <v>0.05</v>
      </c>
      <c r="I504" s="2">
        <v>1.6815600000000002</v>
      </c>
      <c r="J504" s="7" t="s">
        <v>188</v>
      </c>
    </row>
    <row r="505" spans="1:10" ht="28.5">
      <c r="A505" t="s">
        <v>187</v>
      </c>
      <c r="B505" t="s">
        <v>1394</v>
      </c>
      <c r="C505" t="s">
        <v>2320</v>
      </c>
      <c r="D505" t="s">
        <v>2321</v>
      </c>
      <c r="E505" t="s">
        <v>1124</v>
      </c>
      <c r="F505" t="s">
        <v>23</v>
      </c>
      <c r="G505" t="s">
        <v>1388</v>
      </c>
      <c r="H505" s="8">
        <v>0.01</v>
      </c>
      <c r="I505" s="2">
        <v>0.336312</v>
      </c>
      <c r="J505" s="7" t="s">
        <v>188</v>
      </c>
    </row>
    <row r="506" spans="1:10" ht="28.5">
      <c r="A506" t="s">
        <v>187</v>
      </c>
      <c r="B506" t="s">
        <v>1394</v>
      </c>
      <c r="C506" t="s">
        <v>2322</v>
      </c>
      <c r="D506" t="s">
        <v>2323</v>
      </c>
      <c r="E506" t="s">
        <v>724</v>
      </c>
      <c r="F506" t="s">
        <v>124</v>
      </c>
      <c r="G506" t="s">
        <v>1388</v>
      </c>
      <c r="H506" s="8">
        <v>0.02</v>
      </c>
      <c r="I506" s="2">
        <v>0.672624</v>
      </c>
      <c r="J506" s="7" t="s">
        <v>188</v>
      </c>
    </row>
    <row r="507" spans="1:10" ht="28.5">
      <c r="A507" t="s">
        <v>187</v>
      </c>
      <c r="B507" t="s">
        <v>1394</v>
      </c>
      <c r="C507" t="s">
        <v>2324</v>
      </c>
      <c r="D507" t="s">
        <v>2325</v>
      </c>
      <c r="E507" t="s">
        <v>759</v>
      </c>
      <c r="F507" t="s">
        <v>38</v>
      </c>
      <c r="G507" t="s">
        <v>1388</v>
      </c>
      <c r="H507" s="8">
        <v>0.04</v>
      </c>
      <c r="I507" s="2">
        <v>1.345248</v>
      </c>
      <c r="J507" s="7" t="s">
        <v>188</v>
      </c>
    </row>
    <row r="508" spans="1:10" ht="28.5">
      <c r="A508" t="s">
        <v>187</v>
      </c>
      <c r="B508" t="s">
        <v>1394</v>
      </c>
      <c r="C508" t="s">
        <v>2326</v>
      </c>
      <c r="D508" t="s">
        <v>2327</v>
      </c>
      <c r="E508" t="s">
        <v>917</v>
      </c>
      <c r="F508" t="s">
        <v>50</v>
      </c>
      <c r="G508" t="s">
        <v>1388</v>
      </c>
      <c r="H508" s="8">
        <v>0.03</v>
      </c>
      <c r="I508" s="2">
        <v>1.0089359999999998</v>
      </c>
      <c r="J508" s="7" t="s">
        <v>188</v>
      </c>
    </row>
    <row r="509" spans="1:10" ht="28.5">
      <c r="A509" t="s">
        <v>187</v>
      </c>
      <c r="B509" t="s">
        <v>1394</v>
      </c>
      <c r="C509" t="s">
        <v>2328</v>
      </c>
      <c r="D509" t="s">
        <v>2329</v>
      </c>
      <c r="E509" t="s">
        <v>838</v>
      </c>
      <c r="F509" t="s">
        <v>50</v>
      </c>
      <c r="G509" t="s">
        <v>1388</v>
      </c>
      <c r="H509" s="8">
        <v>0.03</v>
      </c>
      <c r="I509" s="2">
        <v>1.0089359999999998</v>
      </c>
      <c r="J509" s="7" t="s">
        <v>188</v>
      </c>
    </row>
    <row r="510" spans="1:10" ht="28.5">
      <c r="A510" t="s">
        <v>187</v>
      </c>
      <c r="B510" t="s">
        <v>1394</v>
      </c>
      <c r="C510" t="s">
        <v>2330</v>
      </c>
      <c r="D510" t="s">
        <v>2331</v>
      </c>
      <c r="E510" t="s">
        <v>849</v>
      </c>
      <c r="F510" t="s">
        <v>263</v>
      </c>
      <c r="G510" t="s">
        <v>1388</v>
      </c>
      <c r="H510" s="8">
        <v>0.03</v>
      </c>
      <c r="I510" s="2">
        <v>1.0089359999999998</v>
      </c>
      <c r="J510" s="7" t="s">
        <v>188</v>
      </c>
    </row>
    <row r="511" spans="1:10" ht="28.5">
      <c r="A511" t="s">
        <v>187</v>
      </c>
      <c r="B511" t="s">
        <v>1394</v>
      </c>
      <c r="C511" t="s">
        <v>1424</v>
      </c>
      <c r="D511" t="s">
        <v>1425</v>
      </c>
      <c r="E511" t="s">
        <v>123</v>
      </c>
      <c r="F511" t="s">
        <v>124</v>
      </c>
      <c r="G511" t="s">
        <v>1388</v>
      </c>
      <c r="H511" s="8">
        <v>0.68</v>
      </c>
      <c r="I511" s="2">
        <v>22.869216000000002</v>
      </c>
      <c r="J511" s="7" t="s">
        <v>188</v>
      </c>
    </row>
    <row r="512" spans="1:10" ht="28.5">
      <c r="A512" t="s">
        <v>187</v>
      </c>
      <c r="B512" t="s">
        <v>1394</v>
      </c>
      <c r="C512" t="s">
        <v>2332</v>
      </c>
      <c r="D512" t="s">
        <v>2333</v>
      </c>
      <c r="E512" t="s">
        <v>421</v>
      </c>
      <c r="F512" t="s">
        <v>25</v>
      </c>
      <c r="G512" t="s">
        <v>1388</v>
      </c>
      <c r="H512" s="8">
        <v>0.03</v>
      </c>
      <c r="I512" s="2">
        <v>1.0089359999999998</v>
      </c>
      <c r="J512" s="7" t="s">
        <v>188</v>
      </c>
    </row>
    <row r="513" spans="1:10" ht="28.5">
      <c r="A513" t="s">
        <v>187</v>
      </c>
      <c r="B513" t="s">
        <v>1394</v>
      </c>
      <c r="C513" t="s">
        <v>2334</v>
      </c>
      <c r="D513" t="s">
        <v>2335</v>
      </c>
      <c r="E513" t="s">
        <v>1060</v>
      </c>
      <c r="F513" t="s">
        <v>25</v>
      </c>
      <c r="G513" t="s">
        <v>1388</v>
      </c>
      <c r="H513" s="8">
        <v>0.02</v>
      </c>
      <c r="I513" s="2">
        <v>0.672624</v>
      </c>
      <c r="J513" s="7" t="s">
        <v>188</v>
      </c>
    </row>
    <row r="514" spans="1:10" ht="28.5">
      <c r="A514" t="s">
        <v>187</v>
      </c>
      <c r="B514" t="s">
        <v>1394</v>
      </c>
      <c r="C514" t="s">
        <v>156</v>
      </c>
      <c r="D514" t="s">
        <v>2336</v>
      </c>
      <c r="E514" t="s">
        <v>156</v>
      </c>
      <c r="F514" t="s">
        <v>25</v>
      </c>
      <c r="G514" t="s">
        <v>1388</v>
      </c>
      <c r="H514" s="8">
        <v>0.03</v>
      </c>
      <c r="I514" s="2">
        <v>1.0089359999999998</v>
      </c>
      <c r="J514" s="7" t="s">
        <v>188</v>
      </c>
    </row>
    <row r="515" spans="1:10" ht="28.5">
      <c r="A515" t="s">
        <v>187</v>
      </c>
      <c r="B515" t="s">
        <v>1394</v>
      </c>
      <c r="C515" t="s">
        <v>2337</v>
      </c>
      <c r="D515" t="s">
        <v>2338</v>
      </c>
      <c r="E515" t="s">
        <v>505</v>
      </c>
      <c r="F515" t="s">
        <v>23</v>
      </c>
      <c r="G515" t="s">
        <v>1388</v>
      </c>
      <c r="H515" s="8">
        <v>0.04</v>
      </c>
      <c r="I515" s="2">
        <v>1.345248</v>
      </c>
      <c r="J515" s="7" t="s">
        <v>188</v>
      </c>
    </row>
    <row r="516" spans="1:10" ht="28.5">
      <c r="A516" t="s">
        <v>187</v>
      </c>
      <c r="B516" t="s">
        <v>1394</v>
      </c>
      <c r="C516" t="s">
        <v>2339</v>
      </c>
      <c r="D516" t="s">
        <v>2340</v>
      </c>
      <c r="E516" t="s">
        <v>747</v>
      </c>
      <c r="F516" t="s">
        <v>50</v>
      </c>
      <c r="G516" t="s">
        <v>1388</v>
      </c>
      <c r="H516" s="8">
        <v>0.04</v>
      </c>
      <c r="I516" s="2">
        <v>1.345248</v>
      </c>
      <c r="J516" s="7" t="s">
        <v>188</v>
      </c>
    </row>
    <row r="517" spans="1:10" ht="28.5">
      <c r="A517" t="s">
        <v>187</v>
      </c>
      <c r="B517" t="s">
        <v>1394</v>
      </c>
      <c r="C517" t="s">
        <v>2341</v>
      </c>
      <c r="D517" t="s">
        <v>2342</v>
      </c>
      <c r="E517" t="s">
        <v>396</v>
      </c>
      <c r="F517" t="s">
        <v>38</v>
      </c>
      <c r="G517" t="s">
        <v>1388</v>
      </c>
      <c r="H517" s="8">
        <v>0.1</v>
      </c>
      <c r="I517" s="2">
        <v>3.3631200000000003</v>
      </c>
      <c r="J517" s="7" t="s">
        <v>188</v>
      </c>
    </row>
    <row r="518" spans="1:10" ht="28.5">
      <c r="A518" t="s">
        <v>187</v>
      </c>
      <c r="B518" t="s">
        <v>1394</v>
      </c>
      <c r="C518" t="s">
        <v>2343</v>
      </c>
      <c r="D518" t="s">
        <v>2344</v>
      </c>
      <c r="E518" t="s">
        <v>606</v>
      </c>
      <c r="F518" t="s">
        <v>50</v>
      </c>
      <c r="G518" t="s">
        <v>1388</v>
      </c>
      <c r="H518" s="8">
        <v>0.06</v>
      </c>
      <c r="I518" s="2">
        <v>2.0178719999999997</v>
      </c>
      <c r="J518" s="7" t="s">
        <v>188</v>
      </c>
    </row>
    <row r="519" spans="1:10" ht="28.5">
      <c r="A519" t="s">
        <v>187</v>
      </c>
      <c r="B519" t="s">
        <v>1394</v>
      </c>
      <c r="C519" t="s">
        <v>2345</v>
      </c>
      <c r="D519" t="s">
        <v>2346</v>
      </c>
      <c r="E519" t="s">
        <v>1372</v>
      </c>
      <c r="F519" t="s">
        <v>263</v>
      </c>
      <c r="G519" t="s">
        <v>1388</v>
      </c>
      <c r="H519" s="8">
        <v>0</v>
      </c>
      <c r="I519" s="2">
        <v>0</v>
      </c>
      <c r="J519" s="7" t="s">
        <v>188</v>
      </c>
    </row>
    <row r="520" spans="1:10" ht="28.5">
      <c r="A520" t="s">
        <v>187</v>
      </c>
      <c r="B520" t="s">
        <v>1394</v>
      </c>
      <c r="C520" t="s">
        <v>2347</v>
      </c>
      <c r="D520" t="s">
        <v>2348</v>
      </c>
      <c r="E520" t="s">
        <v>257</v>
      </c>
      <c r="F520" t="s">
        <v>50</v>
      </c>
      <c r="G520" t="s">
        <v>1388</v>
      </c>
      <c r="H520" s="8">
        <v>0.08</v>
      </c>
      <c r="I520" s="2">
        <v>2.690496</v>
      </c>
      <c r="J520" s="7" t="s">
        <v>188</v>
      </c>
    </row>
    <row r="521" spans="1:10" ht="28.5">
      <c r="A521" t="s">
        <v>187</v>
      </c>
      <c r="B521" t="s">
        <v>1394</v>
      </c>
      <c r="C521" t="s">
        <v>2349</v>
      </c>
      <c r="D521" t="s">
        <v>2350</v>
      </c>
      <c r="E521" t="s">
        <v>697</v>
      </c>
      <c r="F521" t="s">
        <v>50</v>
      </c>
      <c r="G521" t="s">
        <v>1388</v>
      </c>
      <c r="H521" s="8">
        <v>0.02</v>
      </c>
      <c r="I521" s="2">
        <v>0.672624</v>
      </c>
      <c r="J521" s="7" t="s">
        <v>188</v>
      </c>
    </row>
    <row r="522" spans="1:10" ht="28.5">
      <c r="A522" t="s">
        <v>187</v>
      </c>
      <c r="B522" t="s">
        <v>1394</v>
      </c>
      <c r="C522" t="s">
        <v>2351</v>
      </c>
      <c r="D522" t="s">
        <v>2352</v>
      </c>
      <c r="E522" t="s">
        <v>660</v>
      </c>
      <c r="F522" t="s">
        <v>50</v>
      </c>
      <c r="G522" t="s">
        <v>1388</v>
      </c>
      <c r="H522" s="8">
        <v>0.05</v>
      </c>
      <c r="I522" s="2">
        <v>1.6815600000000002</v>
      </c>
      <c r="J522" s="7" t="s">
        <v>188</v>
      </c>
    </row>
    <row r="523" spans="1:10" ht="28.5">
      <c r="A523" t="s">
        <v>187</v>
      </c>
      <c r="B523" t="s">
        <v>1394</v>
      </c>
      <c r="C523" t="s">
        <v>2353</v>
      </c>
      <c r="D523" t="s">
        <v>2354</v>
      </c>
      <c r="E523" t="s">
        <v>656</v>
      </c>
      <c r="F523" t="s">
        <v>38</v>
      </c>
      <c r="G523" t="s">
        <v>1388</v>
      </c>
      <c r="H523" s="8">
        <v>0.05</v>
      </c>
      <c r="I523" s="2">
        <v>1.6815600000000002</v>
      </c>
      <c r="J523" s="7" t="s">
        <v>188</v>
      </c>
    </row>
    <row r="524" spans="1:10" ht="28.5">
      <c r="A524" t="s">
        <v>187</v>
      </c>
      <c r="B524" t="s">
        <v>1394</v>
      </c>
      <c r="C524" t="s">
        <v>2355</v>
      </c>
      <c r="D524" t="s">
        <v>2356</v>
      </c>
      <c r="E524" t="s">
        <v>778</v>
      </c>
      <c r="F524" t="s">
        <v>50</v>
      </c>
      <c r="G524" t="s">
        <v>1388</v>
      </c>
      <c r="H524" s="8">
        <v>0.04</v>
      </c>
      <c r="I524" s="2">
        <v>1.345248</v>
      </c>
      <c r="J524" s="7" t="s">
        <v>188</v>
      </c>
    </row>
    <row r="525" spans="1:10" ht="28.5">
      <c r="A525" t="s">
        <v>187</v>
      </c>
      <c r="B525" t="s">
        <v>1394</v>
      </c>
      <c r="C525" t="s">
        <v>2357</v>
      </c>
      <c r="D525" t="s">
        <v>2358</v>
      </c>
      <c r="E525" t="s">
        <v>1146</v>
      </c>
      <c r="F525" t="s">
        <v>23</v>
      </c>
      <c r="G525" t="s">
        <v>1388</v>
      </c>
      <c r="H525" s="8">
        <v>0.01</v>
      </c>
      <c r="I525" s="2">
        <v>0.336312</v>
      </c>
      <c r="J525" s="7" t="s">
        <v>188</v>
      </c>
    </row>
    <row r="526" spans="1:10" ht="28.5">
      <c r="A526" t="s">
        <v>187</v>
      </c>
      <c r="B526" t="s">
        <v>1394</v>
      </c>
      <c r="C526" t="s">
        <v>2359</v>
      </c>
      <c r="D526" t="s">
        <v>2360</v>
      </c>
      <c r="E526" t="s">
        <v>707</v>
      </c>
      <c r="F526" t="s">
        <v>23</v>
      </c>
      <c r="G526" t="s">
        <v>1388</v>
      </c>
      <c r="H526" s="8">
        <v>0.02</v>
      </c>
      <c r="I526" s="2">
        <v>0.672624</v>
      </c>
      <c r="J526" s="7" t="s">
        <v>188</v>
      </c>
    </row>
    <row r="527" spans="1:10" ht="28.5">
      <c r="A527" t="s">
        <v>187</v>
      </c>
      <c r="B527" t="s">
        <v>1394</v>
      </c>
      <c r="C527" t="s">
        <v>2361</v>
      </c>
      <c r="D527" t="s">
        <v>2362</v>
      </c>
      <c r="E527" t="s">
        <v>599</v>
      </c>
      <c r="F527" t="s">
        <v>23</v>
      </c>
      <c r="G527" t="s">
        <v>1388</v>
      </c>
      <c r="H527" s="8">
        <v>0.06</v>
      </c>
      <c r="I527" s="2">
        <v>2.0178719999999997</v>
      </c>
      <c r="J527" s="7" t="s">
        <v>188</v>
      </c>
    </row>
    <row r="528" spans="1:10" ht="28.5">
      <c r="A528" t="s">
        <v>187</v>
      </c>
      <c r="B528" t="s">
        <v>1394</v>
      </c>
      <c r="C528" t="s">
        <v>2363</v>
      </c>
      <c r="D528" t="s">
        <v>2364</v>
      </c>
      <c r="E528" t="s">
        <v>1325</v>
      </c>
      <c r="F528" t="s">
        <v>33</v>
      </c>
      <c r="G528" t="s">
        <v>1388</v>
      </c>
      <c r="H528" s="8">
        <v>0.01</v>
      </c>
      <c r="I528" s="2">
        <v>0.336312</v>
      </c>
      <c r="J528" s="7" t="s">
        <v>188</v>
      </c>
    </row>
    <row r="529" spans="1:10" ht="28.5">
      <c r="A529" t="s">
        <v>187</v>
      </c>
      <c r="B529" t="s">
        <v>1394</v>
      </c>
      <c r="C529" t="s">
        <v>2365</v>
      </c>
      <c r="D529" t="s">
        <v>2366</v>
      </c>
      <c r="E529" t="s">
        <v>1040</v>
      </c>
      <c r="F529" t="s">
        <v>23</v>
      </c>
      <c r="G529" t="s">
        <v>1388</v>
      </c>
      <c r="H529" s="8">
        <v>0.02</v>
      </c>
      <c r="I529" s="2">
        <v>0.672624</v>
      </c>
      <c r="J529" s="7" t="s">
        <v>188</v>
      </c>
    </row>
    <row r="530" spans="1:10" ht="28.5">
      <c r="A530" t="s">
        <v>187</v>
      </c>
      <c r="B530" t="s">
        <v>1394</v>
      </c>
      <c r="C530" t="s">
        <v>2367</v>
      </c>
      <c r="D530" t="s">
        <v>2368</v>
      </c>
      <c r="E530" t="s">
        <v>728</v>
      </c>
      <c r="F530" t="s">
        <v>23</v>
      </c>
      <c r="G530" t="s">
        <v>1388</v>
      </c>
      <c r="H530" s="8">
        <v>0.02</v>
      </c>
      <c r="I530" s="2">
        <v>0.672624</v>
      </c>
      <c r="J530" s="7" t="s">
        <v>188</v>
      </c>
    </row>
    <row r="531" spans="1:10" ht="28.5">
      <c r="A531" t="s">
        <v>187</v>
      </c>
      <c r="B531" t="s">
        <v>1394</v>
      </c>
      <c r="C531" t="s">
        <v>2369</v>
      </c>
      <c r="D531" t="s">
        <v>2370</v>
      </c>
      <c r="E531" t="s">
        <v>1007</v>
      </c>
      <c r="F531" t="s">
        <v>41</v>
      </c>
      <c r="G531" t="s">
        <v>1388</v>
      </c>
      <c r="H531" s="8">
        <v>0.02</v>
      </c>
      <c r="I531" s="2">
        <v>0.672624</v>
      </c>
      <c r="J531" s="7" t="s">
        <v>188</v>
      </c>
    </row>
    <row r="532" spans="1:10" ht="28.5">
      <c r="A532" t="s">
        <v>187</v>
      </c>
      <c r="B532" t="s">
        <v>1394</v>
      </c>
      <c r="C532" t="s">
        <v>2371</v>
      </c>
      <c r="D532" t="s">
        <v>2372</v>
      </c>
      <c r="E532" t="s">
        <v>345</v>
      </c>
      <c r="F532" t="s">
        <v>25</v>
      </c>
      <c r="G532" t="s">
        <v>1388</v>
      </c>
      <c r="H532" s="8">
        <v>0.02</v>
      </c>
      <c r="I532" s="2">
        <v>0.672624</v>
      </c>
      <c r="J532" s="7" t="s">
        <v>188</v>
      </c>
    </row>
    <row r="533" spans="1:10" ht="28.5">
      <c r="A533" t="s">
        <v>187</v>
      </c>
      <c r="B533" t="s">
        <v>1394</v>
      </c>
      <c r="C533" t="s">
        <v>2373</v>
      </c>
      <c r="D533" t="s">
        <v>2374</v>
      </c>
      <c r="E533" t="s">
        <v>869</v>
      </c>
      <c r="F533" t="s">
        <v>253</v>
      </c>
      <c r="G533" t="s">
        <v>1388</v>
      </c>
      <c r="H533" s="8">
        <v>0.03</v>
      </c>
      <c r="I533" s="2">
        <v>1.0089359999999998</v>
      </c>
      <c r="J533" s="7" t="s">
        <v>188</v>
      </c>
    </row>
    <row r="534" spans="1:10" ht="28.5">
      <c r="A534" t="s">
        <v>187</v>
      </c>
      <c r="B534" t="s">
        <v>1394</v>
      </c>
      <c r="C534" t="s">
        <v>2375</v>
      </c>
      <c r="D534" t="s">
        <v>2376</v>
      </c>
      <c r="E534" t="s">
        <v>1287</v>
      </c>
      <c r="F534" t="s">
        <v>263</v>
      </c>
      <c r="G534" t="s">
        <v>1388</v>
      </c>
      <c r="H534" s="8">
        <v>0.01</v>
      </c>
      <c r="I534" s="2">
        <v>0.336312</v>
      </c>
      <c r="J534" s="7" t="s">
        <v>188</v>
      </c>
    </row>
    <row r="535" spans="1:10" ht="28.5">
      <c r="A535" t="s">
        <v>187</v>
      </c>
      <c r="B535" t="s">
        <v>1394</v>
      </c>
      <c r="C535" t="s">
        <v>2377</v>
      </c>
      <c r="D535" t="s">
        <v>2378</v>
      </c>
      <c r="E535" t="s">
        <v>508</v>
      </c>
      <c r="F535" t="s">
        <v>23</v>
      </c>
      <c r="G535" t="s">
        <v>1388</v>
      </c>
      <c r="H535" s="8">
        <v>0.03</v>
      </c>
      <c r="I535" s="2">
        <v>1.0089359999999998</v>
      </c>
      <c r="J535" s="7" t="s">
        <v>188</v>
      </c>
    </row>
    <row r="536" spans="1:10" ht="28.5">
      <c r="A536" t="s">
        <v>187</v>
      </c>
      <c r="B536" t="s">
        <v>1394</v>
      </c>
      <c r="C536" t="s">
        <v>2379</v>
      </c>
      <c r="D536" t="s">
        <v>2380</v>
      </c>
      <c r="E536" t="s">
        <v>1084</v>
      </c>
      <c r="F536" t="s">
        <v>33</v>
      </c>
      <c r="G536" t="s">
        <v>1388</v>
      </c>
      <c r="H536" s="8">
        <v>0.02</v>
      </c>
      <c r="I536" s="2">
        <v>0.672624</v>
      </c>
      <c r="J536" s="7" t="s">
        <v>188</v>
      </c>
    </row>
    <row r="537" spans="1:10" ht="28.5">
      <c r="A537" t="s">
        <v>187</v>
      </c>
      <c r="B537" t="s">
        <v>1394</v>
      </c>
      <c r="C537" t="s">
        <v>2381</v>
      </c>
      <c r="D537" t="s">
        <v>2382</v>
      </c>
      <c r="E537" t="s">
        <v>670</v>
      </c>
      <c r="F537" t="s">
        <v>25</v>
      </c>
      <c r="G537" t="s">
        <v>1388</v>
      </c>
      <c r="H537" s="8">
        <v>0.05</v>
      </c>
      <c r="I537" s="2">
        <v>1.6815600000000002</v>
      </c>
      <c r="J537" s="7" t="s">
        <v>188</v>
      </c>
    </row>
    <row r="538" spans="1:10" ht="28.5">
      <c r="A538" t="s">
        <v>187</v>
      </c>
      <c r="B538" t="s">
        <v>1394</v>
      </c>
      <c r="C538" t="s">
        <v>2383</v>
      </c>
      <c r="D538" t="s">
        <v>2384</v>
      </c>
      <c r="E538" t="s">
        <v>1015</v>
      </c>
      <c r="F538" t="s">
        <v>38</v>
      </c>
      <c r="G538" t="s">
        <v>1388</v>
      </c>
      <c r="H538" s="8">
        <v>0.02</v>
      </c>
      <c r="I538" s="2">
        <v>0.672624</v>
      </c>
      <c r="J538" s="7" t="s">
        <v>188</v>
      </c>
    </row>
    <row r="539" spans="1:10" ht="28.5">
      <c r="A539" t="s">
        <v>187</v>
      </c>
      <c r="B539" t="s">
        <v>1394</v>
      </c>
      <c r="C539" t="s">
        <v>2385</v>
      </c>
      <c r="D539" t="s">
        <v>2386</v>
      </c>
      <c r="E539" t="s">
        <v>224</v>
      </c>
      <c r="F539" t="s">
        <v>38</v>
      </c>
      <c r="G539" t="s">
        <v>1388</v>
      </c>
      <c r="H539" s="8">
        <v>0.06</v>
      </c>
      <c r="I539" s="2">
        <v>2.0178719999999997</v>
      </c>
      <c r="J539" s="7" t="s">
        <v>188</v>
      </c>
    </row>
    <row r="540" spans="1:10" ht="28.5">
      <c r="A540" t="s">
        <v>187</v>
      </c>
      <c r="B540" t="s">
        <v>1394</v>
      </c>
      <c r="C540" t="s">
        <v>2387</v>
      </c>
      <c r="D540" t="s">
        <v>2388</v>
      </c>
      <c r="E540" t="s">
        <v>641</v>
      </c>
      <c r="F540" t="s">
        <v>41</v>
      </c>
      <c r="G540" t="s">
        <v>1388</v>
      </c>
      <c r="H540" s="8">
        <v>0.02</v>
      </c>
      <c r="I540" s="2">
        <v>0.672624</v>
      </c>
      <c r="J540" s="7" t="s">
        <v>188</v>
      </c>
    </row>
    <row r="541" spans="1:10" ht="28.5">
      <c r="A541" t="s">
        <v>187</v>
      </c>
      <c r="B541" t="s">
        <v>1394</v>
      </c>
      <c r="C541" t="s">
        <v>2389</v>
      </c>
      <c r="D541" t="s">
        <v>2390</v>
      </c>
      <c r="E541" t="s">
        <v>372</v>
      </c>
      <c r="F541" t="s">
        <v>25</v>
      </c>
      <c r="G541" t="s">
        <v>1388</v>
      </c>
      <c r="H541" s="8">
        <v>0.11</v>
      </c>
      <c r="I541" s="2">
        <v>3.6994319999999998</v>
      </c>
      <c r="J541" s="7" t="s">
        <v>188</v>
      </c>
    </row>
    <row r="542" spans="1:10" ht="28.5">
      <c r="A542" t="s">
        <v>187</v>
      </c>
      <c r="B542" t="s">
        <v>1394</v>
      </c>
      <c r="C542" t="s">
        <v>2391</v>
      </c>
      <c r="D542" t="s">
        <v>2392</v>
      </c>
      <c r="E542" t="s">
        <v>844</v>
      </c>
      <c r="F542" t="s">
        <v>253</v>
      </c>
      <c r="G542" t="s">
        <v>1388</v>
      </c>
      <c r="H542" s="8">
        <v>0.03</v>
      </c>
      <c r="I542" s="2">
        <v>1.0089359999999998</v>
      </c>
      <c r="J542" s="7" t="s">
        <v>188</v>
      </c>
    </row>
    <row r="543" spans="1:10" ht="28.5">
      <c r="A543" t="s">
        <v>187</v>
      </c>
      <c r="B543" t="s">
        <v>1394</v>
      </c>
      <c r="C543" t="s">
        <v>2393</v>
      </c>
      <c r="D543" t="s">
        <v>2394</v>
      </c>
      <c r="E543" t="s">
        <v>979</v>
      </c>
      <c r="F543" t="s">
        <v>50</v>
      </c>
      <c r="G543" t="s">
        <v>1388</v>
      </c>
      <c r="H543" s="8">
        <v>0.02</v>
      </c>
      <c r="I543" s="2">
        <v>0.672624</v>
      </c>
      <c r="J543" s="7" t="s">
        <v>188</v>
      </c>
    </row>
    <row r="544" spans="1:10" ht="28.5">
      <c r="A544" t="s">
        <v>187</v>
      </c>
      <c r="B544" t="s">
        <v>1394</v>
      </c>
      <c r="C544" t="s">
        <v>2395</v>
      </c>
      <c r="D544" t="s">
        <v>2395</v>
      </c>
      <c r="E544" t="s">
        <v>1213</v>
      </c>
      <c r="F544" t="s">
        <v>253</v>
      </c>
      <c r="G544" t="s">
        <v>1388</v>
      </c>
      <c r="H544" s="8">
        <v>0.01</v>
      </c>
      <c r="I544" s="2">
        <v>0.336312</v>
      </c>
      <c r="J544" s="7" t="s">
        <v>188</v>
      </c>
    </row>
    <row r="545" spans="1:10" ht="28.5">
      <c r="A545" t="s">
        <v>187</v>
      </c>
      <c r="B545" t="s">
        <v>1394</v>
      </c>
      <c r="C545" t="s">
        <v>2396</v>
      </c>
      <c r="D545" t="s">
        <v>2397</v>
      </c>
      <c r="E545" t="s">
        <v>498</v>
      </c>
      <c r="F545" t="s">
        <v>27</v>
      </c>
      <c r="G545" t="s">
        <v>1388</v>
      </c>
      <c r="H545" s="8">
        <v>0.02</v>
      </c>
      <c r="I545" s="2">
        <v>0.672624</v>
      </c>
      <c r="J545" s="7" t="s">
        <v>188</v>
      </c>
    </row>
    <row r="546" spans="1:10" ht="28.5">
      <c r="A546" t="s">
        <v>187</v>
      </c>
      <c r="B546" t="s">
        <v>1394</v>
      </c>
      <c r="C546" t="s">
        <v>2398</v>
      </c>
      <c r="D546" t="s">
        <v>2399</v>
      </c>
      <c r="E546" t="s">
        <v>498</v>
      </c>
      <c r="F546" t="s">
        <v>27</v>
      </c>
      <c r="G546" t="s">
        <v>1388</v>
      </c>
      <c r="H546" s="8">
        <v>0.01</v>
      </c>
      <c r="I546" s="2">
        <v>0.336312</v>
      </c>
      <c r="J546" s="7" t="s">
        <v>188</v>
      </c>
    </row>
    <row r="547" spans="1:10" ht="28.5">
      <c r="A547" t="s">
        <v>187</v>
      </c>
      <c r="B547" t="s">
        <v>1394</v>
      </c>
      <c r="C547" t="s">
        <v>2400</v>
      </c>
      <c r="D547" t="s">
        <v>2401</v>
      </c>
      <c r="E547" t="s">
        <v>740</v>
      </c>
      <c r="F547" t="s">
        <v>41</v>
      </c>
      <c r="G547" t="s">
        <v>1388</v>
      </c>
      <c r="H547" s="8">
        <v>0.04</v>
      </c>
      <c r="I547" s="2">
        <v>1.345248</v>
      </c>
      <c r="J547" s="7" t="s">
        <v>188</v>
      </c>
    </row>
    <row r="548" spans="1:10" ht="28.5">
      <c r="A548" t="s">
        <v>187</v>
      </c>
      <c r="B548" t="s">
        <v>1394</v>
      </c>
      <c r="C548" t="s">
        <v>2402</v>
      </c>
      <c r="D548" t="s">
        <v>2403</v>
      </c>
      <c r="E548" t="s">
        <v>430</v>
      </c>
      <c r="F548" t="s">
        <v>41</v>
      </c>
      <c r="G548" t="s">
        <v>1388</v>
      </c>
      <c r="H548" s="8">
        <v>0.09</v>
      </c>
      <c r="I548" s="2">
        <v>3.0268079999999999</v>
      </c>
      <c r="J548" s="7" t="s">
        <v>188</v>
      </c>
    </row>
    <row r="549" spans="1:10" ht="28.5">
      <c r="A549" t="s">
        <v>187</v>
      </c>
      <c r="B549" t="s">
        <v>1394</v>
      </c>
      <c r="C549" t="s">
        <v>2404</v>
      </c>
      <c r="D549" t="s">
        <v>2405</v>
      </c>
      <c r="E549" t="s">
        <v>716</v>
      </c>
      <c r="F549" t="s">
        <v>33</v>
      </c>
      <c r="G549" t="s">
        <v>1388</v>
      </c>
      <c r="H549" s="8">
        <v>0.01</v>
      </c>
      <c r="I549" s="2">
        <v>0.336312</v>
      </c>
      <c r="J549" s="7" t="s">
        <v>188</v>
      </c>
    </row>
    <row r="550" spans="1:10" ht="28.5">
      <c r="A550" t="s">
        <v>187</v>
      </c>
      <c r="B550" t="s">
        <v>1394</v>
      </c>
      <c r="C550" t="s">
        <v>2406</v>
      </c>
      <c r="D550" t="s">
        <v>2407</v>
      </c>
      <c r="E550" t="s">
        <v>543</v>
      </c>
      <c r="F550" t="s">
        <v>33</v>
      </c>
      <c r="G550" t="s">
        <v>1388</v>
      </c>
      <c r="H550" s="8">
        <v>0.02</v>
      </c>
      <c r="I550" s="2">
        <v>0.672624</v>
      </c>
      <c r="J550" s="7" t="s">
        <v>188</v>
      </c>
    </row>
    <row r="551" spans="1:10" ht="28.5">
      <c r="A551" t="s">
        <v>187</v>
      </c>
      <c r="B551" t="s">
        <v>1394</v>
      </c>
      <c r="C551" t="s">
        <v>2408</v>
      </c>
      <c r="D551" t="s">
        <v>2409</v>
      </c>
      <c r="E551" t="s">
        <v>1268</v>
      </c>
      <c r="F551" t="s">
        <v>41</v>
      </c>
      <c r="G551" t="s">
        <v>1388</v>
      </c>
      <c r="H551" s="8">
        <v>0.01</v>
      </c>
      <c r="I551" s="2">
        <v>0.336312</v>
      </c>
      <c r="J551" s="7" t="s">
        <v>188</v>
      </c>
    </row>
    <row r="552" spans="1:10" ht="28.5">
      <c r="A552" t="s">
        <v>187</v>
      </c>
      <c r="B552" t="s">
        <v>1394</v>
      </c>
      <c r="C552" t="s">
        <v>2410</v>
      </c>
      <c r="D552" t="s">
        <v>2411</v>
      </c>
      <c r="E552" t="s">
        <v>993</v>
      </c>
      <c r="F552" t="s">
        <v>50</v>
      </c>
      <c r="G552" t="s">
        <v>1388</v>
      </c>
      <c r="H552" s="8">
        <v>0.02</v>
      </c>
      <c r="I552" s="2">
        <v>0.672624</v>
      </c>
      <c r="J552" s="7" t="s">
        <v>188</v>
      </c>
    </row>
    <row r="553" spans="1:10" ht="28.5">
      <c r="A553" t="s">
        <v>187</v>
      </c>
      <c r="B553" t="s">
        <v>1394</v>
      </c>
      <c r="C553" t="s">
        <v>2412</v>
      </c>
      <c r="D553" t="s">
        <v>2413</v>
      </c>
      <c r="E553" t="s">
        <v>823</v>
      </c>
      <c r="F553" t="s">
        <v>50</v>
      </c>
      <c r="G553" t="s">
        <v>1388</v>
      </c>
      <c r="H553" s="8">
        <v>0.01</v>
      </c>
      <c r="I553" s="2">
        <v>0.336312</v>
      </c>
      <c r="J553" s="7" t="s">
        <v>188</v>
      </c>
    </row>
    <row r="554" spans="1:10" ht="28.5">
      <c r="A554" t="s">
        <v>187</v>
      </c>
      <c r="B554" t="s">
        <v>1394</v>
      </c>
      <c r="C554" t="s">
        <v>2414</v>
      </c>
      <c r="D554" t="s">
        <v>2415</v>
      </c>
      <c r="E554" t="s">
        <v>277</v>
      </c>
      <c r="F554" t="s">
        <v>25</v>
      </c>
      <c r="G554" t="s">
        <v>1388</v>
      </c>
      <c r="H554" s="8">
        <v>0.03</v>
      </c>
      <c r="I554" s="2">
        <v>1.0089359999999998</v>
      </c>
      <c r="J554" s="7" t="s">
        <v>188</v>
      </c>
    </row>
    <row r="555" spans="1:10" ht="28.5">
      <c r="A555" t="s">
        <v>187</v>
      </c>
      <c r="B555" t="s">
        <v>1394</v>
      </c>
      <c r="C555" t="s">
        <v>2416</v>
      </c>
      <c r="D555" t="s">
        <v>2417</v>
      </c>
      <c r="E555" t="s">
        <v>679</v>
      </c>
      <c r="F555" t="s">
        <v>50</v>
      </c>
      <c r="G555" t="s">
        <v>1388</v>
      </c>
      <c r="H555" s="8">
        <v>0.05</v>
      </c>
      <c r="I555" s="2">
        <v>1.6815600000000002</v>
      </c>
      <c r="J555" s="7" t="s">
        <v>188</v>
      </c>
    </row>
    <row r="556" spans="1:10" ht="28.5">
      <c r="A556" t="s">
        <v>187</v>
      </c>
      <c r="B556" t="s">
        <v>1394</v>
      </c>
      <c r="C556" t="s">
        <v>2418</v>
      </c>
      <c r="D556" t="s">
        <v>2419</v>
      </c>
      <c r="E556" t="s">
        <v>322</v>
      </c>
      <c r="F556" t="s">
        <v>25</v>
      </c>
      <c r="G556" t="s">
        <v>1388</v>
      </c>
      <c r="H556" s="8">
        <v>0.04</v>
      </c>
      <c r="I556" s="2">
        <v>1.345248</v>
      </c>
      <c r="J556" s="7" t="s">
        <v>188</v>
      </c>
    </row>
    <row r="557" spans="1:10" ht="28.5">
      <c r="A557" t="s">
        <v>187</v>
      </c>
      <c r="B557" t="s">
        <v>1394</v>
      </c>
      <c r="C557" t="s">
        <v>2420</v>
      </c>
      <c r="D557" t="s">
        <v>2421</v>
      </c>
      <c r="E557" t="s">
        <v>1113</v>
      </c>
      <c r="F557" t="s">
        <v>50</v>
      </c>
      <c r="G557" t="s">
        <v>1388</v>
      </c>
      <c r="H557" s="8">
        <v>0.02</v>
      </c>
      <c r="I557" s="2">
        <v>0.672624</v>
      </c>
      <c r="J557" s="7" t="s">
        <v>188</v>
      </c>
    </row>
    <row r="558" spans="1:10" ht="28.5">
      <c r="A558" t="s">
        <v>187</v>
      </c>
      <c r="B558" t="s">
        <v>1394</v>
      </c>
      <c r="C558" t="s">
        <v>2422</v>
      </c>
      <c r="D558" t="s">
        <v>2423</v>
      </c>
      <c r="E558" t="s">
        <v>1295</v>
      </c>
      <c r="F558" t="s">
        <v>23</v>
      </c>
      <c r="G558" t="s">
        <v>1388</v>
      </c>
      <c r="H558" s="8">
        <v>0.01</v>
      </c>
      <c r="I558" s="2">
        <v>0.336312</v>
      </c>
      <c r="J558" s="7" t="s">
        <v>188</v>
      </c>
    </row>
    <row r="559" spans="1:10" ht="28.5">
      <c r="A559" t="s">
        <v>187</v>
      </c>
      <c r="B559" t="s">
        <v>1394</v>
      </c>
      <c r="C559" t="s">
        <v>2424</v>
      </c>
      <c r="D559" t="s">
        <v>2425</v>
      </c>
      <c r="E559" t="s">
        <v>1284</v>
      </c>
      <c r="F559" t="s">
        <v>38</v>
      </c>
      <c r="G559" t="s">
        <v>1388</v>
      </c>
      <c r="H559" s="8">
        <v>0.01</v>
      </c>
      <c r="I559" s="2">
        <v>0.336312</v>
      </c>
      <c r="J559" s="7" t="s">
        <v>188</v>
      </c>
    </row>
    <row r="560" spans="1:10" ht="28.5">
      <c r="A560" t="s">
        <v>187</v>
      </c>
      <c r="B560" t="s">
        <v>1394</v>
      </c>
      <c r="C560" t="s">
        <v>2426</v>
      </c>
      <c r="D560" t="s">
        <v>2427</v>
      </c>
      <c r="E560" t="s">
        <v>752</v>
      </c>
      <c r="F560" t="s">
        <v>33</v>
      </c>
      <c r="G560" t="s">
        <v>1388</v>
      </c>
      <c r="H560" s="8">
        <v>0.04</v>
      </c>
      <c r="I560" s="2">
        <v>1.345248</v>
      </c>
      <c r="J560" s="7" t="s">
        <v>188</v>
      </c>
    </row>
    <row r="561" spans="1:10" ht="28.5">
      <c r="A561" t="s">
        <v>187</v>
      </c>
      <c r="B561" t="s">
        <v>1394</v>
      </c>
      <c r="C561" t="s">
        <v>2428</v>
      </c>
      <c r="D561" t="s">
        <v>2429</v>
      </c>
      <c r="E561" t="s">
        <v>1197</v>
      </c>
      <c r="F561" t="s">
        <v>124</v>
      </c>
      <c r="G561" t="s">
        <v>1388</v>
      </c>
      <c r="H561" s="8">
        <v>0.01</v>
      </c>
      <c r="I561" s="2">
        <v>0.336312</v>
      </c>
      <c r="J561" s="7" t="s">
        <v>188</v>
      </c>
    </row>
    <row r="562" spans="1:10" ht="28.5">
      <c r="A562" t="s">
        <v>187</v>
      </c>
      <c r="B562" t="s">
        <v>1394</v>
      </c>
      <c r="C562" t="s">
        <v>2430</v>
      </c>
      <c r="D562" t="s">
        <v>2431</v>
      </c>
      <c r="E562" t="s">
        <v>1194</v>
      </c>
      <c r="F562" t="s">
        <v>263</v>
      </c>
      <c r="G562" t="s">
        <v>1388</v>
      </c>
      <c r="H562" s="8">
        <v>0.01</v>
      </c>
      <c r="I562" s="2">
        <v>0.336312</v>
      </c>
      <c r="J562" s="7" t="s">
        <v>188</v>
      </c>
    </row>
    <row r="563" spans="1:10" ht="28.5">
      <c r="A563" t="s">
        <v>187</v>
      </c>
      <c r="B563" t="s">
        <v>1394</v>
      </c>
      <c r="C563" t="s">
        <v>2432</v>
      </c>
      <c r="D563" t="s">
        <v>2433</v>
      </c>
      <c r="E563" t="s">
        <v>689</v>
      </c>
      <c r="F563" t="s">
        <v>38</v>
      </c>
      <c r="G563" t="s">
        <v>1388</v>
      </c>
      <c r="H563" s="8">
        <v>0.05</v>
      </c>
      <c r="I563" s="2">
        <v>1.6815600000000002</v>
      </c>
      <c r="J563" s="7" t="s">
        <v>188</v>
      </c>
    </row>
    <row r="564" spans="1:10" ht="28.5">
      <c r="A564" t="s">
        <v>187</v>
      </c>
      <c r="B564" t="s">
        <v>1394</v>
      </c>
      <c r="C564" t="s">
        <v>1426</v>
      </c>
      <c r="D564" t="s">
        <v>1427</v>
      </c>
      <c r="E564" t="s">
        <v>130</v>
      </c>
      <c r="F564" t="s">
        <v>50</v>
      </c>
      <c r="G564" t="s">
        <v>1388</v>
      </c>
      <c r="H564" s="8">
        <v>0.4</v>
      </c>
      <c r="I564" s="2">
        <v>13.452480000000001</v>
      </c>
      <c r="J564" s="7" t="s">
        <v>188</v>
      </c>
    </row>
    <row r="565" spans="1:10" ht="28.5">
      <c r="A565" t="s">
        <v>187</v>
      </c>
      <c r="B565" t="s">
        <v>1394</v>
      </c>
      <c r="C565" t="s">
        <v>2434</v>
      </c>
      <c r="D565" t="s">
        <v>2435</v>
      </c>
      <c r="E565" t="s">
        <v>572</v>
      </c>
      <c r="F565" t="s">
        <v>33</v>
      </c>
      <c r="G565" t="s">
        <v>1388</v>
      </c>
      <c r="H565" s="8">
        <v>0.03</v>
      </c>
      <c r="I565" s="2">
        <v>1.0089359999999998</v>
      </c>
      <c r="J565" s="7" t="s">
        <v>188</v>
      </c>
    </row>
    <row r="566" spans="1:10" ht="28.5">
      <c r="A566" t="s">
        <v>187</v>
      </c>
      <c r="B566" t="s">
        <v>1394</v>
      </c>
      <c r="C566" t="s">
        <v>2436</v>
      </c>
      <c r="D566" t="s">
        <v>2437</v>
      </c>
      <c r="E566" t="s">
        <v>210</v>
      </c>
      <c r="F566" t="s">
        <v>50</v>
      </c>
      <c r="G566" t="s">
        <v>1388</v>
      </c>
      <c r="H566" s="8">
        <v>0.31</v>
      </c>
      <c r="I566" s="2">
        <v>10.425671999999999</v>
      </c>
      <c r="J566" s="7" t="s">
        <v>188</v>
      </c>
    </row>
    <row r="567" spans="1:10" ht="28.5">
      <c r="A567" t="s">
        <v>187</v>
      </c>
      <c r="B567" t="s">
        <v>1394</v>
      </c>
      <c r="C567" t="s">
        <v>2438</v>
      </c>
      <c r="D567" t="s">
        <v>2439</v>
      </c>
      <c r="E567" t="s">
        <v>1189</v>
      </c>
      <c r="F567" t="s">
        <v>50</v>
      </c>
      <c r="G567" t="s">
        <v>1388</v>
      </c>
      <c r="H567" s="8">
        <v>0.01</v>
      </c>
      <c r="I567" s="2">
        <v>0.336312</v>
      </c>
      <c r="J567" s="7" t="s">
        <v>188</v>
      </c>
    </row>
    <row r="568" spans="1:10" ht="28.5">
      <c r="A568" t="s">
        <v>187</v>
      </c>
      <c r="B568" t="s">
        <v>1394</v>
      </c>
      <c r="C568" t="s">
        <v>2440</v>
      </c>
      <c r="D568" t="s">
        <v>2441</v>
      </c>
      <c r="E568" t="s">
        <v>1000</v>
      </c>
      <c r="F568" t="s">
        <v>50</v>
      </c>
      <c r="G568" t="s">
        <v>1388</v>
      </c>
      <c r="H568" s="8">
        <v>0.02</v>
      </c>
      <c r="I568" s="2">
        <v>0.672624</v>
      </c>
      <c r="J568" s="7" t="s">
        <v>188</v>
      </c>
    </row>
    <row r="569" spans="1:10" ht="28.5">
      <c r="A569" t="s">
        <v>187</v>
      </c>
      <c r="B569" t="s">
        <v>1394</v>
      </c>
      <c r="C569" t="s">
        <v>2442</v>
      </c>
      <c r="D569" t="s">
        <v>2443</v>
      </c>
      <c r="E569" t="s">
        <v>1365</v>
      </c>
      <c r="F569" t="s">
        <v>263</v>
      </c>
      <c r="G569" t="s">
        <v>1388</v>
      </c>
      <c r="H569" s="8">
        <v>0</v>
      </c>
      <c r="I569" s="2">
        <v>0</v>
      </c>
      <c r="J569" s="7" t="s">
        <v>188</v>
      </c>
    </row>
    <row r="570" spans="1:10" ht="28.5">
      <c r="A570" t="s">
        <v>187</v>
      </c>
      <c r="B570" t="s">
        <v>1394</v>
      </c>
      <c r="C570" t="s">
        <v>2444</v>
      </c>
      <c r="D570" t="s">
        <v>2445</v>
      </c>
      <c r="E570" t="s">
        <v>418</v>
      </c>
      <c r="F570" t="s">
        <v>25</v>
      </c>
      <c r="G570" t="s">
        <v>1388</v>
      </c>
      <c r="H570" s="8">
        <v>0.02</v>
      </c>
      <c r="I570" s="2">
        <v>0.672624</v>
      </c>
      <c r="J570" s="7" t="s">
        <v>188</v>
      </c>
    </row>
    <row r="571" spans="1:10" ht="28.5">
      <c r="A571" t="s">
        <v>187</v>
      </c>
      <c r="B571" t="s">
        <v>1394</v>
      </c>
      <c r="C571" t="s">
        <v>2446</v>
      </c>
      <c r="D571" t="s">
        <v>2447</v>
      </c>
      <c r="E571" t="s">
        <v>433</v>
      </c>
      <c r="F571" t="s">
        <v>50</v>
      </c>
      <c r="G571" t="s">
        <v>1388</v>
      </c>
      <c r="H571" s="8">
        <v>0.09</v>
      </c>
      <c r="I571" s="2">
        <v>3.0268079999999999</v>
      </c>
      <c r="J571" s="7" t="s">
        <v>188</v>
      </c>
    </row>
    <row r="572" spans="1:10" ht="28.5">
      <c r="A572" t="s">
        <v>187</v>
      </c>
      <c r="B572" t="s">
        <v>1394</v>
      </c>
      <c r="C572" t="s">
        <v>2448</v>
      </c>
      <c r="D572" t="s">
        <v>2449</v>
      </c>
      <c r="E572" t="s">
        <v>642</v>
      </c>
      <c r="F572" t="s">
        <v>108</v>
      </c>
      <c r="G572" t="s">
        <v>1388</v>
      </c>
      <c r="H572" s="8">
        <v>0.02</v>
      </c>
      <c r="I572" s="2">
        <v>0.672624</v>
      </c>
      <c r="J572" s="7" t="s">
        <v>188</v>
      </c>
    </row>
    <row r="573" spans="1:10" ht="28.5">
      <c r="A573" t="s">
        <v>187</v>
      </c>
      <c r="B573" t="s">
        <v>1394</v>
      </c>
      <c r="C573" t="s">
        <v>2450</v>
      </c>
      <c r="D573" t="s">
        <v>2451</v>
      </c>
      <c r="E573" t="s">
        <v>195</v>
      </c>
      <c r="F573" t="s">
        <v>38</v>
      </c>
      <c r="G573" t="s">
        <v>1388</v>
      </c>
      <c r="H573" s="8">
        <v>0.08</v>
      </c>
      <c r="I573" s="2">
        <v>2.690496</v>
      </c>
      <c r="J573" s="7" t="s">
        <v>188</v>
      </c>
    </row>
    <row r="574" spans="1:10" ht="28.5">
      <c r="A574" t="s">
        <v>187</v>
      </c>
      <c r="B574" t="s">
        <v>1394</v>
      </c>
      <c r="C574" t="s">
        <v>2452</v>
      </c>
      <c r="D574" t="s">
        <v>2453</v>
      </c>
      <c r="E574" t="s">
        <v>1028</v>
      </c>
      <c r="F574" t="s">
        <v>33</v>
      </c>
      <c r="G574" t="s">
        <v>1388</v>
      </c>
      <c r="H574" s="8">
        <v>0.02</v>
      </c>
      <c r="I574" s="2">
        <v>0.672624</v>
      </c>
      <c r="J574" s="7" t="s">
        <v>188</v>
      </c>
    </row>
    <row r="575" spans="1:10" ht="28.5">
      <c r="A575" t="s">
        <v>187</v>
      </c>
      <c r="B575" t="s">
        <v>1394</v>
      </c>
      <c r="C575" t="s">
        <v>2454</v>
      </c>
      <c r="D575" t="s">
        <v>2455</v>
      </c>
      <c r="E575" t="s">
        <v>1049</v>
      </c>
      <c r="F575" t="s">
        <v>38</v>
      </c>
      <c r="G575" t="s">
        <v>1388</v>
      </c>
      <c r="H575" s="8">
        <v>0.02</v>
      </c>
      <c r="I575" s="2">
        <v>0.672624</v>
      </c>
      <c r="J575" s="7" t="s">
        <v>188</v>
      </c>
    </row>
    <row r="576" spans="1:10" ht="28.5">
      <c r="A576" t="s">
        <v>187</v>
      </c>
      <c r="B576" t="s">
        <v>1394</v>
      </c>
      <c r="C576" t="s">
        <v>2456</v>
      </c>
      <c r="D576" t="s">
        <v>2457</v>
      </c>
      <c r="E576" t="s">
        <v>1080</v>
      </c>
      <c r="F576" t="s">
        <v>108</v>
      </c>
      <c r="G576" t="s">
        <v>1388</v>
      </c>
      <c r="H576" s="8">
        <v>0.02</v>
      </c>
      <c r="I576" s="2">
        <v>0.672624</v>
      </c>
      <c r="J576" s="7" t="s">
        <v>188</v>
      </c>
    </row>
    <row r="577" spans="1:10" ht="28.5">
      <c r="A577" t="s">
        <v>187</v>
      </c>
      <c r="B577" t="s">
        <v>1394</v>
      </c>
      <c r="C577" t="s">
        <v>2458</v>
      </c>
      <c r="D577" t="s">
        <v>2459</v>
      </c>
      <c r="E577" t="s">
        <v>1267</v>
      </c>
      <c r="F577" t="s">
        <v>50</v>
      </c>
      <c r="G577" t="s">
        <v>1388</v>
      </c>
      <c r="H577" s="8">
        <v>0.01</v>
      </c>
      <c r="I577" s="2">
        <v>0.336312</v>
      </c>
      <c r="J577" s="7" t="s">
        <v>188</v>
      </c>
    </row>
    <row r="578" spans="1:10" ht="28.5">
      <c r="A578" t="s">
        <v>187</v>
      </c>
      <c r="B578" t="s">
        <v>1394</v>
      </c>
      <c r="C578" t="s">
        <v>2460</v>
      </c>
      <c r="D578" t="s">
        <v>2461</v>
      </c>
      <c r="E578" t="s">
        <v>1187</v>
      </c>
      <c r="F578" t="s">
        <v>50</v>
      </c>
      <c r="G578" t="s">
        <v>1388</v>
      </c>
      <c r="H578" s="8">
        <v>0.01</v>
      </c>
      <c r="I578" s="2">
        <v>0.336312</v>
      </c>
      <c r="J578" s="7" t="s">
        <v>188</v>
      </c>
    </row>
    <row r="579" spans="1:10" ht="28.5">
      <c r="A579" t="s">
        <v>187</v>
      </c>
      <c r="B579" t="s">
        <v>1394</v>
      </c>
      <c r="C579" t="s">
        <v>2462</v>
      </c>
      <c r="D579" t="s">
        <v>2463</v>
      </c>
      <c r="E579" t="s">
        <v>1218</v>
      </c>
      <c r="F579" t="s">
        <v>38</v>
      </c>
      <c r="G579" t="s">
        <v>1388</v>
      </c>
      <c r="H579" s="8">
        <v>0.01</v>
      </c>
      <c r="I579" s="2">
        <v>0.336312</v>
      </c>
      <c r="J579" s="7" t="s">
        <v>188</v>
      </c>
    </row>
    <row r="580" spans="1:10" ht="28.5">
      <c r="A580" t="s">
        <v>187</v>
      </c>
      <c r="B580" t="s">
        <v>1394</v>
      </c>
      <c r="C580" t="s">
        <v>2464</v>
      </c>
      <c r="D580" t="s">
        <v>2465</v>
      </c>
      <c r="E580" t="s">
        <v>203</v>
      </c>
      <c r="F580" t="s">
        <v>33</v>
      </c>
      <c r="G580" t="s">
        <v>1388</v>
      </c>
      <c r="H580" s="8">
        <v>0.19</v>
      </c>
      <c r="I580" s="2">
        <v>6.3899280000000003</v>
      </c>
      <c r="J580" s="7" t="s">
        <v>188</v>
      </c>
    </row>
    <row r="581" spans="1:10" ht="28.5">
      <c r="A581" t="s">
        <v>187</v>
      </c>
      <c r="B581" t="s">
        <v>1394</v>
      </c>
      <c r="C581" t="s">
        <v>2466</v>
      </c>
      <c r="D581" t="s">
        <v>2467</v>
      </c>
      <c r="E581" t="s">
        <v>745</v>
      </c>
      <c r="F581" t="s">
        <v>41</v>
      </c>
      <c r="G581" t="s">
        <v>1388</v>
      </c>
      <c r="H581" s="8">
        <v>0.04</v>
      </c>
      <c r="I581" s="2">
        <v>1.345248</v>
      </c>
      <c r="J581" s="7" t="s">
        <v>188</v>
      </c>
    </row>
    <row r="582" spans="1:10" ht="28.5">
      <c r="A582" t="s">
        <v>187</v>
      </c>
      <c r="B582" t="s">
        <v>1394</v>
      </c>
      <c r="C582" t="s">
        <v>2468</v>
      </c>
      <c r="D582" t="s">
        <v>2469</v>
      </c>
      <c r="E582" t="s">
        <v>1300</v>
      </c>
      <c r="F582" t="s">
        <v>23</v>
      </c>
      <c r="G582" t="s">
        <v>1388</v>
      </c>
      <c r="H582" s="8">
        <v>0.01</v>
      </c>
      <c r="I582" s="2">
        <v>0.336312</v>
      </c>
      <c r="J582" s="7" t="s">
        <v>188</v>
      </c>
    </row>
    <row r="583" spans="1:10" ht="28.5">
      <c r="A583" t="s">
        <v>187</v>
      </c>
      <c r="B583" t="s">
        <v>1394</v>
      </c>
      <c r="C583" t="s">
        <v>2470</v>
      </c>
      <c r="D583" t="s">
        <v>2471</v>
      </c>
      <c r="E583" t="s">
        <v>215</v>
      </c>
      <c r="F583" t="s">
        <v>33</v>
      </c>
      <c r="G583" t="s">
        <v>1388</v>
      </c>
      <c r="H583" s="8">
        <v>0.12</v>
      </c>
      <c r="I583" s="2">
        <v>4.0357439999999993</v>
      </c>
      <c r="J583" s="7" t="s">
        <v>188</v>
      </c>
    </row>
    <row r="584" spans="1:10" ht="28.5">
      <c r="A584" t="s">
        <v>187</v>
      </c>
      <c r="B584" t="s">
        <v>1394</v>
      </c>
      <c r="C584" t="s">
        <v>2472</v>
      </c>
      <c r="D584" t="s">
        <v>2473</v>
      </c>
      <c r="E584" t="s">
        <v>520</v>
      </c>
      <c r="F584" t="s">
        <v>41</v>
      </c>
      <c r="G584" t="s">
        <v>1388</v>
      </c>
      <c r="H584" s="8">
        <v>7.0000000000000007E-2</v>
      </c>
      <c r="I584" s="2">
        <v>2.3541840000000001</v>
      </c>
      <c r="J584" s="7" t="s">
        <v>188</v>
      </c>
    </row>
    <row r="585" spans="1:10" ht="28.5">
      <c r="A585" t="s">
        <v>187</v>
      </c>
      <c r="B585" t="s">
        <v>1394</v>
      </c>
      <c r="C585" t="s">
        <v>2474</v>
      </c>
      <c r="D585" t="s">
        <v>2475</v>
      </c>
      <c r="E585" t="s">
        <v>511</v>
      </c>
      <c r="F585" t="s">
        <v>23</v>
      </c>
      <c r="G585" t="s">
        <v>1388</v>
      </c>
      <c r="H585" s="8">
        <v>0.02</v>
      </c>
      <c r="I585" s="2">
        <v>0.672624</v>
      </c>
      <c r="J585" s="7" t="s">
        <v>188</v>
      </c>
    </row>
    <row r="586" spans="1:10" ht="28.5">
      <c r="A586" t="s">
        <v>187</v>
      </c>
      <c r="B586" t="s">
        <v>1394</v>
      </c>
      <c r="C586" t="s">
        <v>1428</v>
      </c>
      <c r="D586" t="s">
        <v>1429</v>
      </c>
      <c r="E586" t="s">
        <v>134</v>
      </c>
      <c r="F586" t="s">
        <v>23</v>
      </c>
      <c r="G586" t="s">
        <v>1388</v>
      </c>
      <c r="H586" s="8">
        <v>0.36</v>
      </c>
      <c r="I586" s="2">
        <v>12.107232</v>
      </c>
      <c r="J586" s="7" t="s">
        <v>188</v>
      </c>
    </row>
    <row r="587" spans="1:10" ht="28.5">
      <c r="A587" t="s">
        <v>187</v>
      </c>
      <c r="B587" t="s">
        <v>1394</v>
      </c>
      <c r="C587" t="s">
        <v>2476</v>
      </c>
      <c r="D587" t="s">
        <v>2477</v>
      </c>
      <c r="E587" t="s">
        <v>734</v>
      </c>
      <c r="F587" t="s">
        <v>263</v>
      </c>
      <c r="G587" t="s">
        <v>1388</v>
      </c>
      <c r="H587" s="8">
        <v>0.04</v>
      </c>
      <c r="I587" s="2">
        <v>1.345248</v>
      </c>
      <c r="J587" s="7" t="s">
        <v>188</v>
      </c>
    </row>
    <row r="588" spans="1:10" ht="28.5">
      <c r="A588" t="s">
        <v>187</v>
      </c>
      <c r="B588" t="s">
        <v>1394</v>
      </c>
      <c r="C588" t="s">
        <v>2478</v>
      </c>
      <c r="D588" t="s">
        <v>2479</v>
      </c>
      <c r="E588" t="s">
        <v>1223</v>
      </c>
      <c r="F588" t="s">
        <v>50</v>
      </c>
      <c r="G588" t="s">
        <v>1388</v>
      </c>
      <c r="H588" s="8">
        <v>0.01</v>
      </c>
      <c r="I588" s="2">
        <v>0.336312</v>
      </c>
      <c r="J588" s="7" t="s">
        <v>188</v>
      </c>
    </row>
    <row r="589" spans="1:10" ht="28.5">
      <c r="A589" t="s">
        <v>187</v>
      </c>
      <c r="B589" t="s">
        <v>1394</v>
      </c>
      <c r="C589" t="s">
        <v>2480</v>
      </c>
      <c r="D589" t="s">
        <v>2481</v>
      </c>
      <c r="E589" t="s">
        <v>1161</v>
      </c>
      <c r="F589" t="s">
        <v>50</v>
      </c>
      <c r="G589" t="s">
        <v>1388</v>
      </c>
      <c r="H589" s="8">
        <v>0.01</v>
      </c>
      <c r="I589" s="2">
        <v>0.336312</v>
      </c>
      <c r="J589" s="7" t="s">
        <v>188</v>
      </c>
    </row>
    <row r="590" spans="1:10" ht="28.5">
      <c r="A590" t="s">
        <v>187</v>
      </c>
      <c r="B590" t="s">
        <v>1394</v>
      </c>
      <c r="C590" t="s">
        <v>2482</v>
      </c>
      <c r="D590" t="s">
        <v>2483</v>
      </c>
      <c r="E590" t="s">
        <v>1076</v>
      </c>
      <c r="F590" t="s">
        <v>23</v>
      </c>
      <c r="G590" t="s">
        <v>1388</v>
      </c>
      <c r="H590" s="8">
        <v>0.02</v>
      </c>
      <c r="I590" s="2">
        <v>0.672624</v>
      </c>
      <c r="J590" s="7" t="s">
        <v>188</v>
      </c>
    </row>
    <row r="591" spans="1:10" ht="28.5">
      <c r="A591" t="s">
        <v>187</v>
      </c>
      <c r="B591" t="s">
        <v>1394</v>
      </c>
      <c r="C591" t="s">
        <v>2484</v>
      </c>
      <c r="D591" t="s">
        <v>2485</v>
      </c>
      <c r="E591" t="s">
        <v>1130</v>
      </c>
      <c r="F591" t="s">
        <v>23</v>
      </c>
      <c r="G591" t="s">
        <v>1388</v>
      </c>
      <c r="H591" s="8">
        <v>0.01</v>
      </c>
      <c r="I591" s="2">
        <v>0.336312</v>
      </c>
      <c r="J591" s="7" t="s">
        <v>188</v>
      </c>
    </row>
    <row r="592" spans="1:10" ht="28.5">
      <c r="A592" t="s">
        <v>187</v>
      </c>
      <c r="B592" t="s">
        <v>1394</v>
      </c>
      <c r="C592" t="s">
        <v>2486</v>
      </c>
      <c r="D592" t="s">
        <v>2487</v>
      </c>
      <c r="E592" t="s">
        <v>669</v>
      </c>
      <c r="F592" t="s">
        <v>33</v>
      </c>
      <c r="G592" t="s">
        <v>1388</v>
      </c>
      <c r="H592" s="8">
        <v>0.05</v>
      </c>
      <c r="I592" s="2">
        <v>1.6815600000000002</v>
      </c>
      <c r="J592" s="7" t="s">
        <v>188</v>
      </c>
    </row>
    <row r="593" spans="1:10" ht="28.5">
      <c r="A593" t="s">
        <v>187</v>
      </c>
      <c r="B593" t="s">
        <v>1394</v>
      </c>
      <c r="C593" t="s">
        <v>2488</v>
      </c>
      <c r="D593" t="s">
        <v>2489</v>
      </c>
      <c r="E593" t="s">
        <v>864</v>
      </c>
      <c r="F593" t="s">
        <v>124</v>
      </c>
      <c r="G593" t="s">
        <v>1388</v>
      </c>
      <c r="H593" s="8">
        <v>0.03</v>
      </c>
      <c r="I593" s="2">
        <v>1.0089359999999998</v>
      </c>
      <c r="J593" s="7" t="s">
        <v>188</v>
      </c>
    </row>
    <row r="594" spans="1:10" ht="28.5">
      <c r="A594" t="s">
        <v>187</v>
      </c>
      <c r="B594" t="s">
        <v>1394</v>
      </c>
      <c r="C594" t="s">
        <v>2490</v>
      </c>
      <c r="D594" t="s">
        <v>2491</v>
      </c>
      <c r="E594" t="s">
        <v>991</v>
      </c>
      <c r="F594" t="s">
        <v>25</v>
      </c>
      <c r="G594" t="s">
        <v>1388</v>
      </c>
      <c r="H594" s="8">
        <v>0.02</v>
      </c>
      <c r="I594" s="2">
        <v>0.672624</v>
      </c>
      <c r="J594" s="7" t="s">
        <v>188</v>
      </c>
    </row>
    <row r="595" spans="1:10" ht="28.5">
      <c r="A595" t="s">
        <v>187</v>
      </c>
      <c r="B595" t="s">
        <v>1394</v>
      </c>
      <c r="C595" t="s">
        <v>2492</v>
      </c>
      <c r="D595" t="s">
        <v>2493</v>
      </c>
      <c r="E595" t="s">
        <v>792</v>
      </c>
      <c r="F595" t="s">
        <v>50</v>
      </c>
      <c r="G595" t="s">
        <v>1388</v>
      </c>
      <c r="H595" s="8">
        <v>0.01</v>
      </c>
      <c r="I595" s="2">
        <v>0.336312</v>
      </c>
      <c r="J595" s="7" t="s">
        <v>188</v>
      </c>
    </row>
    <row r="596" spans="1:10" ht="28.5">
      <c r="A596" t="s">
        <v>187</v>
      </c>
      <c r="B596" t="s">
        <v>1394</v>
      </c>
      <c r="C596" t="s">
        <v>2494</v>
      </c>
      <c r="D596" t="s">
        <v>2495</v>
      </c>
      <c r="E596" t="s">
        <v>1069</v>
      </c>
      <c r="F596" t="s">
        <v>23</v>
      </c>
      <c r="G596" t="s">
        <v>1388</v>
      </c>
      <c r="H596" s="8">
        <v>0.02</v>
      </c>
      <c r="I596" s="2">
        <v>0.672624</v>
      </c>
      <c r="J596" s="7" t="s">
        <v>188</v>
      </c>
    </row>
    <row r="597" spans="1:10" ht="28.5">
      <c r="A597" t="s">
        <v>187</v>
      </c>
      <c r="B597" t="s">
        <v>1394</v>
      </c>
      <c r="C597" t="s">
        <v>2496</v>
      </c>
      <c r="D597" t="s">
        <v>2497</v>
      </c>
      <c r="E597" t="s">
        <v>690</v>
      </c>
      <c r="F597" t="s">
        <v>23</v>
      </c>
      <c r="G597" t="s">
        <v>1388</v>
      </c>
      <c r="H597" s="8">
        <v>0.05</v>
      </c>
      <c r="I597" s="2">
        <v>1.6815600000000002</v>
      </c>
      <c r="J597" s="7" t="s">
        <v>188</v>
      </c>
    </row>
    <row r="598" spans="1:10" ht="28.5">
      <c r="A598" t="s">
        <v>187</v>
      </c>
      <c r="B598" t="s">
        <v>1394</v>
      </c>
      <c r="C598" t="s">
        <v>2498</v>
      </c>
      <c r="D598" t="s">
        <v>2499</v>
      </c>
      <c r="E598" t="s">
        <v>533</v>
      </c>
      <c r="F598" t="s">
        <v>33</v>
      </c>
      <c r="G598" t="s">
        <v>1388</v>
      </c>
      <c r="H598" s="8">
        <v>7.0000000000000007E-2</v>
      </c>
      <c r="I598" s="2">
        <v>2.3541840000000001</v>
      </c>
      <c r="J598" s="7" t="s">
        <v>188</v>
      </c>
    </row>
    <row r="599" spans="1:10" ht="28.5">
      <c r="A599" t="s">
        <v>187</v>
      </c>
      <c r="B599" t="s">
        <v>1394</v>
      </c>
      <c r="C599" t="s">
        <v>2500</v>
      </c>
      <c r="D599" t="s">
        <v>2501</v>
      </c>
      <c r="E599" t="s">
        <v>788</v>
      </c>
      <c r="F599" t="s">
        <v>50</v>
      </c>
      <c r="G599" t="s">
        <v>1388</v>
      </c>
      <c r="H599" s="8">
        <v>0.02</v>
      </c>
      <c r="I599" s="2">
        <v>0.672624</v>
      </c>
      <c r="J599" s="7" t="s">
        <v>188</v>
      </c>
    </row>
    <row r="600" spans="1:10" ht="28.5">
      <c r="A600" t="s">
        <v>187</v>
      </c>
      <c r="B600" t="s">
        <v>1394</v>
      </c>
      <c r="C600" t="s">
        <v>2502</v>
      </c>
      <c r="D600" t="s">
        <v>2503</v>
      </c>
      <c r="E600" t="s">
        <v>788</v>
      </c>
      <c r="F600" t="s">
        <v>50</v>
      </c>
      <c r="G600" t="s">
        <v>1388</v>
      </c>
      <c r="H600" s="8">
        <v>0.02</v>
      </c>
      <c r="I600" s="2">
        <v>0.672624</v>
      </c>
      <c r="J600" s="7" t="s">
        <v>188</v>
      </c>
    </row>
    <row r="601" spans="1:10" ht="28.5">
      <c r="A601" t="s">
        <v>187</v>
      </c>
      <c r="B601" t="s">
        <v>1394</v>
      </c>
      <c r="C601" t="s">
        <v>2500</v>
      </c>
      <c r="D601" t="s">
        <v>2504</v>
      </c>
      <c r="E601" t="s">
        <v>514</v>
      </c>
      <c r="F601" t="s">
        <v>41</v>
      </c>
      <c r="G601" t="s">
        <v>1388</v>
      </c>
      <c r="H601" s="8">
        <v>0.03</v>
      </c>
      <c r="I601" s="2">
        <v>1.0089359999999998</v>
      </c>
      <c r="J601" s="7" t="s">
        <v>188</v>
      </c>
    </row>
    <row r="602" spans="1:10" ht="28.5">
      <c r="A602" t="s">
        <v>187</v>
      </c>
      <c r="B602" t="s">
        <v>1394</v>
      </c>
      <c r="C602" t="s">
        <v>2505</v>
      </c>
      <c r="D602" t="s">
        <v>2506</v>
      </c>
      <c r="E602" t="s">
        <v>827</v>
      </c>
      <c r="F602" t="s">
        <v>108</v>
      </c>
      <c r="G602" t="s">
        <v>1388</v>
      </c>
      <c r="H602" s="8">
        <v>0.01</v>
      </c>
      <c r="I602" s="2">
        <v>0.336312</v>
      </c>
      <c r="J602" s="7" t="s">
        <v>188</v>
      </c>
    </row>
    <row r="603" spans="1:10" ht="28.5">
      <c r="A603" t="s">
        <v>187</v>
      </c>
      <c r="B603" t="s">
        <v>1394</v>
      </c>
      <c r="C603" t="s">
        <v>2502</v>
      </c>
      <c r="D603" t="s">
        <v>2507</v>
      </c>
      <c r="E603" t="s">
        <v>919</v>
      </c>
      <c r="F603" t="s">
        <v>108</v>
      </c>
      <c r="G603" t="s">
        <v>1388</v>
      </c>
      <c r="H603" s="8">
        <v>0.03</v>
      </c>
      <c r="I603" s="2">
        <v>1.0089359999999998</v>
      </c>
      <c r="J603" s="7" t="s">
        <v>188</v>
      </c>
    </row>
    <row r="604" spans="1:10" ht="28.5">
      <c r="A604" t="s">
        <v>187</v>
      </c>
      <c r="B604" t="s">
        <v>1394</v>
      </c>
      <c r="C604" t="s">
        <v>2508</v>
      </c>
      <c r="D604" t="s">
        <v>2509</v>
      </c>
      <c r="E604" t="s">
        <v>1004</v>
      </c>
      <c r="F604" t="s">
        <v>23</v>
      </c>
      <c r="G604" t="s">
        <v>1388</v>
      </c>
      <c r="H604" s="8">
        <v>0.02</v>
      </c>
      <c r="I604" s="2">
        <v>0.672624</v>
      </c>
      <c r="J604" s="7" t="s">
        <v>188</v>
      </c>
    </row>
    <row r="605" spans="1:10" ht="28.5">
      <c r="A605" t="s">
        <v>187</v>
      </c>
      <c r="B605" t="s">
        <v>1394</v>
      </c>
      <c r="C605" t="s">
        <v>2510</v>
      </c>
      <c r="D605" t="s">
        <v>2511</v>
      </c>
      <c r="E605" t="s">
        <v>1298</v>
      </c>
      <c r="F605" t="s">
        <v>263</v>
      </c>
      <c r="G605" t="s">
        <v>1388</v>
      </c>
      <c r="H605" s="8">
        <v>0.01</v>
      </c>
      <c r="I605" s="2">
        <v>0.336312</v>
      </c>
      <c r="J605" s="7" t="s">
        <v>188</v>
      </c>
    </row>
    <row r="606" spans="1:10" ht="28.5">
      <c r="A606" t="s">
        <v>187</v>
      </c>
      <c r="B606" t="s">
        <v>1394</v>
      </c>
      <c r="C606" t="s">
        <v>2512</v>
      </c>
      <c r="D606" t="s">
        <v>2513</v>
      </c>
      <c r="E606" t="s">
        <v>558</v>
      </c>
      <c r="F606" t="s">
        <v>108</v>
      </c>
      <c r="G606" t="s">
        <v>1388</v>
      </c>
      <c r="H606" s="8">
        <v>0.02</v>
      </c>
      <c r="I606" s="2">
        <v>0.672624</v>
      </c>
      <c r="J606" s="7" t="s">
        <v>188</v>
      </c>
    </row>
    <row r="607" spans="1:10" ht="28.5">
      <c r="A607" t="s">
        <v>187</v>
      </c>
      <c r="B607" t="s">
        <v>1394</v>
      </c>
      <c r="C607" t="s">
        <v>2514</v>
      </c>
      <c r="D607" t="s">
        <v>2515</v>
      </c>
      <c r="E607" t="s">
        <v>718</v>
      </c>
      <c r="F607" t="s">
        <v>108</v>
      </c>
      <c r="G607" t="s">
        <v>1388</v>
      </c>
      <c r="H607" s="8">
        <v>0.01</v>
      </c>
      <c r="I607" s="2">
        <v>0.336312</v>
      </c>
      <c r="J607" s="7" t="s">
        <v>188</v>
      </c>
    </row>
    <row r="608" spans="1:10" ht="28.5">
      <c r="A608" t="s">
        <v>187</v>
      </c>
      <c r="B608" t="s">
        <v>1394</v>
      </c>
      <c r="C608" t="s">
        <v>2516</v>
      </c>
      <c r="D608" t="s">
        <v>2517</v>
      </c>
      <c r="E608" t="s">
        <v>1209</v>
      </c>
      <c r="F608" t="s">
        <v>38</v>
      </c>
      <c r="G608" t="s">
        <v>1388</v>
      </c>
      <c r="H608" s="8">
        <v>0.01</v>
      </c>
      <c r="I608" s="2">
        <v>0.336312</v>
      </c>
      <c r="J608" s="7" t="s">
        <v>188</v>
      </c>
    </row>
    <row r="609" spans="1:10" ht="28.5">
      <c r="A609" t="s">
        <v>187</v>
      </c>
      <c r="B609" t="s">
        <v>1394</v>
      </c>
      <c r="C609" t="s">
        <v>2518</v>
      </c>
      <c r="D609" t="s">
        <v>2519</v>
      </c>
      <c r="E609" t="s">
        <v>1320</v>
      </c>
      <c r="F609" t="s">
        <v>50</v>
      </c>
      <c r="G609" t="s">
        <v>1388</v>
      </c>
      <c r="H609" s="8">
        <v>0.01</v>
      </c>
      <c r="I609" s="2">
        <v>0.336312</v>
      </c>
      <c r="J609" s="7" t="s">
        <v>188</v>
      </c>
    </row>
    <row r="610" spans="1:10" ht="28.5">
      <c r="A610" t="s">
        <v>187</v>
      </c>
      <c r="B610" t="s">
        <v>1394</v>
      </c>
      <c r="C610" t="s">
        <v>2520</v>
      </c>
      <c r="D610" t="s">
        <v>2521</v>
      </c>
      <c r="E610" t="s">
        <v>611</v>
      </c>
      <c r="F610" t="s">
        <v>38</v>
      </c>
      <c r="G610" t="s">
        <v>1388</v>
      </c>
      <c r="H610" s="8">
        <v>0.06</v>
      </c>
      <c r="I610" s="2">
        <v>2.0178719999999997</v>
      </c>
      <c r="J610" s="7" t="s">
        <v>188</v>
      </c>
    </row>
    <row r="611" spans="1:10" ht="28.5">
      <c r="A611" t="s">
        <v>187</v>
      </c>
      <c r="B611" t="s">
        <v>1394</v>
      </c>
      <c r="C611" t="s">
        <v>2522</v>
      </c>
      <c r="D611" t="s">
        <v>2523</v>
      </c>
      <c r="E611" t="s">
        <v>920</v>
      </c>
      <c r="F611" t="s">
        <v>108</v>
      </c>
      <c r="G611" t="s">
        <v>1388</v>
      </c>
      <c r="H611" s="8">
        <v>0.03</v>
      </c>
      <c r="I611" s="2">
        <v>1.0089359999999998</v>
      </c>
      <c r="J611" s="7" t="s">
        <v>188</v>
      </c>
    </row>
    <row r="612" spans="1:10" ht="28.5">
      <c r="A612" t="s">
        <v>187</v>
      </c>
      <c r="B612" t="s">
        <v>1394</v>
      </c>
      <c r="C612" t="s">
        <v>2524</v>
      </c>
      <c r="D612" t="s">
        <v>2525</v>
      </c>
      <c r="E612" t="s">
        <v>193</v>
      </c>
      <c r="F612" t="s">
        <v>25</v>
      </c>
      <c r="G612" t="s">
        <v>1388</v>
      </c>
      <c r="H612" s="8">
        <v>7.0000000000000007E-2</v>
      </c>
      <c r="I612" s="2">
        <v>2.3541840000000001</v>
      </c>
      <c r="J612" s="7" t="s">
        <v>188</v>
      </c>
    </row>
    <row r="613" spans="1:10" ht="28.5">
      <c r="A613" t="s">
        <v>187</v>
      </c>
      <c r="B613" t="s">
        <v>1394</v>
      </c>
      <c r="C613" t="s">
        <v>2526</v>
      </c>
      <c r="D613" t="s">
        <v>2527</v>
      </c>
      <c r="E613" t="s">
        <v>1041</v>
      </c>
      <c r="F613" t="s">
        <v>25</v>
      </c>
      <c r="G613" t="s">
        <v>1388</v>
      </c>
      <c r="H613" s="8">
        <v>0.02</v>
      </c>
      <c r="I613" s="2">
        <v>0.672624</v>
      </c>
      <c r="J613" s="7" t="s">
        <v>188</v>
      </c>
    </row>
    <row r="614" spans="1:10" ht="28.5">
      <c r="A614" t="s">
        <v>187</v>
      </c>
      <c r="B614" t="s">
        <v>1394</v>
      </c>
      <c r="C614" t="s">
        <v>2528</v>
      </c>
      <c r="D614" t="s">
        <v>2529</v>
      </c>
      <c r="E614" t="s">
        <v>1332</v>
      </c>
      <c r="F614" t="s">
        <v>50</v>
      </c>
      <c r="G614" t="s">
        <v>1388</v>
      </c>
      <c r="H614" s="8">
        <v>0</v>
      </c>
      <c r="I614" s="2">
        <v>0</v>
      </c>
      <c r="J614" s="7" t="s">
        <v>188</v>
      </c>
    </row>
    <row r="615" spans="1:10" ht="28.5">
      <c r="A615" t="s">
        <v>187</v>
      </c>
      <c r="B615" t="s">
        <v>1394</v>
      </c>
      <c r="C615" t="s">
        <v>2530</v>
      </c>
      <c r="D615" t="s">
        <v>2531</v>
      </c>
      <c r="E615" t="s">
        <v>446</v>
      </c>
      <c r="F615" t="s">
        <v>38</v>
      </c>
      <c r="G615" t="s">
        <v>1388</v>
      </c>
      <c r="H615" s="8">
        <v>0.09</v>
      </c>
      <c r="I615" s="2">
        <v>3.0268079999999999</v>
      </c>
      <c r="J615" s="7" t="s">
        <v>188</v>
      </c>
    </row>
    <row r="616" spans="1:10" ht="28.5">
      <c r="A616" t="s">
        <v>187</v>
      </c>
      <c r="B616" t="s">
        <v>1394</v>
      </c>
      <c r="C616" t="s">
        <v>2532</v>
      </c>
      <c r="D616" t="s">
        <v>2533</v>
      </c>
      <c r="E616" t="s">
        <v>300</v>
      </c>
      <c r="F616" t="s">
        <v>50</v>
      </c>
      <c r="G616" t="s">
        <v>1388</v>
      </c>
      <c r="H616" s="8">
        <v>0.15</v>
      </c>
      <c r="I616" s="2">
        <v>5.0446799999999996</v>
      </c>
      <c r="J616" s="7" t="s">
        <v>188</v>
      </c>
    </row>
    <row r="617" spans="1:10" ht="28.5">
      <c r="A617" t="s">
        <v>187</v>
      </c>
      <c r="B617" t="s">
        <v>1394</v>
      </c>
      <c r="C617" t="s">
        <v>2534</v>
      </c>
      <c r="D617" t="s">
        <v>2535</v>
      </c>
      <c r="E617" t="s">
        <v>1283</v>
      </c>
      <c r="F617" t="s">
        <v>27</v>
      </c>
      <c r="G617" t="s">
        <v>1388</v>
      </c>
      <c r="H617" s="8">
        <v>0.01</v>
      </c>
      <c r="I617" s="2">
        <v>0.336312</v>
      </c>
      <c r="J617" s="7" t="s">
        <v>188</v>
      </c>
    </row>
    <row r="618" spans="1:10" ht="28.5">
      <c r="A618" t="s">
        <v>187</v>
      </c>
      <c r="B618" t="s">
        <v>1394</v>
      </c>
      <c r="C618" t="s">
        <v>2536</v>
      </c>
      <c r="D618" t="s">
        <v>2537</v>
      </c>
      <c r="E618" t="s">
        <v>1247</v>
      </c>
      <c r="F618" t="s">
        <v>50</v>
      </c>
      <c r="G618" t="s">
        <v>1388</v>
      </c>
      <c r="H618" s="8">
        <v>0.01</v>
      </c>
      <c r="I618" s="2">
        <v>0.336312</v>
      </c>
      <c r="J618" s="7" t="s">
        <v>188</v>
      </c>
    </row>
    <row r="619" spans="1:10" ht="28.5">
      <c r="A619" t="s">
        <v>187</v>
      </c>
      <c r="B619" t="s">
        <v>1394</v>
      </c>
      <c r="C619" t="s">
        <v>2538</v>
      </c>
      <c r="D619" t="s">
        <v>2539</v>
      </c>
      <c r="E619" t="s">
        <v>664</v>
      </c>
      <c r="F619" t="s">
        <v>41</v>
      </c>
      <c r="G619" t="s">
        <v>1388</v>
      </c>
      <c r="H619" s="8">
        <v>0.05</v>
      </c>
      <c r="I619" s="2">
        <v>1.6815600000000002</v>
      </c>
      <c r="J619" s="7" t="s">
        <v>188</v>
      </c>
    </row>
    <row r="620" spans="1:10" ht="28.5">
      <c r="A620" t="s">
        <v>187</v>
      </c>
      <c r="B620" t="s">
        <v>1394</v>
      </c>
      <c r="C620" t="s">
        <v>2540</v>
      </c>
      <c r="D620" t="s">
        <v>2541</v>
      </c>
      <c r="E620" t="s">
        <v>1376</v>
      </c>
      <c r="F620" t="s">
        <v>33</v>
      </c>
      <c r="G620" t="s">
        <v>1388</v>
      </c>
      <c r="H620" s="8">
        <v>0</v>
      </c>
      <c r="I620" s="2">
        <v>0</v>
      </c>
      <c r="J620" s="7" t="s">
        <v>188</v>
      </c>
    </row>
    <row r="621" spans="1:10" ht="28.5">
      <c r="A621" t="s">
        <v>187</v>
      </c>
      <c r="B621" t="s">
        <v>1394</v>
      </c>
      <c r="C621" t="s">
        <v>2542</v>
      </c>
      <c r="D621" t="s">
        <v>2543</v>
      </c>
      <c r="E621" t="s">
        <v>111</v>
      </c>
      <c r="F621" t="s">
        <v>38</v>
      </c>
      <c r="G621" t="s">
        <v>1388</v>
      </c>
      <c r="H621" s="8">
        <v>0.39</v>
      </c>
      <c r="I621" s="2">
        <v>13.116168</v>
      </c>
      <c r="J621" s="7" t="s">
        <v>188</v>
      </c>
    </row>
    <row r="622" spans="1:10" ht="28.5">
      <c r="A622" t="s">
        <v>187</v>
      </c>
      <c r="B622" t="s">
        <v>1394</v>
      </c>
      <c r="C622" t="s">
        <v>2544</v>
      </c>
      <c r="D622" t="s">
        <v>2545</v>
      </c>
      <c r="E622" t="s">
        <v>235</v>
      </c>
      <c r="F622" t="s">
        <v>38</v>
      </c>
      <c r="G622" t="s">
        <v>1388</v>
      </c>
      <c r="H622" s="8">
        <v>0.04</v>
      </c>
      <c r="I622" s="2">
        <v>1.345248</v>
      </c>
      <c r="J622" s="7" t="s">
        <v>188</v>
      </c>
    </row>
    <row r="623" spans="1:10" ht="28.5">
      <c r="A623" t="s">
        <v>187</v>
      </c>
      <c r="B623" t="s">
        <v>1394</v>
      </c>
      <c r="C623" t="s">
        <v>2546</v>
      </c>
      <c r="D623" t="s">
        <v>2547</v>
      </c>
      <c r="E623" t="s">
        <v>518</v>
      </c>
      <c r="F623" t="s">
        <v>50</v>
      </c>
      <c r="G623" t="s">
        <v>1388</v>
      </c>
      <c r="H623" s="8">
        <v>7.0000000000000007E-2</v>
      </c>
      <c r="I623" s="2">
        <v>2.3541840000000001</v>
      </c>
      <c r="J623" s="7" t="s">
        <v>188</v>
      </c>
    </row>
    <row r="624" spans="1:10" ht="28.5">
      <c r="A624" t="s">
        <v>187</v>
      </c>
      <c r="B624" t="s">
        <v>1394</v>
      </c>
      <c r="C624" t="s">
        <v>2548</v>
      </c>
      <c r="D624" t="s">
        <v>2549</v>
      </c>
      <c r="E624" t="s">
        <v>478</v>
      </c>
      <c r="F624" t="s">
        <v>50</v>
      </c>
      <c r="G624" t="s">
        <v>1388</v>
      </c>
      <c r="H624" s="8">
        <v>0.08</v>
      </c>
      <c r="I624" s="2">
        <v>2.690496</v>
      </c>
      <c r="J624" s="7" t="s">
        <v>188</v>
      </c>
    </row>
    <row r="625" spans="1:10" ht="28.5">
      <c r="A625" t="s">
        <v>187</v>
      </c>
      <c r="B625" t="s">
        <v>1394</v>
      </c>
      <c r="C625" t="s">
        <v>2550</v>
      </c>
      <c r="D625" t="s">
        <v>2551</v>
      </c>
      <c r="E625" t="s">
        <v>1248</v>
      </c>
      <c r="F625" t="s">
        <v>253</v>
      </c>
      <c r="G625" t="s">
        <v>1388</v>
      </c>
      <c r="H625" s="8">
        <v>0.01</v>
      </c>
      <c r="I625" s="2">
        <v>0.336312</v>
      </c>
      <c r="J625" s="7" t="s">
        <v>188</v>
      </c>
    </row>
    <row r="626" spans="1:10" ht="28.5">
      <c r="A626" t="s">
        <v>187</v>
      </c>
      <c r="B626" t="s">
        <v>1394</v>
      </c>
      <c r="C626" t="s">
        <v>2552</v>
      </c>
      <c r="D626" t="s">
        <v>2553</v>
      </c>
      <c r="E626" t="s">
        <v>598</v>
      </c>
      <c r="F626" t="s">
        <v>23</v>
      </c>
      <c r="G626" t="s">
        <v>1388</v>
      </c>
      <c r="H626" s="8">
        <v>0.06</v>
      </c>
      <c r="I626" s="2">
        <v>2.0178719999999997</v>
      </c>
      <c r="J626" s="7" t="s">
        <v>188</v>
      </c>
    </row>
    <row r="627" spans="1:10" ht="28.5">
      <c r="A627" t="s">
        <v>187</v>
      </c>
      <c r="B627" t="s">
        <v>1394</v>
      </c>
      <c r="C627" t="s">
        <v>2554</v>
      </c>
      <c r="D627" t="s">
        <v>2555</v>
      </c>
      <c r="E627" t="s">
        <v>1274</v>
      </c>
      <c r="F627" t="s">
        <v>263</v>
      </c>
      <c r="G627" t="s">
        <v>1388</v>
      </c>
      <c r="H627" s="8">
        <v>0.01</v>
      </c>
      <c r="I627" s="2">
        <v>0.336312</v>
      </c>
      <c r="J627" s="7" t="s">
        <v>188</v>
      </c>
    </row>
    <row r="628" spans="1:10" ht="28.5">
      <c r="A628" t="s">
        <v>187</v>
      </c>
      <c r="B628" t="s">
        <v>1394</v>
      </c>
      <c r="C628" t="s">
        <v>2556</v>
      </c>
      <c r="D628" t="s">
        <v>2557</v>
      </c>
      <c r="E628" t="s">
        <v>352</v>
      </c>
      <c r="F628" t="s">
        <v>50</v>
      </c>
      <c r="G628" t="s">
        <v>1388</v>
      </c>
      <c r="H628" s="8">
        <v>0.12</v>
      </c>
      <c r="I628" s="2">
        <v>4.0357439999999993</v>
      </c>
      <c r="J628" s="7" t="s">
        <v>188</v>
      </c>
    </row>
    <row r="629" spans="1:10" ht="28.5">
      <c r="A629" t="s">
        <v>187</v>
      </c>
      <c r="B629" t="s">
        <v>1394</v>
      </c>
      <c r="C629" t="s">
        <v>2558</v>
      </c>
      <c r="D629" t="s">
        <v>2559</v>
      </c>
      <c r="E629" t="s">
        <v>586</v>
      </c>
      <c r="F629" t="s">
        <v>33</v>
      </c>
      <c r="G629" t="s">
        <v>1388</v>
      </c>
      <c r="H629" s="8">
        <v>0.06</v>
      </c>
      <c r="I629" s="2">
        <v>2.0178719999999997</v>
      </c>
      <c r="J629" s="7" t="s">
        <v>188</v>
      </c>
    </row>
    <row r="630" spans="1:10" ht="28.5">
      <c r="A630" t="s">
        <v>187</v>
      </c>
      <c r="B630" t="s">
        <v>1394</v>
      </c>
      <c r="C630" t="s">
        <v>2560</v>
      </c>
      <c r="D630" t="s">
        <v>2561</v>
      </c>
      <c r="E630" t="s">
        <v>307</v>
      </c>
      <c r="F630" t="s">
        <v>25</v>
      </c>
      <c r="G630" t="s">
        <v>1388</v>
      </c>
      <c r="H630" s="8">
        <v>0.03</v>
      </c>
      <c r="I630" s="2">
        <v>1.0089359999999998</v>
      </c>
      <c r="J630" s="7" t="s">
        <v>188</v>
      </c>
    </row>
    <row r="631" spans="1:10" ht="28.5">
      <c r="A631" t="s">
        <v>187</v>
      </c>
      <c r="B631" t="s">
        <v>1394</v>
      </c>
      <c r="C631" t="s">
        <v>1430</v>
      </c>
      <c r="D631" t="s">
        <v>1431</v>
      </c>
      <c r="E631" t="s">
        <v>36</v>
      </c>
      <c r="F631" t="s">
        <v>23</v>
      </c>
      <c r="G631" t="s">
        <v>1388</v>
      </c>
      <c r="H631" s="8">
        <v>0.38</v>
      </c>
      <c r="I631" s="2">
        <v>12.779856000000001</v>
      </c>
      <c r="J631" s="7" t="s">
        <v>188</v>
      </c>
    </row>
    <row r="632" spans="1:10" ht="28.5">
      <c r="A632" t="s">
        <v>187</v>
      </c>
      <c r="B632" t="s">
        <v>1394</v>
      </c>
      <c r="C632" t="s">
        <v>2562</v>
      </c>
      <c r="D632" t="s">
        <v>2563</v>
      </c>
      <c r="E632" t="s">
        <v>913</v>
      </c>
      <c r="F632" t="s">
        <v>50</v>
      </c>
      <c r="G632" t="s">
        <v>1388</v>
      </c>
      <c r="H632" s="8">
        <v>0.03</v>
      </c>
      <c r="I632" s="2">
        <v>1.0089359999999998</v>
      </c>
      <c r="J632" s="7" t="s">
        <v>188</v>
      </c>
    </row>
    <row r="633" spans="1:10" ht="28.5">
      <c r="A633" t="s">
        <v>187</v>
      </c>
      <c r="B633" t="s">
        <v>1394</v>
      </c>
      <c r="C633" t="s">
        <v>2564</v>
      </c>
      <c r="D633" t="s">
        <v>2565</v>
      </c>
      <c r="E633" t="s">
        <v>833</v>
      </c>
      <c r="F633" t="s">
        <v>263</v>
      </c>
      <c r="G633" t="s">
        <v>1388</v>
      </c>
      <c r="H633" s="8">
        <v>0.01</v>
      </c>
      <c r="I633" s="2">
        <v>0.336312</v>
      </c>
      <c r="J633" s="7" t="s">
        <v>188</v>
      </c>
    </row>
    <row r="634" spans="1:10" ht="28.5">
      <c r="A634" t="s">
        <v>187</v>
      </c>
      <c r="B634" t="s">
        <v>1394</v>
      </c>
      <c r="C634" t="s">
        <v>2566</v>
      </c>
      <c r="D634" t="s">
        <v>2567</v>
      </c>
      <c r="E634" t="s">
        <v>671</v>
      </c>
      <c r="F634" t="s">
        <v>33</v>
      </c>
      <c r="G634" t="s">
        <v>1388</v>
      </c>
      <c r="H634" s="8">
        <v>0.05</v>
      </c>
      <c r="I634" s="2">
        <v>1.6815600000000002</v>
      </c>
      <c r="J634" s="7" t="s">
        <v>188</v>
      </c>
    </row>
    <row r="635" spans="1:10" ht="28.5">
      <c r="A635" t="s">
        <v>187</v>
      </c>
      <c r="B635" t="s">
        <v>1394</v>
      </c>
      <c r="C635" t="s">
        <v>2508</v>
      </c>
      <c r="D635" t="s">
        <v>2568</v>
      </c>
      <c r="E635" t="s">
        <v>501</v>
      </c>
      <c r="F635" t="s">
        <v>23</v>
      </c>
      <c r="G635" t="s">
        <v>1388</v>
      </c>
      <c r="H635" s="8">
        <v>0.04</v>
      </c>
      <c r="I635" s="2">
        <v>1.345248</v>
      </c>
      <c r="J635" s="7" t="s">
        <v>188</v>
      </c>
    </row>
    <row r="636" spans="1:10" ht="28.5">
      <c r="A636" t="s">
        <v>187</v>
      </c>
      <c r="B636" t="s">
        <v>1394</v>
      </c>
      <c r="C636" t="s">
        <v>2569</v>
      </c>
      <c r="D636" t="s">
        <v>2570</v>
      </c>
      <c r="E636" t="s">
        <v>1237</v>
      </c>
      <c r="F636" t="s">
        <v>38</v>
      </c>
      <c r="G636" t="s">
        <v>1388</v>
      </c>
      <c r="H636" s="8">
        <v>0.01</v>
      </c>
      <c r="I636" s="2">
        <v>0.336312</v>
      </c>
      <c r="J636" s="7" t="s">
        <v>188</v>
      </c>
    </row>
    <row r="637" spans="1:10" ht="28.5">
      <c r="A637" t="s">
        <v>187</v>
      </c>
      <c r="B637" t="s">
        <v>1394</v>
      </c>
      <c r="C637" t="s">
        <v>2569</v>
      </c>
      <c r="D637" t="s">
        <v>2571</v>
      </c>
      <c r="E637" t="s">
        <v>1160</v>
      </c>
      <c r="F637" t="s">
        <v>253</v>
      </c>
      <c r="G637" t="s">
        <v>1388</v>
      </c>
      <c r="H637" s="8">
        <v>0.01</v>
      </c>
      <c r="I637" s="2">
        <v>0.336312</v>
      </c>
      <c r="J637" s="7" t="s">
        <v>188</v>
      </c>
    </row>
    <row r="638" spans="1:10" ht="28.5">
      <c r="A638" t="s">
        <v>187</v>
      </c>
      <c r="B638" t="s">
        <v>1394</v>
      </c>
      <c r="C638" t="s">
        <v>2572</v>
      </c>
      <c r="D638" t="s">
        <v>2573</v>
      </c>
      <c r="E638" t="s">
        <v>1185</v>
      </c>
      <c r="F638" t="s">
        <v>23</v>
      </c>
      <c r="G638" t="s">
        <v>1388</v>
      </c>
      <c r="H638" s="8">
        <v>0.01</v>
      </c>
      <c r="I638" s="2">
        <v>0.336312</v>
      </c>
      <c r="J638" s="7" t="s">
        <v>188</v>
      </c>
    </row>
    <row r="639" spans="1:10" ht="28.5">
      <c r="A639" t="s">
        <v>187</v>
      </c>
      <c r="B639" t="s">
        <v>1394</v>
      </c>
      <c r="C639" t="s">
        <v>2574</v>
      </c>
      <c r="D639" t="s">
        <v>2575</v>
      </c>
      <c r="E639" t="s">
        <v>1369</v>
      </c>
      <c r="F639" t="s">
        <v>253</v>
      </c>
      <c r="G639" t="s">
        <v>1388</v>
      </c>
      <c r="H639" s="8">
        <v>0</v>
      </c>
      <c r="I639" s="2">
        <v>0</v>
      </c>
      <c r="J639" s="7" t="s">
        <v>188</v>
      </c>
    </row>
    <row r="640" spans="1:10" ht="28.5">
      <c r="A640" t="s">
        <v>187</v>
      </c>
      <c r="B640" t="s">
        <v>1394</v>
      </c>
      <c r="C640" t="s">
        <v>2576</v>
      </c>
      <c r="D640" t="s">
        <v>2577</v>
      </c>
      <c r="E640" t="s">
        <v>288</v>
      </c>
      <c r="F640" t="s">
        <v>253</v>
      </c>
      <c r="G640" t="s">
        <v>1388</v>
      </c>
      <c r="H640" s="8">
        <v>0.16</v>
      </c>
      <c r="I640" s="2">
        <v>5.380992</v>
      </c>
      <c r="J640" s="7" t="s">
        <v>188</v>
      </c>
    </row>
    <row r="641" spans="1:10" ht="28.5">
      <c r="A641" t="s">
        <v>187</v>
      </c>
      <c r="B641" t="s">
        <v>1394</v>
      </c>
      <c r="C641" t="s">
        <v>2578</v>
      </c>
      <c r="D641" t="s">
        <v>2579</v>
      </c>
      <c r="E641" t="s">
        <v>898</v>
      </c>
      <c r="F641" t="s">
        <v>25</v>
      </c>
      <c r="G641" t="s">
        <v>1388</v>
      </c>
      <c r="H641" s="8">
        <v>0.03</v>
      </c>
      <c r="I641" s="2">
        <v>1.0089359999999998</v>
      </c>
      <c r="J641" s="7" t="s">
        <v>188</v>
      </c>
    </row>
    <row r="642" spans="1:10" ht="28.5">
      <c r="A642" t="s">
        <v>187</v>
      </c>
      <c r="B642" t="s">
        <v>1394</v>
      </c>
      <c r="C642" t="s">
        <v>2580</v>
      </c>
      <c r="D642" t="s">
        <v>2581</v>
      </c>
      <c r="E642" t="s">
        <v>1336</v>
      </c>
      <c r="F642" t="s">
        <v>41</v>
      </c>
      <c r="G642" t="s">
        <v>1388</v>
      </c>
      <c r="H642" s="8">
        <v>0</v>
      </c>
      <c r="I642" s="2">
        <v>0</v>
      </c>
      <c r="J642" s="7" t="s">
        <v>188</v>
      </c>
    </row>
    <row r="643" spans="1:10" ht="28.5">
      <c r="A643" t="s">
        <v>187</v>
      </c>
      <c r="B643" t="s">
        <v>1394</v>
      </c>
      <c r="C643" t="s">
        <v>2582</v>
      </c>
      <c r="D643" t="s">
        <v>2583</v>
      </c>
      <c r="E643" t="s">
        <v>951</v>
      </c>
      <c r="F643" t="s">
        <v>124</v>
      </c>
      <c r="G643" t="s">
        <v>1388</v>
      </c>
      <c r="H643" s="8">
        <v>0.01</v>
      </c>
      <c r="I643" s="2">
        <v>0.336312</v>
      </c>
      <c r="J643" s="7" t="s">
        <v>188</v>
      </c>
    </row>
    <row r="644" spans="1:10" ht="28.5">
      <c r="A644" t="s">
        <v>187</v>
      </c>
      <c r="B644" t="s">
        <v>1394</v>
      </c>
      <c r="C644" t="s">
        <v>2584</v>
      </c>
      <c r="D644" t="s">
        <v>2585</v>
      </c>
      <c r="E644" t="s">
        <v>1075</v>
      </c>
      <c r="F644" t="s">
        <v>50</v>
      </c>
      <c r="G644" t="s">
        <v>1388</v>
      </c>
      <c r="H644" s="8">
        <v>0.02</v>
      </c>
      <c r="I644" s="2">
        <v>0.672624</v>
      </c>
      <c r="J644" s="7" t="s">
        <v>188</v>
      </c>
    </row>
    <row r="645" spans="1:10" ht="28.5">
      <c r="A645" t="s">
        <v>187</v>
      </c>
      <c r="B645" t="s">
        <v>1394</v>
      </c>
      <c r="C645" t="s">
        <v>2586</v>
      </c>
      <c r="D645" t="s">
        <v>2587</v>
      </c>
      <c r="E645" t="s">
        <v>662</v>
      </c>
      <c r="F645" t="s">
        <v>33</v>
      </c>
      <c r="G645" t="s">
        <v>1388</v>
      </c>
      <c r="H645" s="8">
        <v>0.05</v>
      </c>
      <c r="I645" s="2">
        <v>1.6815600000000002</v>
      </c>
      <c r="J645" s="7" t="s">
        <v>188</v>
      </c>
    </row>
    <row r="646" spans="1:10" ht="28.5">
      <c r="A646" t="s">
        <v>187</v>
      </c>
      <c r="B646" t="s">
        <v>1394</v>
      </c>
      <c r="C646" t="s">
        <v>2588</v>
      </c>
      <c r="D646" t="s">
        <v>2589</v>
      </c>
      <c r="E646" t="s">
        <v>1312</v>
      </c>
      <c r="F646" t="s">
        <v>23</v>
      </c>
      <c r="G646" t="s">
        <v>1388</v>
      </c>
      <c r="H646" s="8">
        <v>0.01</v>
      </c>
      <c r="I646" s="2">
        <v>0.336312</v>
      </c>
      <c r="J646" s="7" t="s">
        <v>188</v>
      </c>
    </row>
    <row r="647" spans="1:10" ht="28.5">
      <c r="A647" t="s">
        <v>187</v>
      </c>
      <c r="B647" t="s">
        <v>1394</v>
      </c>
      <c r="C647" t="s">
        <v>2590</v>
      </c>
      <c r="D647" t="s">
        <v>2591</v>
      </c>
      <c r="E647" t="s">
        <v>1057</v>
      </c>
      <c r="F647" t="s">
        <v>50</v>
      </c>
      <c r="G647" t="s">
        <v>1388</v>
      </c>
      <c r="H647" s="8">
        <v>0.02</v>
      </c>
      <c r="I647" s="2">
        <v>0.672624</v>
      </c>
      <c r="J647" s="7" t="s">
        <v>188</v>
      </c>
    </row>
    <row r="648" spans="1:10" ht="28.5">
      <c r="A648" t="s">
        <v>187</v>
      </c>
      <c r="B648" t="s">
        <v>1394</v>
      </c>
      <c r="C648" t="s">
        <v>2592</v>
      </c>
      <c r="D648" t="s">
        <v>2593</v>
      </c>
      <c r="E648" t="s">
        <v>445</v>
      </c>
      <c r="F648" t="s">
        <v>50</v>
      </c>
      <c r="G648" t="s">
        <v>1388</v>
      </c>
      <c r="H648" s="8">
        <v>0.09</v>
      </c>
      <c r="I648" s="2">
        <v>3.0268079999999999</v>
      </c>
      <c r="J648" s="7" t="s">
        <v>188</v>
      </c>
    </row>
    <row r="649" spans="1:10" ht="28.5">
      <c r="A649" t="s">
        <v>187</v>
      </c>
      <c r="B649" t="s">
        <v>1394</v>
      </c>
      <c r="C649" t="s">
        <v>2594</v>
      </c>
      <c r="D649" t="s">
        <v>2595</v>
      </c>
      <c r="E649" t="s">
        <v>854</v>
      </c>
      <c r="F649" t="s">
        <v>33</v>
      </c>
      <c r="G649" t="s">
        <v>1388</v>
      </c>
      <c r="H649" s="8">
        <v>0.03</v>
      </c>
      <c r="I649" s="2">
        <v>1.0089359999999998</v>
      </c>
      <c r="J649" s="7" t="s">
        <v>188</v>
      </c>
    </row>
    <row r="650" spans="1:10" ht="28.5">
      <c r="A650" t="s">
        <v>187</v>
      </c>
      <c r="B650" t="s">
        <v>1394</v>
      </c>
      <c r="C650" t="s">
        <v>2596</v>
      </c>
      <c r="D650" t="s">
        <v>2597</v>
      </c>
      <c r="E650" t="s">
        <v>348</v>
      </c>
      <c r="F650" t="s">
        <v>108</v>
      </c>
      <c r="G650" t="s">
        <v>1388</v>
      </c>
      <c r="H650" s="8">
        <v>0.03</v>
      </c>
      <c r="I650" s="2">
        <v>1.0089359999999998</v>
      </c>
      <c r="J650" s="7" t="s">
        <v>188</v>
      </c>
    </row>
    <row r="651" spans="1:10" ht="28.5">
      <c r="A651" t="s">
        <v>187</v>
      </c>
      <c r="B651" t="s">
        <v>1394</v>
      </c>
      <c r="C651" t="s">
        <v>2598</v>
      </c>
      <c r="D651" t="s">
        <v>2599</v>
      </c>
      <c r="E651" t="s">
        <v>996</v>
      </c>
      <c r="F651" t="s">
        <v>124</v>
      </c>
      <c r="G651" t="s">
        <v>1388</v>
      </c>
      <c r="H651" s="8">
        <v>0.02</v>
      </c>
      <c r="I651" s="2">
        <v>0.672624</v>
      </c>
      <c r="J651" s="7" t="s">
        <v>188</v>
      </c>
    </row>
    <row r="652" spans="1:10" ht="28.5">
      <c r="A652" t="s">
        <v>187</v>
      </c>
      <c r="B652" t="s">
        <v>1394</v>
      </c>
      <c r="C652" t="s">
        <v>2600</v>
      </c>
      <c r="D652" t="s">
        <v>2601</v>
      </c>
      <c r="E652" t="s">
        <v>696</v>
      </c>
      <c r="F652" t="s">
        <v>33</v>
      </c>
      <c r="G652" t="s">
        <v>1388</v>
      </c>
      <c r="H652" s="8">
        <v>0.02</v>
      </c>
      <c r="I652" s="2">
        <v>0.672624</v>
      </c>
      <c r="J652" s="7" t="s">
        <v>188</v>
      </c>
    </row>
    <row r="653" spans="1:10" ht="28.5">
      <c r="A653" t="s">
        <v>187</v>
      </c>
      <c r="B653" t="s">
        <v>1394</v>
      </c>
      <c r="C653" t="s">
        <v>2602</v>
      </c>
      <c r="D653" t="s">
        <v>2603</v>
      </c>
      <c r="E653" t="s">
        <v>1344</v>
      </c>
      <c r="F653" t="s">
        <v>25</v>
      </c>
      <c r="G653" t="s">
        <v>1388</v>
      </c>
      <c r="H653" s="8">
        <v>0</v>
      </c>
      <c r="I653" s="2">
        <v>0</v>
      </c>
      <c r="J653" s="7" t="s">
        <v>188</v>
      </c>
    </row>
    <row r="654" spans="1:10" ht="28.5">
      <c r="A654" t="s">
        <v>187</v>
      </c>
      <c r="B654" t="s">
        <v>1394</v>
      </c>
      <c r="C654" t="s">
        <v>2604</v>
      </c>
      <c r="D654" t="s">
        <v>2605</v>
      </c>
      <c r="E654" t="s">
        <v>491</v>
      </c>
      <c r="F654" t="s">
        <v>38</v>
      </c>
      <c r="G654" t="s">
        <v>1388</v>
      </c>
      <c r="H654" s="8">
        <v>0.08</v>
      </c>
      <c r="I654" s="2">
        <v>2.690496</v>
      </c>
      <c r="J654" s="7" t="s">
        <v>188</v>
      </c>
    </row>
    <row r="655" spans="1:10" ht="28.5">
      <c r="A655" t="s">
        <v>187</v>
      </c>
      <c r="B655" t="s">
        <v>1394</v>
      </c>
      <c r="C655" t="s">
        <v>2606</v>
      </c>
      <c r="D655" t="s">
        <v>2607</v>
      </c>
      <c r="E655" t="s">
        <v>967</v>
      </c>
      <c r="F655" t="s">
        <v>23</v>
      </c>
      <c r="G655" t="s">
        <v>1388</v>
      </c>
      <c r="H655" s="8">
        <v>0.01</v>
      </c>
      <c r="I655" s="2">
        <v>0.336312</v>
      </c>
      <c r="J655" s="7" t="s">
        <v>188</v>
      </c>
    </row>
    <row r="656" spans="1:10" ht="28.5">
      <c r="A656" t="s">
        <v>187</v>
      </c>
      <c r="B656" t="s">
        <v>1394</v>
      </c>
      <c r="C656" t="s">
        <v>2608</v>
      </c>
      <c r="D656" t="s">
        <v>2609</v>
      </c>
      <c r="E656" t="s">
        <v>968</v>
      </c>
      <c r="F656" t="s">
        <v>23</v>
      </c>
      <c r="G656" t="s">
        <v>1388</v>
      </c>
      <c r="H656" s="8">
        <v>0.01</v>
      </c>
      <c r="I656" s="2">
        <v>0.336312</v>
      </c>
      <c r="J656" s="7" t="s">
        <v>188</v>
      </c>
    </row>
    <row r="657" spans="1:10" ht="28.5">
      <c r="A657" t="s">
        <v>187</v>
      </c>
      <c r="B657" t="s">
        <v>1394</v>
      </c>
      <c r="C657" t="s">
        <v>2610</v>
      </c>
      <c r="D657" t="s">
        <v>2611</v>
      </c>
      <c r="E657" t="s">
        <v>1277</v>
      </c>
      <c r="F657" t="s">
        <v>50</v>
      </c>
      <c r="G657" t="s">
        <v>1388</v>
      </c>
      <c r="H657" s="8">
        <v>0.01</v>
      </c>
      <c r="I657" s="2">
        <v>0.336312</v>
      </c>
      <c r="J657" s="7" t="s">
        <v>188</v>
      </c>
    </row>
    <row r="658" spans="1:10" ht="28.5">
      <c r="A658" t="s">
        <v>187</v>
      </c>
      <c r="B658" t="s">
        <v>1394</v>
      </c>
      <c r="C658" t="s">
        <v>2612</v>
      </c>
      <c r="D658" t="s">
        <v>2613</v>
      </c>
      <c r="E658" t="s">
        <v>395</v>
      </c>
      <c r="F658" t="s">
        <v>25</v>
      </c>
      <c r="G658" t="s">
        <v>1388</v>
      </c>
      <c r="H658" s="8">
        <v>0.1</v>
      </c>
      <c r="I658" s="2">
        <v>3.3631200000000003</v>
      </c>
      <c r="J658" s="7" t="s">
        <v>188</v>
      </c>
    </row>
    <row r="659" spans="1:10" ht="28.5">
      <c r="A659" t="s">
        <v>187</v>
      </c>
      <c r="B659" t="s">
        <v>1394</v>
      </c>
      <c r="C659" t="s">
        <v>2614</v>
      </c>
      <c r="D659" t="s">
        <v>2615</v>
      </c>
      <c r="E659" t="s">
        <v>619</v>
      </c>
      <c r="F659" t="s">
        <v>27</v>
      </c>
      <c r="G659" t="s">
        <v>1388</v>
      </c>
      <c r="H659" s="8">
        <v>0.02</v>
      </c>
      <c r="I659" s="2">
        <v>0.672624</v>
      </c>
      <c r="J659" s="7" t="s">
        <v>188</v>
      </c>
    </row>
    <row r="660" spans="1:10" ht="28.5">
      <c r="A660" t="s">
        <v>187</v>
      </c>
      <c r="B660" t="s">
        <v>1394</v>
      </c>
      <c r="C660" t="s">
        <v>2616</v>
      </c>
      <c r="D660" t="s">
        <v>2617</v>
      </c>
      <c r="E660" t="s">
        <v>1252</v>
      </c>
      <c r="F660" t="s">
        <v>23</v>
      </c>
      <c r="G660" t="s">
        <v>1388</v>
      </c>
      <c r="H660" s="8">
        <v>0.01</v>
      </c>
      <c r="I660" s="2">
        <v>0.336312</v>
      </c>
      <c r="J660" s="7" t="s">
        <v>188</v>
      </c>
    </row>
    <row r="661" spans="1:10" ht="28.5">
      <c r="A661" t="s">
        <v>187</v>
      </c>
      <c r="B661" t="s">
        <v>1394</v>
      </c>
      <c r="C661" t="s">
        <v>2618</v>
      </c>
      <c r="D661" t="s">
        <v>2619</v>
      </c>
      <c r="E661" t="s">
        <v>239</v>
      </c>
      <c r="F661" t="s">
        <v>23</v>
      </c>
      <c r="G661" t="s">
        <v>1388</v>
      </c>
      <c r="H661" s="8">
        <v>0.11</v>
      </c>
      <c r="I661" s="2">
        <v>3.6994319999999998</v>
      </c>
      <c r="J661" s="7" t="s">
        <v>188</v>
      </c>
    </row>
    <row r="662" spans="1:10" ht="28.5">
      <c r="A662" t="s">
        <v>187</v>
      </c>
      <c r="B662" t="s">
        <v>1394</v>
      </c>
      <c r="C662" t="s">
        <v>2620</v>
      </c>
      <c r="D662" t="s">
        <v>2621</v>
      </c>
      <c r="E662" t="s">
        <v>784</v>
      </c>
      <c r="F662" t="s">
        <v>50</v>
      </c>
      <c r="G662" t="s">
        <v>1388</v>
      </c>
      <c r="H662" s="8">
        <v>0.04</v>
      </c>
      <c r="I662" s="2">
        <v>1.345248</v>
      </c>
      <c r="J662" s="7" t="s">
        <v>188</v>
      </c>
    </row>
    <row r="663" spans="1:10" ht="28.5">
      <c r="A663" t="s">
        <v>187</v>
      </c>
      <c r="B663" t="s">
        <v>1394</v>
      </c>
      <c r="C663" t="s">
        <v>2622</v>
      </c>
      <c r="D663" t="s">
        <v>2623</v>
      </c>
      <c r="E663" t="s">
        <v>618</v>
      </c>
      <c r="F663" t="s">
        <v>124</v>
      </c>
      <c r="G663" t="s">
        <v>1388</v>
      </c>
      <c r="H663" s="8">
        <v>0.02</v>
      </c>
      <c r="I663" s="2">
        <v>0.672624</v>
      </c>
      <c r="J663" s="7" t="s">
        <v>188</v>
      </c>
    </row>
    <row r="664" spans="1:10" ht="28.5">
      <c r="A664" t="s">
        <v>187</v>
      </c>
      <c r="B664" t="s">
        <v>1394</v>
      </c>
      <c r="C664" t="s">
        <v>2624</v>
      </c>
      <c r="D664" t="s">
        <v>2625</v>
      </c>
      <c r="E664" t="s">
        <v>1357</v>
      </c>
      <c r="F664" t="s">
        <v>50</v>
      </c>
      <c r="G664" t="s">
        <v>1388</v>
      </c>
      <c r="H664" s="8">
        <v>0</v>
      </c>
      <c r="I664" s="2">
        <v>0</v>
      </c>
      <c r="J664" s="7" t="s">
        <v>188</v>
      </c>
    </row>
    <row r="665" spans="1:10" ht="28.5">
      <c r="A665" t="s">
        <v>187</v>
      </c>
      <c r="B665" t="s">
        <v>1394</v>
      </c>
      <c r="C665" t="s">
        <v>2626</v>
      </c>
      <c r="D665" t="s">
        <v>2627</v>
      </c>
      <c r="E665" t="s">
        <v>976</v>
      </c>
      <c r="F665" t="s">
        <v>33</v>
      </c>
      <c r="G665" t="s">
        <v>1388</v>
      </c>
      <c r="H665" s="8">
        <v>0.02</v>
      </c>
      <c r="I665" s="2">
        <v>0.672624</v>
      </c>
      <c r="J665" s="7" t="s">
        <v>188</v>
      </c>
    </row>
    <row r="666" spans="1:10" ht="28.5">
      <c r="A666" t="s">
        <v>187</v>
      </c>
      <c r="B666" t="s">
        <v>1394</v>
      </c>
      <c r="C666" t="s">
        <v>2628</v>
      </c>
      <c r="D666" t="s">
        <v>2629</v>
      </c>
      <c r="E666" t="s">
        <v>1207</v>
      </c>
      <c r="F666" t="s">
        <v>33</v>
      </c>
      <c r="G666" t="s">
        <v>1388</v>
      </c>
      <c r="H666" s="8">
        <v>0.01</v>
      </c>
      <c r="I666" s="2">
        <v>0.336312</v>
      </c>
      <c r="J666" s="7" t="s">
        <v>188</v>
      </c>
    </row>
    <row r="667" spans="1:10" ht="28.5">
      <c r="A667" t="s">
        <v>187</v>
      </c>
      <c r="B667" t="s">
        <v>1394</v>
      </c>
      <c r="C667" t="s">
        <v>2572</v>
      </c>
      <c r="D667" t="s">
        <v>2630</v>
      </c>
      <c r="E667" t="s">
        <v>1136</v>
      </c>
      <c r="F667" t="s">
        <v>23</v>
      </c>
      <c r="G667" t="s">
        <v>1388</v>
      </c>
      <c r="H667" s="8">
        <v>0.01</v>
      </c>
      <c r="I667" s="2">
        <v>0.336312</v>
      </c>
      <c r="J667" s="7" t="s">
        <v>188</v>
      </c>
    </row>
    <row r="668" spans="1:10" ht="28.5">
      <c r="A668" t="s">
        <v>187</v>
      </c>
      <c r="B668" t="s">
        <v>1394</v>
      </c>
      <c r="C668" t="s">
        <v>2631</v>
      </c>
      <c r="D668" t="s">
        <v>2632</v>
      </c>
      <c r="E668" t="s">
        <v>757</v>
      </c>
      <c r="F668" t="s">
        <v>23</v>
      </c>
      <c r="G668" t="s">
        <v>1388</v>
      </c>
      <c r="H668" s="8">
        <v>0.04</v>
      </c>
      <c r="I668" s="2">
        <v>1.345248</v>
      </c>
      <c r="J668" s="7" t="s">
        <v>188</v>
      </c>
    </row>
    <row r="669" spans="1:10" ht="28.5">
      <c r="A669" t="s">
        <v>187</v>
      </c>
      <c r="B669" t="s">
        <v>1394</v>
      </c>
      <c r="C669" t="s">
        <v>2633</v>
      </c>
      <c r="D669" t="s">
        <v>2634</v>
      </c>
      <c r="E669" t="s">
        <v>189</v>
      </c>
      <c r="F669" t="s">
        <v>25</v>
      </c>
      <c r="G669" t="s">
        <v>1388</v>
      </c>
      <c r="H669" s="8">
        <v>0.48</v>
      </c>
      <c r="I669" s="2">
        <v>16.142975999999997</v>
      </c>
      <c r="J669" s="7" t="s">
        <v>188</v>
      </c>
    </row>
    <row r="670" spans="1:10" ht="28.5">
      <c r="A670" t="s">
        <v>187</v>
      </c>
      <c r="B670" t="s">
        <v>1394</v>
      </c>
      <c r="C670" t="s">
        <v>2635</v>
      </c>
      <c r="D670" t="s">
        <v>2636</v>
      </c>
      <c r="E670" t="s">
        <v>742</v>
      </c>
      <c r="F670" t="s">
        <v>23</v>
      </c>
      <c r="G670" t="s">
        <v>1388</v>
      </c>
      <c r="H670" s="8">
        <v>0.04</v>
      </c>
      <c r="I670" s="2">
        <v>1.345248</v>
      </c>
      <c r="J670" s="7" t="s">
        <v>188</v>
      </c>
    </row>
    <row r="671" spans="1:10" ht="28.5">
      <c r="A671" t="s">
        <v>187</v>
      </c>
      <c r="B671" t="s">
        <v>1394</v>
      </c>
      <c r="C671" t="s">
        <v>2637</v>
      </c>
      <c r="D671" t="s">
        <v>2638</v>
      </c>
      <c r="E671" t="s">
        <v>441</v>
      </c>
      <c r="F671" t="s">
        <v>23</v>
      </c>
      <c r="G671" t="s">
        <v>1388</v>
      </c>
      <c r="H671" s="8">
        <v>0.09</v>
      </c>
      <c r="I671" s="2">
        <v>3.0268079999999999</v>
      </c>
      <c r="J671" s="7" t="s">
        <v>188</v>
      </c>
    </row>
    <row r="672" spans="1:10" ht="28.5">
      <c r="A672" t="s">
        <v>187</v>
      </c>
      <c r="B672" t="s">
        <v>1394</v>
      </c>
      <c r="C672" t="s">
        <v>2639</v>
      </c>
      <c r="D672" t="s">
        <v>2640</v>
      </c>
      <c r="E672" t="s">
        <v>907</v>
      </c>
      <c r="F672" t="s">
        <v>38</v>
      </c>
      <c r="G672" t="s">
        <v>1388</v>
      </c>
      <c r="H672" s="8">
        <v>0.03</v>
      </c>
      <c r="I672" s="2">
        <v>1.0089359999999998</v>
      </c>
      <c r="J672" s="7" t="s">
        <v>188</v>
      </c>
    </row>
    <row r="673" spans="1:10" ht="28.5">
      <c r="A673" t="s">
        <v>187</v>
      </c>
      <c r="B673" t="s">
        <v>1394</v>
      </c>
      <c r="C673" t="s">
        <v>2572</v>
      </c>
      <c r="D673" t="s">
        <v>2641</v>
      </c>
      <c r="E673" t="s">
        <v>705</v>
      </c>
      <c r="F673" t="s">
        <v>50</v>
      </c>
      <c r="G673" t="s">
        <v>1388</v>
      </c>
      <c r="H673" s="8">
        <v>0.01</v>
      </c>
      <c r="I673" s="2">
        <v>0.336312</v>
      </c>
      <c r="J673" s="7" t="s">
        <v>188</v>
      </c>
    </row>
    <row r="674" spans="1:10" ht="28.5">
      <c r="A674" t="s">
        <v>187</v>
      </c>
      <c r="B674" t="s">
        <v>1394</v>
      </c>
      <c r="C674" t="s">
        <v>1432</v>
      </c>
      <c r="D674" t="s">
        <v>1433</v>
      </c>
      <c r="E674" t="s">
        <v>153</v>
      </c>
      <c r="F674" t="s">
        <v>25</v>
      </c>
      <c r="G674" t="s">
        <v>1388</v>
      </c>
      <c r="H674" s="8">
        <v>0.23</v>
      </c>
      <c r="I674" s="2">
        <v>7.7351760000000001</v>
      </c>
      <c r="J674" s="7" t="s">
        <v>188</v>
      </c>
    </row>
    <row r="675" spans="1:10" ht="28.5">
      <c r="A675" t="s">
        <v>187</v>
      </c>
      <c r="B675" t="s">
        <v>1394</v>
      </c>
      <c r="C675" t="s">
        <v>2642</v>
      </c>
      <c r="D675" t="s">
        <v>2643</v>
      </c>
      <c r="E675" t="s">
        <v>1034</v>
      </c>
      <c r="F675" t="s">
        <v>41</v>
      </c>
      <c r="G675" t="s">
        <v>1388</v>
      </c>
      <c r="H675" s="8">
        <v>0.02</v>
      </c>
      <c r="I675" s="2">
        <v>0.672624</v>
      </c>
      <c r="J675" s="7" t="s">
        <v>188</v>
      </c>
    </row>
    <row r="676" spans="1:10" ht="28.5">
      <c r="A676" t="s">
        <v>187</v>
      </c>
      <c r="B676" t="s">
        <v>1394</v>
      </c>
      <c r="C676" t="s">
        <v>2644</v>
      </c>
      <c r="D676" t="s">
        <v>2645</v>
      </c>
      <c r="E676" t="s">
        <v>645</v>
      </c>
      <c r="F676" t="s">
        <v>41</v>
      </c>
      <c r="G676" t="s">
        <v>1388</v>
      </c>
      <c r="H676" s="8">
        <v>0.02</v>
      </c>
      <c r="I676" s="2">
        <v>0.672624</v>
      </c>
      <c r="J676" s="7" t="s">
        <v>188</v>
      </c>
    </row>
    <row r="677" spans="1:10" ht="28.5">
      <c r="A677" t="s">
        <v>187</v>
      </c>
      <c r="B677" t="s">
        <v>1394</v>
      </c>
      <c r="C677" t="s">
        <v>2646</v>
      </c>
      <c r="D677" t="s">
        <v>2647</v>
      </c>
      <c r="E677" t="s">
        <v>1216</v>
      </c>
      <c r="F677" t="s">
        <v>50</v>
      </c>
      <c r="G677" t="s">
        <v>1388</v>
      </c>
      <c r="H677" s="8">
        <v>0.01</v>
      </c>
      <c r="I677" s="2">
        <v>0.336312</v>
      </c>
      <c r="J677" s="7" t="s">
        <v>188</v>
      </c>
    </row>
    <row r="678" spans="1:10" ht="28.5">
      <c r="A678" t="s">
        <v>187</v>
      </c>
      <c r="B678" t="s">
        <v>1394</v>
      </c>
      <c r="C678" t="s">
        <v>2648</v>
      </c>
      <c r="D678" t="s">
        <v>2649</v>
      </c>
      <c r="E678" t="s">
        <v>246</v>
      </c>
      <c r="F678" t="s">
        <v>23</v>
      </c>
      <c r="G678" t="s">
        <v>1388</v>
      </c>
      <c r="H678" s="8">
        <v>0.11</v>
      </c>
      <c r="I678" s="2">
        <v>3.6994319999999998</v>
      </c>
      <c r="J678" s="7" t="s">
        <v>188</v>
      </c>
    </row>
    <row r="679" spans="1:10" ht="28.5">
      <c r="A679" t="s">
        <v>187</v>
      </c>
      <c r="B679" t="s">
        <v>1394</v>
      </c>
      <c r="C679" t="s">
        <v>2650</v>
      </c>
      <c r="D679" t="s">
        <v>2651</v>
      </c>
      <c r="E679" t="s">
        <v>437</v>
      </c>
      <c r="F679" t="s">
        <v>25</v>
      </c>
      <c r="G679" t="s">
        <v>1388</v>
      </c>
      <c r="H679" s="8">
        <v>0.09</v>
      </c>
      <c r="I679" s="2">
        <v>3.0268079999999999</v>
      </c>
      <c r="J679" s="7" t="s">
        <v>188</v>
      </c>
    </row>
    <row r="680" spans="1:10" ht="28.5">
      <c r="A680" t="s">
        <v>187</v>
      </c>
      <c r="B680" t="s">
        <v>1394</v>
      </c>
      <c r="C680" t="s">
        <v>2652</v>
      </c>
      <c r="D680" t="s">
        <v>2653</v>
      </c>
      <c r="E680" t="s">
        <v>289</v>
      </c>
      <c r="F680" t="s">
        <v>33</v>
      </c>
      <c r="G680" t="s">
        <v>1388</v>
      </c>
      <c r="H680" s="8">
        <v>0.16</v>
      </c>
      <c r="I680" s="2">
        <v>5.380992</v>
      </c>
      <c r="J680" s="7" t="s">
        <v>188</v>
      </c>
    </row>
    <row r="681" spans="1:10" ht="28.5">
      <c r="A681" t="s">
        <v>187</v>
      </c>
      <c r="B681" t="s">
        <v>1394</v>
      </c>
      <c r="C681" t="s">
        <v>2654</v>
      </c>
      <c r="D681" t="s">
        <v>2655</v>
      </c>
      <c r="E681" t="s">
        <v>472</v>
      </c>
      <c r="F681" t="s">
        <v>23</v>
      </c>
      <c r="G681" t="s">
        <v>1388</v>
      </c>
      <c r="H681" s="8">
        <v>0.08</v>
      </c>
      <c r="I681" s="2">
        <v>2.690496</v>
      </c>
      <c r="J681" s="7" t="s">
        <v>188</v>
      </c>
    </row>
    <row r="682" spans="1:10" ht="28.5">
      <c r="A682" t="s">
        <v>187</v>
      </c>
      <c r="B682" t="s">
        <v>1394</v>
      </c>
      <c r="C682" t="s">
        <v>2656</v>
      </c>
      <c r="D682" t="s">
        <v>2657</v>
      </c>
      <c r="E682" t="s">
        <v>1042</v>
      </c>
      <c r="F682" t="s">
        <v>263</v>
      </c>
      <c r="G682" t="s">
        <v>1388</v>
      </c>
      <c r="H682" s="8">
        <v>0.02</v>
      </c>
      <c r="I682" s="2">
        <v>0.672624</v>
      </c>
      <c r="J682" s="7" t="s">
        <v>188</v>
      </c>
    </row>
    <row r="683" spans="1:10" ht="28.5">
      <c r="A683" t="s">
        <v>187</v>
      </c>
      <c r="B683" t="s">
        <v>1394</v>
      </c>
      <c r="C683" t="s">
        <v>2658</v>
      </c>
      <c r="D683" t="s">
        <v>2659</v>
      </c>
      <c r="E683" t="s">
        <v>1211</v>
      </c>
      <c r="F683" t="s">
        <v>25</v>
      </c>
      <c r="G683" t="s">
        <v>1388</v>
      </c>
      <c r="H683" s="8">
        <v>0.01</v>
      </c>
      <c r="I683" s="2">
        <v>0.336312</v>
      </c>
      <c r="J683" s="7" t="s">
        <v>188</v>
      </c>
    </row>
    <row r="684" spans="1:10" ht="28.5">
      <c r="A684" t="s">
        <v>187</v>
      </c>
      <c r="B684" t="s">
        <v>1394</v>
      </c>
      <c r="C684" t="s">
        <v>2660</v>
      </c>
      <c r="D684" t="s">
        <v>2661</v>
      </c>
      <c r="E684" t="s">
        <v>971</v>
      </c>
      <c r="F684" t="s">
        <v>33</v>
      </c>
      <c r="G684" t="s">
        <v>1388</v>
      </c>
      <c r="H684" s="8">
        <v>0.01</v>
      </c>
      <c r="I684" s="2">
        <v>0.336312</v>
      </c>
      <c r="J684" s="7" t="s">
        <v>188</v>
      </c>
    </row>
    <row r="685" spans="1:10" ht="28.5">
      <c r="A685" t="s">
        <v>187</v>
      </c>
      <c r="B685" t="s">
        <v>1394</v>
      </c>
      <c r="C685" t="s">
        <v>2662</v>
      </c>
      <c r="D685" t="s">
        <v>2663</v>
      </c>
      <c r="E685" t="s">
        <v>749</v>
      </c>
      <c r="F685" t="s">
        <v>33</v>
      </c>
      <c r="G685" t="s">
        <v>1388</v>
      </c>
      <c r="H685" s="8">
        <v>0.04</v>
      </c>
      <c r="I685" s="2">
        <v>1.345248</v>
      </c>
      <c r="J685" s="7" t="s">
        <v>188</v>
      </c>
    </row>
    <row r="686" spans="1:10" ht="28.5">
      <c r="A686" t="s">
        <v>187</v>
      </c>
      <c r="B686" t="s">
        <v>1394</v>
      </c>
      <c r="C686" t="s">
        <v>2664</v>
      </c>
      <c r="D686" t="s">
        <v>2665</v>
      </c>
      <c r="E686" t="s">
        <v>1190</v>
      </c>
      <c r="F686" t="s">
        <v>25</v>
      </c>
      <c r="G686" t="s">
        <v>1388</v>
      </c>
      <c r="H686" s="8">
        <v>0.01</v>
      </c>
      <c r="I686" s="2">
        <v>0.336312</v>
      </c>
      <c r="J686" s="7" t="s">
        <v>188</v>
      </c>
    </row>
    <row r="687" spans="1:10" ht="28.5">
      <c r="A687" t="s">
        <v>187</v>
      </c>
      <c r="B687" t="s">
        <v>1394</v>
      </c>
      <c r="C687" t="s">
        <v>2666</v>
      </c>
      <c r="D687" t="s">
        <v>2667</v>
      </c>
      <c r="E687" t="s">
        <v>770</v>
      </c>
      <c r="F687" t="s">
        <v>263</v>
      </c>
      <c r="G687" t="s">
        <v>1388</v>
      </c>
      <c r="H687" s="8">
        <v>0.04</v>
      </c>
      <c r="I687" s="2">
        <v>1.345248</v>
      </c>
      <c r="J687" s="7" t="s">
        <v>188</v>
      </c>
    </row>
    <row r="688" spans="1:10" ht="28.5">
      <c r="A688" t="s">
        <v>187</v>
      </c>
      <c r="B688" t="s">
        <v>1394</v>
      </c>
      <c r="C688" t="s">
        <v>2668</v>
      </c>
      <c r="D688" t="s">
        <v>2669</v>
      </c>
      <c r="E688" t="s">
        <v>822</v>
      </c>
      <c r="F688" t="s">
        <v>23</v>
      </c>
      <c r="G688" t="s">
        <v>1388</v>
      </c>
      <c r="H688" s="8">
        <v>0.01</v>
      </c>
      <c r="I688" s="2">
        <v>0.336312</v>
      </c>
      <c r="J688" s="7" t="s">
        <v>188</v>
      </c>
    </row>
    <row r="689" spans="1:10" ht="28.5">
      <c r="A689" t="s">
        <v>187</v>
      </c>
      <c r="B689" t="s">
        <v>1394</v>
      </c>
      <c r="C689" t="s">
        <v>2670</v>
      </c>
      <c r="D689" t="s">
        <v>2671</v>
      </c>
      <c r="E689" t="s">
        <v>721</v>
      </c>
      <c r="F689" t="s">
        <v>38</v>
      </c>
      <c r="G689" t="s">
        <v>1388</v>
      </c>
      <c r="H689" s="8">
        <v>0.01</v>
      </c>
      <c r="I689" s="2">
        <v>0.336312</v>
      </c>
      <c r="J689" s="7" t="s">
        <v>188</v>
      </c>
    </row>
    <row r="690" spans="1:10" ht="28.5">
      <c r="A690" t="s">
        <v>187</v>
      </c>
      <c r="B690" t="s">
        <v>1394</v>
      </c>
      <c r="C690" t="s">
        <v>2672</v>
      </c>
      <c r="D690" t="s">
        <v>2673</v>
      </c>
      <c r="E690" t="s">
        <v>1272</v>
      </c>
      <c r="F690" t="s">
        <v>253</v>
      </c>
      <c r="G690" t="s">
        <v>1388</v>
      </c>
      <c r="H690" s="8">
        <v>0.01</v>
      </c>
      <c r="I690" s="2">
        <v>0.336312</v>
      </c>
      <c r="J690" s="7" t="s">
        <v>188</v>
      </c>
    </row>
    <row r="691" spans="1:10" ht="28.5">
      <c r="A691" t="s">
        <v>187</v>
      </c>
      <c r="B691" t="s">
        <v>1394</v>
      </c>
      <c r="C691" t="s">
        <v>2674</v>
      </c>
      <c r="D691" t="s">
        <v>2675</v>
      </c>
      <c r="E691" t="s">
        <v>229</v>
      </c>
      <c r="F691" t="s">
        <v>50</v>
      </c>
      <c r="G691" t="s">
        <v>1388</v>
      </c>
      <c r="H691" s="8">
        <v>7.0000000000000007E-2</v>
      </c>
      <c r="I691" s="2">
        <v>2.3541840000000001</v>
      </c>
      <c r="J691" s="7" t="s">
        <v>188</v>
      </c>
    </row>
    <row r="692" spans="1:10" ht="28.5">
      <c r="A692" t="s">
        <v>187</v>
      </c>
      <c r="B692" t="s">
        <v>1394</v>
      </c>
      <c r="C692" t="s">
        <v>2676</v>
      </c>
      <c r="D692" t="s">
        <v>2677</v>
      </c>
      <c r="E692" t="s">
        <v>1351</v>
      </c>
      <c r="F692" t="s">
        <v>41</v>
      </c>
      <c r="G692" t="s">
        <v>1388</v>
      </c>
      <c r="H692" s="8">
        <v>0</v>
      </c>
      <c r="I692" s="2">
        <v>0</v>
      </c>
      <c r="J692" s="7" t="s">
        <v>188</v>
      </c>
    </row>
    <row r="693" spans="1:10" ht="28.5">
      <c r="A693" t="s">
        <v>187</v>
      </c>
      <c r="B693" t="s">
        <v>1394</v>
      </c>
      <c r="C693" t="s">
        <v>2678</v>
      </c>
      <c r="D693" t="s">
        <v>2679</v>
      </c>
      <c r="E693" t="s">
        <v>168</v>
      </c>
      <c r="F693" t="s">
        <v>25</v>
      </c>
      <c r="G693" t="s">
        <v>1388</v>
      </c>
      <c r="H693" s="8">
        <v>0.04</v>
      </c>
      <c r="I693" s="2">
        <v>1.345248</v>
      </c>
      <c r="J693" s="7" t="s">
        <v>188</v>
      </c>
    </row>
    <row r="694" spans="1:10" ht="28.5">
      <c r="A694" t="s">
        <v>187</v>
      </c>
      <c r="B694" t="s">
        <v>1394</v>
      </c>
      <c r="C694" t="s">
        <v>2680</v>
      </c>
      <c r="D694" t="s">
        <v>2681</v>
      </c>
      <c r="E694" t="s">
        <v>1061</v>
      </c>
      <c r="F694" t="s">
        <v>50</v>
      </c>
      <c r="G694" t="s">
        <v>1388</v>
      </c>
      <c r="H694" s="8">
        <v>0.02</v>
      </c>
      <c r="I694" s="2">
        <v>0.672624</v>
      </c>
      <c r="J694" s="7" t="s">
        <v>188</v>
      </c>
    </row>
    <row r="695" spans="1:10" ht="28.5">
      <c r="A695" t="s">
        <v>187</v>
      </c>
      <c r="B695" t="s">
        <v>1394</v>
      </c>
      <c r="C695" t="s">
        <v>2682</v>
      </c>
      <c r="D695" t="s">
        <v>2683</v>
      </c>
      <c r="E695" t="s">
        <v>1121</v>
      </c>
      <c r="F695" t="s">
        <v>23</v>
      </c>
      <c r="G695" t="s">
        <v>1388</v>
      </c>
      <c r="H695" s="8">
        <v>0.02</v>
      </c>
      <c r="I695" s="2">
        <v>0.672624</v>
      </c>
      <c r="J695" s="7" t="s">
        <v>188</v>
      </c>
    </row>
    <row r="696" spans="1:10" ht="28.5">
      <c r="A696" t="s">
        <v>187</v>
      </c>
      <c r="B696" t="s">
        <v>1394</v>
      </c>
      <c r="C696" t="s">
        <v>2684</v>
      </c>
      <c r="D696" t="s">
        <v>2685</v>
      </c>
      <c r="E696" t="s">
        <v>460</v>
      </c>
      <c r="F696" t="s">
        <v>23</v>
      </c>
      <c r="G696" t="s">
        <v>1388</v>
      </c>
      <c r="H696" s="8">
        <v>0.04</v>
      </c>
      <c r="I696" s="2">
        <v>1.345248</v>
      </c>
      <c r="J696" s="7" t="s">
        <v>188</v>
      </c>
    </row>
    <row r="697" spans="1:10" ht="28.5">
      <c r="A697" t="s">
        <v>187</v>
      </c>
      <c r="B697" t="s">
        <v>1394</v>
      </c>
      <c r="C697" t="s">
        <v>2686</v>
      </c>
      <c r="D697" t="s">
        <v>2687</v>
      </c>
      <c r="E697" t="s">
        <v>456</v>
      </c>
      <c r="F697" t="s">
        <v>23</v>
      </c>
      <c r="G697" t="s">
        <v>1388</v>
      </c>
      <c r="H697" s="8">
        <v>0.03</v>
      </c>
      <c r="I697" s="2">
        <v>1.0089359999999998</v>
      </c>
      <c r="J697" s="7" t="s">
        <v>188</v>
      </c>
    </row>
    <row r="698" spans="1:10" ht="28.5">
      <c r="A698" t="s">
        <v>187</v>
      </c>
      <c r="B698" t="s">
        <v>1394</v>
      </c>
      <c r="C698" t="s">
        <v>2688</v>
      </c>
      <c r="D698" t="s">
        <v>2689</v>
      </c>
      <c r="E698" t="s">
        <v>1134</v>
      </c>
      <c r="F698" t="s">
        <v>23</v>
      </c>
      <c r="G698" t="s">
        <v>1388</v>
      </c>
      <c r="H698" s="8">
        <v>0</v>
      </c>
      <c r="I698" s="2">
        <v>0</v>
      </c>
      <c r="J698" s="7" t="s">
        <v>188</v>
      </c>
    </row>
    <row r="699" spans="1:10" ht="28.5">
      <c r="A699" t="s">
        <v>187</v>
      </c>
      <c r="B699" t="s">
        <v>1394</v>
      </c>
      <c r="C699" t="s">
        <v>2690</v>
      </c>
      <c r="D699" t="s">
        <v>2691</v>
      </c>
      <c r="E699" t="s">
        <v>362</v>
      </c>
      <c r="F699" t="s">
        <v>108</v>
      </c>
      <c r="G699" t="s">
        <v>1388</v>
      </c>
      <c r="H699" s="8">
        <v>0.05</v>
      </c>
      <c r="I699" s="2">
        <v>1.6815600000000002</v>
      </c>
      <c r="J699" s="7" t="s">
        <v>188</v>
      </c>
    </row>
    <row r="700" spans="1:10" ht="28.5">
      <c r="A700" t="s">
        <v>187</v>
      </c>
      <c r="B700" t="s">
        <v>1394</v>
      </c>
      <c r="C700" t="s">
        <v>2692</v>
      </c>
      <c r="D700" t="s">
        <v>2693</v>
      </c>
      <c r="E700" t="s">
        <v>541</v>
      </c>
      <c r="F700" t="s">
        <v>50</v>
      </c>
      <c r="G700" t="s">
        <v>1388</v>
      </c>
      <c r="H700" s="8">
        <v>0.01</v>
      </c>
      <c r="I700" s="2">
        <v>0.336312</v>
      </c>
      <c r="J700" s="7" t="s">
        <v>188</v>
      </c>
    </row>
    <row r="701" spans="1:10" ht="28.5">
      <c r="A701" t="s">
        <v>187</v>
      </c>
      <c r="B701" t="s">
        <v>1394</v>
      </c>
      <c r="C701" t="s">
        <v>2694</v>
      </c>
      <c r="D701" t="s">
        <v>2695</v>
      </c>
      <c r="E701" t="s">
        <v>909</v>
      </c>
      <c r="F701" t="s">
        <v>50</v>
      </c>
      <c r="G701" t="s">
        <v>1388</v>
      </c>
      <c r="H701" s="8">
        <v>0.03</v>
      </c>
      <c r="I701" s="2">
        <v>1.0089359999999998</v>
      </c>
      <c r="J701" s="7" t="s">
        <v>188</v>
      </c>
    </row>
    <row r="702" spans="1:10" ht="28.5">
      <c r="A702" t="s">
        <v>187</v>
      </c>
      <c r="B702" t="s">
        <v>1394</v>
      </c>
      <c r="C702" t="s">
        <v>2696</v>
      </c>
      <c r="D702" t="s">
        <v>2697</v>
      </c>
      <c r="E702" t="s">
        <v>1315</v>
      </c>
      <c r="F702" t="s">
        <v>108</v>
      </c>
      <c r="G702" t="s">
        <v>1388</v>
      </c>
      <c r="H702" s="8">
        <v>0.01</v>
      </c>
      <c r="I702" s="2">
        <v>0.336312</v>
      </c>
      <c r="J702" s="7" t="s">
        <v>188</v>
      </c>
    </row>
    <row r="703" spans="1:10" ht="28.5">
      <c r="A703" t="s">
        <v>187</v>
      </c>
      <c r="B703" t="s">
        <v>1394</v>
      </c>
      <c r="C703" t="s">
        <v>2698</v>
      </c>
      <c r="D703" t="s">
        <v>2699</v>
      </c>
      <c r="E703" t="s">
        <v>798</v>
      </c>
      <c r="F703" t="s">
        <v>41</v>
      </c>
      <c r="G703" t="s">
        <v>1388</v>
      </c>
      <c r="H703" s="8">
        <v>0.01</v>
      </c>
      <c r="I703" s="2">
        <v>0.336312</v>
      </c>
      <c r="J703" s="7" t="s">
        <v>188</v>
      </c>
    </row>
    <row r="704" spans="1:10" ht="28.5">
      <c r="A704" t="s">
        <v>187</v>
      </c>
      <c r="B704" t="s">
        <v>1394</v>
      </c>
      <c r="C704" t="s">
        <v>1434</v>
      </c>
      <c r="D704" t="s">
        <v>1435</v>
      </c>
      <c r="E704" t="s">
        <v>125</v>
      </c>
      <c r="F704" t="s">
        <v>33</v>
      </c>
      <c r="G704" t="s">
        <v>1388</v>
      </c>
      <c r="H704" s="8">
        <v>0.67</v>
      </c>
      <c r="I704" s="2">
        <v>22.532903999999998</v>
      </c>
      <c r="J704" s="7" t="s">
        <v>188</v>
      </c>
    </row>
    <row r="705" spans="1:10" ht="28.5">
      <c r="A705" t="s">
        <v>187</v>
      </c>
      <c r="B705" t="s">
        <v>1394</v>
      </c>
      <c r="C705" t="s">
        <v>2700</v>
      </c>
      <c r="D705" t="s">
        <v>2701</v>
      </c>
      <c r="E705" t="s">
        <v>426</v>
      </c>
      <c r="F705" t="s">
        <v>50</v>
      </c>
      <c r="G705" t="s">
        <v>1388</v>
      </c>
      <c r="H705" s="8">
        <v>0.09</v>
      </c>
      <c r="I705" s="2">
        <v>3.0268079999999999</v>
      </c>
      <c r="J705" s="7" t="s">
        <v>188</v>
      </c>
    </row>
    <row r="706" spans="1:10" ht="28.5">
      <c r="A706" t="s">
        <v>187</v>
      </c>
      <c r="B706" t="s">
        <v>1394</v>
      </c>
      <c r="C706" t="s">
        <v>1436</v>
      </c>
      <c r="D706" t="s">
        <v>1437</v>
      </c>
      <c r="E706" t="s">
        <v>119</v>
      </c>
      <c r="F706" t="s">
        <v>23</v>
      </c>
      <c r="G706" t="s">
        <v>1388</v>
      </c>
      <c r="H706" s="8">
        <v>1.02</v>
      </c>
      <c r="I706" s="2">
        <v>34.303823999999999</v>
      </c>
      <c r="J706" s="7" t="s">
        <v>188</v>
      </c>
    </row>
    <row r="707" spans="1:10" ht="28.5">
      <c r="A707" t="s">
        <v>187</v>
      </c>
      <c r="B707" t="s">
        <v>1394</v>
      </c>
      <c r="C707" t="s">
        <v>2702</v>
      </c>
      <c r="D707" t="s">
        <v>2703</v>
      </c>
      <c r="E707" t="s">
        <v>1009</v>
      </c>
      <c r="F707" t="s">
        <v>23</v>
      </c>
      <c r="G707" t="s">
        <v>1388</v>
      </c>
      <c r="H707" s="8">
        <v>0.02</v>
      </c>
      <c r="I707" s="2">
        <v>0.672624</v>
      </c>
      <c r="J707" s="7" t="s">
        <v>188</v>
      </c>
    </row>
    <row r="708" spans="1:10" ht="28.5">
      <c r="A708" t="s">
        <v>187</v>
      </c>
      <c r="B708" t="s">
        <v>1394</v>
      </c>
      <c r="C708" t="s">
        <v>2704</v>
      </c>
      <c r="D708" t="s">
        <v>2705</v>
      </c>
      <c r="E708" t="s">
        <v>1148</v>
      </c>
      <c r="F708" t="s">
        <v>41</v>
      </c>
      <c r="G708" t="s">
        <v>1388</v>
      </c>
      <c r="H708" s="8">
        <v>0.01</v>
      </c>
      <c r="I708" s="2">
        <v>0.336312</v>
      </c>
      <c r="J708" s="7" t="s">
        <v>188</v>
      </c>
    </row>
    <row r="709" spans="1:10" ht="28.5">
      <c r="A709" t="s">
        <v>187</v>
      </c>
      <c r="B709" t="s">
        <v>1394</v>
      </c>
      <c r="C709" t="s">
        <v>2706</v>
      </c>
      <c r="D709" t="s">
        <v>2707</v>
      </c>
      <c r="E709" t="s">
        <v>630</v>
      </c>
      <c r="F709" t="s">
        <v>50</v>
      </c>
      <c r="G709" t="s">
        <v>1388</v>
      </c>
      <c r="H709" s="8">
        <v>0.02</v>
      </c>
      <c r="I709" s="2">
        <v>0.672624</v>
      </c>
      <c r="J709" s="7" t="s">
        <v>188</v>
      </c>
    </row>
    <row r="710" spans="1:10" ht="28.5">
      <c r="A710" t="s">
        <v>187</v>
      </c>
      <c r="B710" t="s">
        <v>1394</v>
      </c>
      <c r="C710" t="s">
        <v>2708</v>
      </c>
      <c r="D710" t="s">
        <v>2709</v>
      </c>
      <c r="E710" t="s">
        <v>546</v>
      </c>
      <c r="F710" t="s">
        <v>253</v>
      </c>
      <c r="G710" t="s">
        <v>1388</v>
      </c>
      <c r="H710" s="8">
        <v>0.02</v>
      </c>
      <c r="I710" s="2">
        <v>0.672624</v>
      </c>
      <c r="J710" s="7" t="s">
        <v>188</v>
      </c>
    </row>
    <row r="711" spans="1:10" ht="28.5">
      <c r="A711" t="s">
        <v>187</v>
      </c>
      <c r="B711" t="s">
        <v>1394</v>
      </c>
      <c r="C711" t="s">
        <v>2710</v>
      </c>
      <c r="D711" t="s">
        <v>2711</v>
      </c>
      <c r="E711" t="s">
        <v>1035</v>
      </c>
      <c r="F711" t="s">
        <v>108</v>
      </c>
      <c r="G711" t="s">
        <v>1388</v>
      </c>
      <c r="H711" s="8">
        <v>0.02</v>
      </c>
      <c r="I711" s="2">
        <v>0.672624</v>
      </c>
      <c r="J711" s="7" t="s">
        <v>188</v>
      </c>
    </row>
    <row r="712" spans="1:10" ht="28.5">
      <c r="A712" t="s">
        <v>187</v>
      </c>
      <c r="B712" t="s">
        <v>1394</v>
      </c>
      <c r="C712" t="s">
        <v>2712</v>
      </c>
      <c r="D712" t="s">
        <v>2713</v>
      </c>
      <c r="E712" t="s">
        <v>1169</v>
      </c>
      <c r="F712" t="s">
        <v>50</v>
      </c>
      <c r="G712" t="s">
        <v>1388</v>
      </c>
      <c r="H712" s="8">
        <v>0.01</v>
      </c>
      <c r="I712" s="2">
        <v>0.336312</v>
      </c>
      <c r="J712" s="7" t="s">
        <v>188</v>
      </c>
    </row>
    <row r="713" spans="1:10" ht="28.5">
      <c r="A713" t="s">
        <v>187</v>
      </c>
      <c r="B713" t="s">
        <v>1394</v>
      </c>
      <c r="C713" t="s">
        <v>2714</v>
      </c>
      <c r="D713" t="s">
        <v>2715</v>
      </c>
      <c r="E713" t="s">
        <v>813</v>
      </c>
      <c r="F713" t="s">
        <v>50</v>
      </c>
      <c r="G713" t="s">
        <v>1388</v>
      </c>
      <c r="H713" s="8">
        <v>0.01</v>
      </c>
      <c r="I713" s="2">
        <v>0.336312</v>
      </c>
      <c r="J713" s="7" t="s">
        <v>188</v>
      </c>
    </row>
    <row r="714" spans="1:10" ht="28.5">
      <c r="A714" t="s">
        <v>187</v>
      </c>
      <c r="B714" t="s">
        <v>1394</v>
      </c>
      <c r="C714" t="s">
        <v>2716</v>
      </c>
      <c r="D714" t="s">
        <v>2717</v>
      </c>
      <c r="E714" t="s">
        <v>835</v>
      </c>
      <c r="F714" t="s">
        <v>23</v>
      </c>
      <c r="G714" t="s">
        <v>1388</v>
      </c>
      <c r="H714" s="8">
        <v>0.03</v>
      </c>
      <c r="I714" s="2">
        <v>1.0089359999999998</v>
      </c>
      <c r="J714" s="7" t="s">
        <v>188</v>
      </c>
    </row>
    <row r="715" spans="1:10" ht="28.5">
      <c r="A715" t="s">
        <v>187</v>
      </c>
      <c r="B715" t="s">
        <v>1394</v>
      </c>
      <c r="C715" t="s">
        <v>2718</v>
      </c>
      <c r="D715" t="s">
        <v>2719</v>
      </c>
      <c r="E715" t="s">
        <v>256</v>
      </c>
      <c r="F715" t="s">
        <v>27</v>
      </c>
      <c r="G715" t="s">
        <v>1388</v>
      </c>
      <c r="H715" s="8">
        <v>0.06</v>
      </c>
      <c r="I715" s="2">
        <v>2.0178719999999997</v>
      </c>
      <c r="J715" s="7" t="s">
        <v>188</v>
      </c>
    </row>
    <row r="716" spans="1:10" ht="28.5">
      <c r="A716" t="s">
        <v>187</v>
      </c>
      <c r="B716" t="s">
        <v>1394</v>
      </c>
      <c r="C716" t="s">
        <v>2720</v>
      </c>
      <c r="D716" t="s">
        <v>2721</v>
      </c>
      <c r="E716" t="s">
        <v>767</v>
      </c>
      <c r="F716" t="s">
        <v>108</v>
      </c>
      <c r="G716" t="s">
        <v>1388</v>
      </c>
      <c r="H716" s="8">
        <v>0.04</v>
      </c>
      <c r="I716" s="2">
        <v>1.345248</v>
      </c>
      <c r="J716" s="7" t="s">
        <v>188</v>
      </c>
    </row>
    <row r="717" spans="1:10" ht="28.5">
      <c r="A717" t="s">
        <v>187</v>
      </c>
      <c r="B717" t="s">
        <v>1394</v>
      </c>
      <c r="C717" t="s">
        <v>2722</v>
      </c>
      <c r="D717" t="s">
        <v>2723</v>
      </c>
      <c r="E717" t="s">
        <v>714</v>
      </c>
      <c r="F717" t="s">
        <v>50</v>
      </c>
      <c r="G717" t="s">
        <v>1388</v>
      </c>
      <c r="H717" s="8">
        <v>0.01</v>
      </c>
      <c r="I717" s="2">
        <v>0.336312</v>
      </c>
      <c r="J717" s="7" t="s">
        <v>188</v>
      </c>
    </row>
    <row r="718" spans="1:10" ht="28.5">
      <c r="A718" t="s">
        <v>187</v>
      </c>
      <c r="B718" t="s">
        <v>1394</v>
      </c>
      <c r="C718" t="s">
        <v>2724</v>
      </c>
      <c r="D718" t="s">
        <v>2725</v>
      </c>
      <c r="E718" t="s">
        <v>1001</v>
      </c>
      <c r="F718" t="s">
        <v>38</v>
      </c>
      <c r="G718" t="s">
        <v>1388</v>
      </c>
      <c r="H718" s="8">
        <v>0.02</v>
      </c>
      <c r="I718" s="2">
        <v>0.672624</v>
      </c>
      <c r="J718" s="7" t="s">
        <v>188</v>
      </c>
    </row>
    <row r="719" spans="1:10" ht="28.5">
      <c r="A719" t="s">
        <v>187</v>
      </c>
      <c r="B719" t="s">
        <v>1394</v>
      </c>
      <c r="C719" t="s">
        <v>2726</v>
      </c>
      <c r="D719" t="s">
        <v>2727</v>
      </c>
      <c r="E719" t="s">
        <v>1095</v>
      </c>
      <c r="F719" t="s">
        <v>108</v>
      </c>
      <c r="G719" t="s">
        <v>1388</v>
      </c>
      <c r="H719" s="8">
        <v>0.02</v>
      </c>
      <c r="I719" s="2">
        <v>0.672624</v>
      </c>
      <c r="J719" s="7" t="s">
        <v>188</v>
      </c>
    </row>
    <row r="720" spans="1:10" ht="28.5">
      <c r="A720" t="s">
        <v>187</v>
      </c>
      <c r="B720" t="s">
        <v>1394</v>
      </c>
      <c r="C720" t="s">
        <v>2728</v>
      </c>
      <c r="D720" t="s">
        <v>2729</v>
      </c>
      <c r="E720" t="s">
        <v>1309</v>
      </c>
      <c r="F720" t="s">
        <v>108</v>
      </c>
      <c r="G720" t="s">
        <v>1388</v>
      </c>
      <c r="H720" s="8">
        <v>0.01</v>
      </c>
      <c r="I720" s="2">
        <v>0.336312</v>
      </c>
      <c r="J720" s="7" t="s">
        <v>188</v>
      </c>
    </row>
    <row r="721" spans="1:10" ht="28.5">
      <c r="A721" t="s">
        <v>187</v>
      </c>
      <c r="B721" t="s">
        <v>1394</v>
      </c>
      <c r="C721" t="s">
        <v>2730</v>
      </c>
      <c r="D721" t="s">
        <v>2731</v>
      </c>
      <c r="E721" t="s">
        <v>324</v>
      </c>
      <c r="F721" t="s">
        <v>108</v>
      </c>
      <c r="G721" t="s">
        <v>1388</v>
      </c>
      <c r="H721" s="8">
        <v>0.05</v>
      </c>
      <c r="I721" s="2">
        <v>1.6815600000000002</v>
      </c>
      <c r="J721" s="7" t="s">
        <v>188</v>
      </c>
    </row>
    <row r="722" spans="1:10" ht="28.5">
      <c r="A722" t="s">
        <v>187</v>
      </c>
      <c r="B722" t="s">
        <v>1394</v>
      </c>
      <c r="C722" t="s">
        <v>2732</v>
      </c>
      <c r="D722" t="s">
        <v>2733</v>
      </c>
      <c r="E722" t="s">
        <v>708</v>
      </c>
      <c r="F722" t="s">
        <v>23</v>
      </c>
      <c r="G722" t="s">
        <v>1388</v>
      </c>
      <c r="H722" s="8">
        <v>0.02</v>
      </c>
      <c r="I722" s="2">
        <v>0.672624</v>
      </c>
      <c r="J722" s="7" t="s">
        <v>188</v>
      </c>
    </row>
    <row r="723" spans="1:10" ht="28.5">
      <c r="A723" t="s">
        <v>187</v>
      </c>
      <c r="B723" t="s">
        <v>1394</v>
      </c>
      <c r="C723" t="s">
        <v>2734</v>
      </c>
      <c r="D723" t="s">
        <v>2735</v>
      </c>
      <c r="E723" t="s">
        <v>406</v>
      </c>
      <c r="F723" t="s">
        <v>25</v>
      </c>
      <c r="G723" t="s">
        <v>1388</v>
      </c>
      <c r="H723" s="8">
        <v>0.1</v>
      </c>
      <c r="I723" s="2">
        <v>3.3631200000000003</v>
      </c>
      <c r="J723" s="7" t="s">
        <v>188</v>
      </c>
    </row>
    <row r="724" spans="1:10" ht="28.5">
      <c r="A724" t="s">
        <v>187</v>
      </c>
      <c r="B724" t="s">
        <v>1394</v>
      </c>
      <c r="C724" t="s">
        <v>2732</v>
      </c>
      <c r="D724" t="s">
        <v>2736</v>
      </c>
      <c r="E724" t="s">
        <v>1227</v>
      </c>
      <c r="F724" t="s">
        <v>124</v>
      </c>
      <c r="G724" t="s">
        <v>1388</v>
      </c>
      <c r="H724" s="8">
        <v>0.01</v>
      </c>
      <c r="I724" s="2">
        <v>0.336312</v>
      </c>
      <c r="J724" s="7" t="s">
        <v>188</v>
      </c>
    </row>
    <row r="725" spans="1:10" ht="28.5">
      <c r="A725" t="s">
        <v>187</v>
      </c>
      <c r="B725" t="s">
        <v>1394</v>
      </c>
      <c r="C725" t="s">
        <v>2737</v>
      </c>
      <c r="D725" t="s">
        <v>2738</v>
      </c>
      <c r="E725" t="s">
        <v>590</v>
      </c>
      <c r="F725" t="s">
        <v>25</v>
      </c>
      <c r="G725" t="s">
        <v>1388</v>
      </c>
      <c r="H725" s="8">
        <v>0.06</v>
      </c>
      <c r="I725" s="2">
        <v>2.0178719999999997</v>
      </c>
      <c r="J725" s="7" t="s">
        <v>188</v>
      </c>
    </row>
    <row r="726" spans="1:10" ht="28.5">
      <c r="A726" t="s">
        <v>187</v>
      </c>
      <c r="B726" t="s">
        <v>1394</v>
      </c>
      <c r="C726" t="s">
        <v>2739</v>
      </c>
      <c r="D726" t="s">
        <v>2740</v>
      </c>
      <c r="E726" t="s">
        <v>1256</v>
      </c>
      <c r="F726" t="s">
        <v>108</v>
      </c>
      <c r="G726" t="s">
        <v>1388</v>
      </c>
      <c r="H726" s="8">
        <v>0.01</v>
      </c>
      <c r="I726" s="2">
        <v>0.336312</v>
      </c>
      <c r="J726" s="7" t="s">
        <v>188</v>
      </c>
    </row>
    <row r="727" spans="1:10" ht="28.5">
      <c r="A727" t="s">
        <v>187</v>
      </c>
      <c r="B727" t="s">
        <v>1394</v>
      </c>
      <c r="C727" t="s">
        <v>2741</v>
      </c>
      <c r="D727" t="s">
        <v>2742</v>
      </c>
      <c r="E727" t="s">
        <v>771</v>
      </c>
      <c r="F727" t="s">
        <v>108</v>
      </c>
      <c r="G727" t="s">
        <v>1388</v>
      </c>
      <c r="H727" s="8">
        <v>0.04</v>
      </c>
      <c r="I727" s="2">
        <v>1.345248</v>
      </c>
      <c r="J727" s="7" t="s">
        <v>188</v>
      </c>
    </row>
    <row r="728" spans="1:10" ht="28.5">
      <c r="A728" t="s">
        <v>187</v>
      </c>
      <c r="B728" t="s">
        <v>1394</v>
      </c>
      <c r="C728" t="s">
        <v>2743</v>
      </c>
      <c r="D728" t="s">
        <v>2744</v>
      </c>
      <c r="E728" t="s">
        <v>1074</v>
      </c>
      <c r="F728" t="s">
        <v>263</v>
      </c>
      <c r="G728" t="s">
        <v>1388</v>
      </c>
      <c r="H728" s="8">
        <v>0.02</v>
      </c>
      <c r="I728" s="2">
        <v>0.672624</v>
      </c>
      <c r="J728" s="7" t="s">
        <v>188</v>
      </c>
    </row>
    <row r="729" spans="1:10" ht="28.5">
      <c r="A729" t="s">
        <v>187</v>
      </c>
      <c r="B729" t="s">
        <v>1394</v>
      </c>
      <c r="C729" t="s">
        <v>2745</v>
      </c>
      <c r="D729" t="s">
        <v>2746</v>
      </c>
      <c r="E729" t="s">
        <v>529</v>
      </c>
      <c r="F729" t="s">
        <v>124</v>
      </c>
      <c r="G729" t="s">
        <v>1388</v>
      </c>
      <c r="H729" s="8">
        <v>7.0000000000000007E-2</v>
      </c>
      <c r="I729" s="2">
        <v>2.3541840000000001</v>
      </c>
      <c r="J729" s="7" t="s">
        <v>188</v>
      </c>
    </row>
    <row r="730" spans="1:10" ht="28.5">
      <c r="A730" t="s">
        <v>187</v>
      </c>
      <c r="B730" t="s">
        <v>1394</v>
      </c>
      <c r="C730" t="s">
        <v>2747</v>
      </c>
      <c r="D730" t="s">
        <v>2748</v>
      </c>
      <c r="E730" t="s">
        <v>828</v>
      </c>
      <c r="F730" t="s">
        <v>38</v>
      </c>
      <c r="G730" t="s">
        <v>1388</v>
      </c>
      <c r="H730" s="8">
        <v>0.01</v>
      </c>
      <c r="I730" s="2">
        <v>0.336312</v>
      </c>
      <c r="J730" s="7" t="s">
        <v>188</v>
      </c>
    </row>
    <row r="731" spans="1:10" ht="28.5">
      <c r="A731" t="s">
        <v>187</v>
      </c>
      <c r="B731" t="s">
        <v>1394</v>
      </c>
      <c r="C731" t="s">
        <v>2749</v>
      </c>
      <c r="D731" t="s">
        <v>2750</v>
      </c>
      <c r="E731" t="s">
        <v>1171</v>
      </c>
      <c r="F731" t="s">
        <v>50</v>
      </c>
      <c r="G731" t="s">
        <v>1388</v>
      </c>
      <c r="H731" s="8">
        <v>0.01</v>
      </c>
      <c r="I731" s="2">
        <v>0.336312</v>
      </c>
      <c r="J731" s="7" t="s">
        <v>188</v>
      </c>
    </row>
    <row r="732" spans="1:10" ht="28.5">
      <c r="A732" t="s">
        <v>187</v>
      </c>
      <c r="B732" t="s">
        <v>1394</v>
      </c>
      <c r="C732" t="s">
        <v>2751</v>
      </c>
      <c r="D732" t="s">
        <v>2752</v>
      </c>
      <c r="E732" t="s">
        <v>861</v>
      </c>
      <c r="F732" t="s">
        <v>41</v>
      </c>
      <c r="G732" t="s">
        <v>1388</v>
      </c>
      <c r="H732" s="8">
        <v>0.03</v>
      </c>
      <c r="I732" s="2">
        <v>1.0089359999999998</v>
      </c>
      <c r="J732" s="7" t="s">
        <v>188</v>
      </c>
    </row>
    <row r="733" spans="1:10" ht="28.5">
      <c r="A733" t="s">
        <v>187</v>
      </c>
      <c r="B733" t="s">
        <v>1394</v>
      </c>
      <c r="C733" t="s">
        <v>2753</v>
      </c>
      <c r="D733" t="s">
        <v>2754</v>
      </c>
      <c r="E733" t="s">
        <v>204</v>
      </c>
      <c r="F733" t="s">
        <v>25</v>
      </c>
      <c r="G733" t="s">
        <v>1388</v>
      </c>
      <c r="H733" s="8">
        <v>0.13</v>
      </c>
      <c r="I733" s="2">
        <v>4.3720559999999997</v>
      </c>
      <c r="J733" s="7" t="s">
        <v>188</v>
      </c>
    </row>
    <row r="734" spans="1:10" ht="28.5">
      <c r="A734" t="s">
        <v>187</v>
      </c>
      <c r="B734" t="s">
        <v>1394</v>
      </c>
      <c r="C734" t="s">
        <v>2755</v>
      </c>
      <c r="D734" t="s">
        <v>2756</v>
      </c>
      <c r="E734" t="s">
        <v>559</v>
      </c>
      <c r="F734" t="s">
        <v>108</v>
      </c>
      <c r="G734" t="s">
        <v>1388</v>
      </c>
      <c r="H734" s="8">
        <v>0.02</v>
      </c>
      <c r="I734" s="2">
        <v>0.672624</v>
      </c>
      <c r="J734" s="7" t="s">
        <v>188</v>
      </c>
    </row>
    <row r="735" spans="1:10" ht="28.5">
      <c r="A735" t="s">
        <v>187</v>
      </c>
      <c r="B735" t="s">
        <v>1394</v>
      </c>
      <c r="C735" t="s">
        <v>2757</v>
      </c>
      <c r="D735" t="s">
        <v>2758</v>
      </c>
      <c r="E735" t="s">
        <v>523</v>
      </c>
      <c r="F735" t="s">
        <v>23</v>
      </c>
      <c r="G735" t="s">
        <v>1388</v>
      </c>
      <c r="H735" s="8">
        <v>7.0000000000000007E-2</v>
      </c>
      <c r="I735" s="2">
        <v>2.3541840000000001</v>
      </c>
      <c r="J735" s="7" t="s">
        <v>188</v>
      </c>
    </row>
    <row r="736" spans="1:10" ht="28.5">
      <c r="A736" t="s">
        <v>187</v>
      </c>
      <c r="B736" t="s">
        <v>1394</v>
      </c>
      <c r="C736" t="s">
        <v>2759</v>
      </c>
      <c r="D736" t="s">
        <v>2760</v>
      </c>
      <c r="E736" t="s">
        <v>174</v>
      </c>
      <c r="F736" t="s">
        <v>25</v>
      </c>
      <c r="G736" t="s">
        <v>1388</v>
      </c>
      <c r="H736" s="8">
        <v>0.32</v>
      </c>
      <c r="I736" s="2">
        <v>10.761984</v>
      </c>
      <c r="J736" s="7" t="s">
        <v>188</v>
      </c>
    </row>
    <row r="737" spans="1:10" ht="28.5">
      <c r="A737" t="s">
        <v>187</v>
      </c>
      <c r="B737" t="s">
        <v>1394</v>
      </c>
      <c r="C737" t="s">
        <v>2761</v>
      </c>
      <c r="D737" t="s">
        <v>2762</v>
      </c>
      <c r="E737" t="s">
        <v>1238</v>
      </c>
      <c r="F737" t="s">
        <v>263</v>
      </c>
      <c r="G737" t="s">
        <v>1388</v>
      </c>
      <c r="H737" s="8">
        <v>0.01</v>
      </c>
      <c r="I737" s="2">
        <v>0.336312</v>
      </c>
      <c r="J737" s="7" t="s">
        <v>188</v>
      </c>
    </row>
    <row r="738" spans="1:10" ht="28.5">
      <c r="A738" t="s">
        <v>187</v>
      </c>
      <c r="B738" t="s">
        <v>1394</v>
      </c>
      <c r="C738" t="s">
        <v>2763</v>
      </c>
      <c r="D738" t="s">
        <v>2764</v>
      </c>
      <c r="E738" t="s">
        <v>1254</v>
      </c>
      <c r="F738" t="s">
        <v>50</v>
      </c>
      <c r="G738" t="s">
        <v>1388</v>
      </c>
      <c r="H738" s="8">
        <v>0.01</v>
      </c>
      <c r="I738" s="2">
        <v>0.336312</v>
      </c>
      <c r="J738" s="7" t="s">
        <v>188</v>
      </c>
    </row>
    <row r="739" spans="1:10" ht="28.5">
      <c r="A739" t="s">
        <v>187</v>
      </c>
      <c r="B739" t="s">
        <v>1394</v>
      </c>
      <c r="C739" t="s">
        <v>2765</v>
      </c>
      <c r="D739" t="s">
        <v>2766</v>
      </c>
      <c r="E739" t="s">
        <v>304</v>
      </c>
      <c r="F739" t="s">
        <v>50</v>
      </c>
      <c r="G739" t="s">
        <v>1388</v>
      </c>
      <c r="H739" s="8">
        <v>0.04</v>
      </c>
      <c r="I739" s="2">
        <v>1.345248</v>
      </c>
      <c r="J739" s="7" t="s">
        <v>188</v>
      </c>
    </row>
    <row r="740" spans="1:10" ht="28.5">
      <c r="A740" t="s">
        <v>187</v>
      </c>
      <c r="B740" t="s">
        <v>1394</v>
      </c>
      <c r="C740" t="s">
        <v>2767</v>
      </c>
      <c r="D740" t="s">
        <v>2768</v>
      </c>
      <c r="E740" t="s">
        <v>1221</v>
      </c>
      <c r="F740" t="s">
        <v>27</v>
      </c>
      <c r="G740" t="s">
        <v>1388</v>
      </c>
      <c r="H740" s="8">
        <v>0.01</v>
      </c>
      <c r="I740" s="2">
        <v>0.336312</v>
      </c>
      <c r="J740" s="7" t="s">
        <v>188</v>
      </c>
    </row>
    <row r="741" spans="1:10" ht="28.5">
      <c r="A741" t="s">
        <v>187</v>
      </c>
      <c r="B741" t="s">
        <v>1394</v>
      </c>
      <c r="C741" t="s">
        <v>2769</v>
      </c>
      <c r="D741" t="s">
        <v>2770</v>
      </c>
      <c r="E741" t="s">
        <v>1014</v>
      </c>
      <c r="F741" t="s">
        <v>50</v>
      </c>
      <c r="G741" t="s">
        <v>1388</v>
      </c>
      <c r="H741" s="8">
        <v>0.02</v>
      </c>
      <c r="I741" s="2">
        <v>0.672624</v>
      </c>
      <c r="J741" s="7" t="s">
        <v>188</v>
      </c>
    </row>
    <row r="742" spans="1:10" ht="28.5">
      <c r="A742" t="s">
        <v>187</v>
      </c>
      <c r="B742" t="s">
        <v>1394</v>
      </c>
      <c r="C742" t="s">
        <v>2771</v>
      </c>
      <c r="D742" t="s">
        <v>2772</v>
      </c>
      <c r="E742" t="s">
        <v>1188</v>
      </c>
      <c r="F742" t="s">
        <v>50</v>
      </c>
      <c r="G742" t="s">
        <v>1388</v>
      </c>
      <c r="H742" s="8">
        <v>0.01</v>
      </c>
      <c r="I742" s="2">
        <v>0.336312</v>
      </c>
      <c r="J742" s="7" t="s">
        <v>188</v>
      </c>
    </row>
    <row r="743" spans="1:10" ht="28.5">
      <c r="A743" t="s">
        <v>187</v>
      </c>
      <c r="B743" t="s">
        <v>1394</v>
      </c>
      <c r="C743" t="s">
        <v>2773</v>
      </c>
      <c r="D743" t="s">
        <v>2774</v>
      </c>
      <c r="E743" t="s">
        <v>349</v>
      </c>
      <c r="F743" t="s">
        <v>108</v>
      </c>
      <c r="G743" t="s">
        <v>1388</v>
      </c>
      <c r="H743" s="8">
        <v>0.04</v>
      </c>
      <c r="I743" s="2">
        <v>1.345248</v>
      </c>
      <c r="J743" s="7" t="s">
        <v>188</v>
      </c>
    </row>
    <row r="744" spans="1:10" ht="28.5">
      <c r="A744" t="s">
        <v>187</v>
      </c>
      <c r="B744" t="s">
        <v>1394</v>
      </c>
      <c r="C744" t="s">
        <v>2775</v>
      </c>
      <c r="D744" t="s">
        <v>2776</v>
      </c>
      <c r="E744" t="s">
        <v>1016</v>
      </c>
      <c r="F744" t="s">
        <v>27</v>
      </c>
      <c r="G744" t="s">
        <v>1388</v>
      </c>
      <c r="H744" s="8">
        <v>0.02</v>
      </c>
      <c r="I744" s="2">
        <v>0.672624</v>
      </c>
      <c r="J744" s="7" t="s">
        <v>188</v>
      </c>
    </row>
    <row r="745" spans="1:10" ht="28.5">
      <c r="A745" t="s">
        <v>187</v>
      </c>
      <c r="B745" t="s">
        <v>1394</v>
      </c>
      <c r="C745" t="s">
        <v>2777</v>
      </c>
      <c r="D745" t="s">
        <v>2778</v>
      </c>
      <c r="E745" t="s">
        <v>644</v>
      </c>
      <c r="F745" t="s">
        <v>33</v>
      </c>
      <c r="G745" t="s">
        <v>1388</v>
      </c>
      <c r="H745" s="8">
        <v>0.02</v>
      </c>
      <c r="I745" s="2">
        <v>0.672624</v>
      </c>
      <c r="J745" s="7" t="s">
        <v>188</v>
      </c>
    </row>
    <row r="746" spans="1:10" ht="28.5">
      <c r="A746" t="s">
        <v>187</v>
      </c>
      <c r="B746" t="s">
        <v>1394</v>
      </c>
      <c r="C746" t="s">
        <v>2779</v>
      </c>
      <c r="D746" t="s">
        <v>2780</v>
      </c>
      <c r="E746" t="s">
        <v>291</v>
      </c>
      <c r="F746" t="s">
        <v>108</v>
      </c>
      <c r="G746" t="s">
        <v>1388</v>
      </c>
      <c r="H746" s="8">
        <v>0.03</v>
      </c>
      <c r="I746" s="2">
        <v>1.0089359999999998</v>
      </c>
      <c r="J746" s="7" t="s">
        <v>188</v>
      </c>
    </row>
    <row r="747" spans="1:10" ht="28.5">
      <c r="A747" t="s">
        <v>187</v>
      </c>
      <c r="B747" t="s">
        <v>1394</v>
      </c>
      <c r="C747" t="s">
        <v>2781</v>
      </c>
      <c r="D747" t="s">
        <v>2782</v>
      </c>
      <c r="E747" t="s">
        <v>755</v>
      </c>
      <c r="F747" t="s">
        <v>108</v>
      </c>
      <c r="G747" t="s">
        <v>1388</v>
      </c>
      <c r="H747" s="8">
        <v>0.04</v>
      </c>
      <c r="I747" s="2">
        <v>1.345248</v>
      </c>
      <c r="J747" s="7" t="s">
        <v>188</v>
      </c>
    </row>
    <row r="748" spans="1:10" ht="28.5">
      <c r="A748" t="s">
        <v>187</v>
      </c>
      <c r="B748" t="s">
        <v>1394</v>
      </c>
      <c r="C748" t="s">
        <v>2783</v>
      </c>
      <c r="D748" t="s">
        <v>2784</v>
      </c>
      <c r="E748" t="s">
        <v>455</v>
      </c>
      <c r="F748" t="s">
        <v>50</v>
      </c>
      <c r="G748" t="s">
        <v>1388</v>
      </c>
      <c r="H748" s="8">
        <v>0.02</v>
      </c>
      <c r="I748" s="2">
        <v>0.672624</v>
      </c>
      <c r="J748" s="7" t="s">
        <v>188</v>
      </c>
    </row>
    <row r="749" spans="1:10" ht="28.5">
      <c r="A749" t="s">
        <v>187</v>
      </c>
      <c r="B749" t="s">
        <v>1394</v>
      </c>
      <c r="C749" t="s">
        <v>2785</v>
      </c>
      <c r="D749" t="s">
        <v>2786</v>
      </c>
      <c r="E749" t="s">
        <v>1104</v>
      </c>
      <c r="F749" t="s">
        <v>50</v>
      </c>
      <c r="G749" t="s">
        <v>1388</v>
      </c>
      <c r="H749" s="8">
        <v>0.02</v>
      </c>
      <c r="I749" s="2">
        <v>0.672624</v>
      </c>
      <c r="J749" s="7" t="s">
        <v>188</v>
      </c>
    </row>
    <row r="750" spans="1:10" ht="28.5">
      <c r="A750" t="s">
        <v>187</v>
      </c>
      <c r="B750" t="s">
        <v>1394</v>
      </c>
      <c r="C750" t="s">
        <v>2787</v>
      </c>
      <c r="D750" t="s">
        <v>2788</v>
      </c>
      <c r="E750" t="s">
        <v>276</v>
      </c>
      <c r="F750" t="s">
        <v>25</v>
      </c>
      <c r="G750" t="s">
        <v>1388</v>
      </c>
      <c r="H750" s="8">
        <v>0.03</v>
      </c>
      <c r="I750" s="2">
        <v>1.0089359999999998</v>
      </c>
      <c r="J750" s="7" t="s">
        <v>188</v>
      </c>
    </row>
    <row r="751" spans="1:10" ht="28.5">
      <c r="A751" t="s">
        <v>187</v>
      </c>
      <c r="B751" t="s">
        <v>1394</v>
      </c>
      <c r="C751" t="s">
        <v>2789</v>
      </c>
      <c r="D751" t="s">
        <v>2790</v>
      </c>
      <c r="E751" t="s">
        <v>1125</v>
      </c>
      <c r="F751" t="s">
        <v>33</v>
      </c>
      <c r="G751" t="s">
        <v>1388</v>
      </c>
      <c r="H751" s="8">
        <v>0.01</v>
      </c>
      <c r="I751" s="2">
        <v>0.336312</v>
      </c>
      <c r="J751" s="7" t="s">
        <v>188</v>
      </c>
    </row>
    <row r="752" spans="1:10" ht="28.5">
      <c r="A752" t="s">
        <v>187</v>
      </c>
      <c r="B752" t="s">
        <v>1394</v>
      </c>
      <c r="C752" t="s">
        <v>2791</v>
      </c>
      <c r="D752" t="s">
        <v>2792</v>
      </c>
      <c r="E752" t="s">
        <v>588</v>
      </c>
      <c r="F752" t="s">
        <v>50</v>
      </c>
      <c r="G752" t="s">
        <v>1388</v>
      </c>
      <c r="H752" s="8">
        <v>0.06</v>
      </c>
      <c r="I752" s="2">
        <v>2.0178719999999997</v>
      </c>
      <c r="J752" s="7" t="s">
        <v>188</v>
      </c>
    </row>
    <row r="753" spans="1:10" ht="28.5">
      <c r="A753" t="s">
        <v>187</v>
      </c>
      <c r="B753" t="s">
        <v>1394</v>
      </c>
      <c r="C753" t="s">
        <v>2793</v>
      </c>
      <c r="D753" t="s">
        <v>2794</v>
      </c>
      <c r="E753" t="s">
        <v>561</v>
      </c>
      <c r="F753" t="s">
        <v>33</v>
      </c>
      <c r="G753" t="s">
        <v>1388</v>
      </c>
      <c r="H753" s="8">
        <v>0.03</v>
      </c>
      <c r="I753" s="2">
        <v>1.0089359999999998</v>
      </c>
      <c r="J753" s="7" t="s">
        <v>188</v>
      </c>
    </row>
    <row r="754" spans="1:10" ht="28.5">
      <c r="A754" t="s">
        <v>187</v>
      </c>
      <c r="B754" t="s">
        <v>1394</v>
      </c>
      <c r="C754" t="s">
        <v>2795</v>
      </c>
      <c r="D754" t="s">
        <v>2796</v>
      </c>
      <c r="E754" t="s">
        <v>315</v>
      </c>
      <c r="F754" t="s">
        <v>41</v>
      </c>
      <c r="G754" t="s">
        <v>1388</v>
      </c>
      <c r="H754" s="8">
        <v>0.14000000000000001</v>
      </c>
      <c r="I754" s="2">
        <v>4.7083680000000001</v>
      </c>
      <c r="J754" s="7" t="s">
        <v>188</v>
      </c>
    </row>
    <row r="755" spans="1:10" ht="28.5">
      <c r="A755" t="s">
        <v>187</v>
      </c>
      <c r="B755" t="s">
        <v>1394</v>
      </c>
      <c r="C755" t="s">
        <v>2797</v>
      </c>
      <c r="D755" t="s">
        <v>2798</v>
      </c>
      <c r="E755" t="s">
        <v>169</v>
      </c>
      <c r="F755" t="s">
        <v>25</v>
      </c>
      <c r="G755" t="s">
        <v>1388</v>
      </c>
      <c r="H755" s="8">
        <v>0.45</v>
      </c>
      <c r="I755" s="2">
        <v>15.134040000000001</v>
      </c>
      <c r="J755" s="7" t="s">
        <v>188</v>
      </c>
    </row>
    <row r="756" spans="1:10" ht="28.5">
      <c r="A756" t="s">
        <v>187</v>
      </c>
      <c r="B756" t="s">
        <v>1394</v>
      </c>
      <c r="C756" t="s">
        <v>2799</v>
      </c>
      <c r="D756" t="s">
        <v>2800</v>
      </c>
      <c r="E756" t="s">
        <v>1299</v>
      </c>
      <c r="F756" t="s">
        <v>263</v>
      </c>
      <c r="G756" t="s">
        <v>1388</v>
      </c>
      <c r="H756" s="8">
        <v>0.01</v>
      </c>
      <c r="I756" s="2">
        <v>0.336312</v>
      </c>
      <c r="J756" s="7" t="s">
        <v>188</v>
      </c>
    </row>
    <row r="757" spans="1:10" ht="28.5">
      <c r="A757" t="s">
        <v>187</v>
      </c>
      <c r="B757" t="s">
        <v>1394</v>
      </c>
      <c r="C757" t="s">
        <v>2801</v>
      </c>
      <c r="D757" t="s">
        <v>2802</v>
      </c>
      <c r="E757" t="s">
        <v>1114</v>
      </c>
      <c r="F757" t="s">
        <v>38</v>
      </c>
      <c r="G757" t="s">
        <v>1388</v>
      </c>
      <c r="H757" s="8">
        <v>0.02</v>
      </c>
      <c r="I757" s="2">
        <v>0.672624</v>
      </c>
      <c r="J757" s="7" t="s">
        <v>188</v>
      </c>
    </row>
    <row r="758" spans="1:10" ht="28.5">
      <c r="A758" t="s">
        <v>187</v>
      </c>
      <c r="B758" t="s">
        <v>1394</v>
      </c>
      <c r="C758" t="s">
        <v>2803</v>
      </c>
      <c r="D758" t="s">
        <v>2804</v>
      </c>
      <c r="E758" t="s">
        <v>972</v>
      </c>
      <c r="F758" t="s">
        <v>25</v>
      </c>
      <c r="G758" t="s">
        <v>1388</v>
      </c>
      <c r="H758" s="8">
        <v>0.02</v>
      </c>
      <c r="I758" s="2">
        <v>0.672624</v>
      </c>
      <c r="J758" s="7" t="s">
        <v>188</v>
      </c>
    </row>
    <row r="759" spans="1:10" ht="28.5">
      <c r="A759" t="s">
        <v>187</v>
      </c>
      <c r="B759" t="s">
        <v>1394</v>
      </c>
      <c r="C759" t="s">
        <v>2805</v>
      </c>
      <c r="D759" t="s">
        <v>2806</v>
      </c>
      <c r="E759" t="s">
        <v>1370</v>
      </c>
      <c r="F759" t="s">
        <v>50</v>
      </c>
      <c r="G759" t="s">
        <v>1388</v>
      </c>
      <c r="H759" s="8">
        <v>0</v>
      </c>
      <c r="I759" s="2">
        <v>0</v>
      </c>
      <c r="J759" s="7" t="s">
        <v>188</v>
      </c>
    </row>
    <row r="760" spans="1:10" ht="28.5">
      <c r="A760" t="s">
        <v>187</v>
      </c>
      <c r="B760" t="s">
        <v>1394</v>
      </c>
      <c r="C760" t="s">
        <v>2807</v>
      </c>
      <c r="D760" t="s">
        <v>2808</v>
      </c>
      <c r="E760" t="s">
        <v>984</v>
      </c>
      <c r="F760" t="s">
        <v>23</v>
      </c>
      <c r="G760" t="s">
        <v>1388</v>
      </c>
      <c r="H760" s="8">
        <v>0.02</v>
      </c>
      <c r="I760" s="2">
        <v>0.672624</v>
      </c>
      <c r="J760" s="7" t="s">
        <v>188</v>
      </c>
    </row>
    <row r="761" spans="1:10" ht="28.5">
      <c r="A761" t="s">
        <v>187</v>
      </c>
      <c r="B761" t="s">
        <v>1394</v>
      </c>
      <c r="C761" t="s">
        <v>2809</v>
      </c>
      <c r="D761" t="s">
        <v>2810</v>
      </c>
      <c r="E761" t="s">
        <v>733</v>
      </c>
      <c r="F761" t="s">
        <v>50</v>
      </c>
      <c r="G761" t="s">
        <v>1388</v>
      </c>
      <c r="H761" s="8">
        <v>0.04</v>
      </c>
      <c r="I761" s="2">
        <v>1.345248</v>
      </c>
      <c r="J761" s="7" t="s">
        <v>188</v>
      </c>
    </row>
    <row r="762" spans="1:10" ht="28.5">
      <c r="A762" t="s">
        <v>187</v>
      </c>
      <c r="B762" t="s">
        <v>1394</v>
      </c>
      <c r="C762" t="s">
        <v>2811</v>
      </c>
      <c r="D762" t="s">
        <v>2812</v>
      </c>
      <c r="E762" t="s">
        <v>1103</v>
      </c>
      <c r="F762" t="s">
        <v>50</v>
      </c>
      <c r="G762" t="s">
        <v>1388</v>
      </c>
      <c r="H762" s="8">
        <v>0.02</v>
      </c>
      <c r="I762" s="2">
        <v>0.672624</v>
      </c>
      <c r="J762" s="7" t="s">
        <v>188</v>
      </c>
    </row>
    <row r="763" spans="1:10" ht="28.5">
      <c r="A763" t="s">
        <v>187</v>
      </c>
      <c r="B763" t="s">
        <v>1394</v>
      </c>
      <c r="C763" t="s">
        <v>2813</v>
      </c>
      <c r="D763" t="s">
        <v>2814</v>
      </c>
      <c r="E763" t="s">
        <v>512</v>
      </c>
      <c r="F763" t="s">
        <v>38</v>
      </c>
      <c r="G763" t="s">
        <v>1388</v>
      </c>
      <c r="H763" s="8">
        <v>0.02</v>
      </c>
      <c r="I763" s="2">
        <v>0.672624</v>
      </c>
      <c r="J763" s="7" t="s">
        <v>188</v>
      </c>
    </row>
    <row r="764" spans="1:10" ht="28.5">
      <c r="A764" t="s">
        <v>187</v>
      </c>
      <c r="B764" t="s">
        <v>1394</v>
      </c>
      <c r="C764" t="s">
        <v>2815</v>
      </c>
      <c r="D764" t="s">
        <v>2816</v>
      </c>
      <c r="E764" t="s">
        <v>1032</v>
      </c>
      <c r="F764" t="s">
        <v>50</v>
      </c>
      <c r="G764" t="s">
        <v>1388</v>
      </c>
      <c r="H764" s="8">
        <v>0.02</v>
      </c>
      <c r="I764" s="2">
        <v>0.672624</v>
      </c>
      <c r="J764" s="7" t="s">
        <v>188</v>
      </c>
    </row>
    <row r="765" spans="1:10" ht="28.5">
      <c r="A765" t="s">
        <v>187</v>
      </c>
      <c r="B765" t="s">
        <v>1394</v>
      </c>
      <c r="C765" t="s">
        <v>2817</v>
      </c>
      <c r="D765" t="s">
        <v>2818</v>
      </c>
      <c r="E765" t="s">
        <v>980</v>
      </c>
      <c r="F765" t="s">
        <v>50</v>
      </c>
      <c r="G765" t="s">
        <v>1388</v>
      </c>
      <c r="H765" s="8">
        <v>0.02</v>
      </c>
      <c r="I765" s="2">
        <v>0.672624</v>
      </c>
      <c r="J765" s="7" t="s">
        <v>188</v>
      </c>
    </row>
    <row r="766" spans="1:10" ht="28.5">
      <c r="A766" t="s">
        <v>187</v>
      </c>
      <c r="B766" t="s">
        <v>1394</v>
      </c>
      <c r="C766" t="s">
        <v>2819</v>
      </c>
      <c r="D766" t="s">
        <v>2820</v>
      </c>
      <c r="E766" t="s">
        <v>1019</v>
      </c>
      <c r="F766" t="s">
        <v>27</v>
      </c>
      <c r="G766" t="s">
        <v>1388</v>
      </c>
      <c r="H766" s="8">
        <v>0.02</v>
      </c>
      <c r="I766" s="2">
        <v>0.672624</v>
      </c>
      <c r="J766" s="7" t="s">
        <v>188</v>
      </c>
    </row>
    <row r="767" spans="1:10" ht="28.5">
      <c r="A767" t="s">
        <v>187</v>
      </c>
      <c r="B767" t="s">
        <v>1394</v>
      </c>
      <c r="C767" t="s">
        <v>2821</v>
      </c>
      <c r="D767" t="s">
        <v>2822</v>
      </c>
      <c r="E767" t="s">
        <v>1226</v>
      </c>
      <c r="F767" t="s">
        <v>50</v>
      </c>
      <c r="G767" t="s">
        <v>1388</v>
      </c>
      <c r="H767" s="8">
        <v>0.01</v>
      </c>
      <c r="I767" s="2">
        <v>0.336312</v>
      </c>
      <c r="J767" s="7" t="s">
        <v>188</v>
      </c>
    </row>
    <row r="768" spans="1:10" ht="28.5">
      <c r="A768" t="s">
        <v>187</v>
      </c>
      <c r="B768" t="s">
        <v>1394</v>
      </c>
      <c r="C768" t="s">
        <v>1438</v>
      </c>
      <c r="D768" t="s">
        <v>1439</v>
      </c>
      <c r="E768" t="s">
        <v>40</v>
      </c>
      <c r="F768" t="s">
        <v>41</v>
      </c>
      <c r="G768" t="s">
        <v>1388</v>
      </c>
      <c r="H768" s="8">
        <v>0.27</v>
      </c>
      <c r="I768" s="2">
        <v>9.0804240000000007</v>
      </c>
      <c r="J768" s="7" t="s">
        <v>188</v>
      </c>
    </row>
    <row r="769" spans="1:10" ht="28.5">
      <c r="A769" t="s">
        <v>187</v>
      </c>
      <c r="B769" t="s">
        <v>1394</v>
      </c>
      <c r="C769" t="s">
        <v>2823</v>
      </c>
      <c r="D769" t="s">
        <v>2824</v>
      </c>
      <c r="E769" t="s">
        <v>1118</v>
      </c>
      <c r="F769" t="s">
        <v>263</v>
      </c>
      <c r="G769" t="s">
        <v>1388</v>
      </c>
      <c r="H769" s="8">
        <v>0.02</v>
      </c>
      <c r="I769" s="2">
        <v>0.672624</v>
      </c>
      <c r="J769" s="7" t="s">
        <v>188</v>
      </c>
    </row>
    <row r="770" spans="1:10" ht="28.5">
      <c r="A770" t="s">
        <v>187</v>
      </c>
      <c r="B770" t="s">
        <v>1394</v>
      </c>
      <c r="C770" t="s">
        <v>2825</v>
      </c>
      <c r="D770" t="s">
        <v>2826</v>
      </c>
      <c r="E770" t="s">
        <v>871</v>
      </c>
      <c r="F770" t="s">
        <v>27</v>
      </c>
      <c r="G770" t="s">
        <v>1388</v>
      </c>
      <c r="H770" s="8">
        <v>0.03</v>
      </c>
      <c r="I770" s="2">
        <v>1.0089359999999998</v>
      </c>
      <c r="J770" s="7" t="s">
        <v>188</v>
      </c>
    </row>
    <row r="771" spans="1:10" ht="28.5">
      <c r="A771" t="s">
        <v>187</v>
      </c>
      <c r="B771" t="s">
        <v>1394</v>
      </c>
      <c r="C771" t="s">
        <v>2827</v>
      </c>
      <c r="D771" t="s">
        <v>2828</v>
      </c>
      <c r="E771" t="s">
        <v>248</v>
      </c>
      <c r="F771" t="s">
        <v>23</v>
      </c>
      <c r="G771" t="s">
        <v>1388</v>
      </c>
      <c r="H771" s="8">
        <v>0.1</v>
      </c>
      <c r="I771" s="2">
        <v>3.3631200000000003</v>
      </c>
      <c r="J771" s="7" t="s">
        <v>188</v>
      </c>
    </row>
    <row r="772" spans="1:10" ht="28.5">
      <c r="A772" t="s">
        <v>187</v>
      </c>
      <c r="B772" t="s">
        <v>1394</v>
      </c>
      <c r="C772" t="s">
        <v>2829</v>
      </c>
      <c r="D772" t="s">
        <v>2830</v>
      </c>
      <c r="E772" t="s">
        <v>850</v>
      </c>
      <c r="F772" t="s">
        <v>108</v>
      </c>
      <c r="G772" t="s">
        <v>1388</v>
      </c>
      <c r="H772" s="8">
        <v>0.03</v>
      </c>
      <c r="I772" s="2">
        <v>1.0089359999999998</v>
      </c>
      <c r="J772" s="7" t="s">
        <v>188</v>
      </c>
    </row>
    <row r="773" spans="1:10" ht="28.5">
      <c r="A773" t="s">
        <v>187</v>
      </c>
      <c r="B773" t="s">
        <v>1394</v>
      </c>
      <c r="C773" t="s">
        <v>2831</v>
      </c>
      <c r="D773" t="s">
        <v>2832</v>
      </c>
      <c r="E773" t="s">
        <v>357</v>
      </c>
      <c r="F773" t="s">
        <v>50</v>
      </c>
      <c r="G773" t="s">
        <v>1388</v>
      </c>
      <c r="H773" s="8">
        <v>0.12</v>
      </c>
      <c r="I773" s="2">
        <v>4.0357439999999993</v>
      </c>
      <c r="J773" s="7" t="s">
        <v>188</v>
      </c>
    </row>
    <row r="774" spans="1:10" ht="28.5">
      <c r="A774" t="s">
        <v>187</v>
      </c>
      <c r="B774" t="s">
        <v>1394</v>
      </c>
      <c r="C774" t="s">
        <v>2829</v>
      </c>
      <c r="D774" t="s">
        <v>2833</v>
      </c>
      <c r="E774" t="s">
        <v>1012</v>
      </c>
      <c r="F774" t="s">
        <v>23</v>
      </c>
      <c r="G774" t="s">
        <v>1388</v>
      </c>
      <c r="H774" s="8">
        <v>0.02</v>
      </c>
      <c r="I774" s="2">
        <v>0.672624</v>
      </c>
      <c r="J774" s="7" t="s">
        <v>188</v>
      </c>
    </row>
    <row r="775" spans="1:10" ht="28.5">
      <c r="A775" t="s">
        <v>187</v>
      </c>
      <c r="B775" t="s">
        <v>1394</v>
      </c>
      <c r="C775" t="s">
        <v>2834</v>
      </c>
      <c r="D775" t="s">
        <v>2835</v>
      </c>
      <c r="E775" t="s">
        <v>1097</v>
      </c>
      <c r="F775" t="s">
        <v>25</v>
      </c>
      <c r="G775" t="s">
        <v>1388</v>
      </c>
      <c r="H775" s="8">
        <v>0.02</v>
      </c>
      <c r="I775" s="2">
        <v>0.672624</v>
      </c>
      <c r="J775" s="7" t="s">
        <v>188</v>
      </c>
    </row>
    <row r="776" spans="1:10" ht="28.5">
      <c r="A776" t="s">
        <v>187</v>
      </c>
      <c r="B776" t="s">
        <v>1394</v>
      </c>
      <c r="C776" t="s">
        <v>2836</v>
      </c>
      <c r="D776" t="s">
        <v>2837</v>
      </c>
      <c r="E776" t="s">
        <v>580</v>
      </c>
      <c r="F776" t="s">
        <v>23</v>
      </c>
      <c r="G776" t="s">
        <v>1388</v>
      </c>
      <c r="H776" s="8">
        <v>0.06</v>
      </c>
      <c r="I776" s="2">
        <v>2.0178719999999997</v>
      </c>
      <c r="J776" s="7" t="s">
        <v>188</v>
      </c>
    </row>
    <row r="777" spans="1:10" ht="28.5">
      <c r="A777" t="s">
        <v>187</v>
      </c>
      <c r="B777" t="s">
        <v>1394</v>
      </c>
      <c r="C777" t="s">
        <v>2838</v>
      </c>
      <c r="D777" t="s">
        <v>2839</v>
      </c>
      <c r="E777" t="s">
        <v>601</v>
      </c>
      <c r="F777" t="s">
        <v>33</v>
      </c>
      <c r="G777" t="s">
        <v>1388</v>
      </c>
      <c r="H777" s="8">
        <v>0.06</v>
      </c>
      <c r="I777" s="2">
        <v>2.0178719999999997</v>
      </c>
      <c r="J777" s="7" t="s">
        <v>188</v>
      </c>
    </row>
    <row r="778" spans="1:10" ht="28.5">
      <c r="A778" t="s">
        <v>187</v>
      </c>
      <c r="B778" t="s">
        <v>1394</v>
      </c>
      <c r="C778" t="s">
        <v>2840</v>
      </c>
      <c r="D778" t="s">
        <v>2841</v>
      </c>
      <c r="E778" t="s">
        <v>114</v>
      </c>
      <c r="F778" t="s">
        <v>108</v>
      </c>
      <c r="G778" t="s">
        <v>1388</v>
      </c>
      <c r="H778" s="8">
        <v>0.11</v>
      </c>
      <c r="I778" s="2">
        <v>3.6994319999999998</v>
      </c>
      <c r="J778" s="7" t="s">
        <v>188</v>
      </c>
    </row>
    <row r="779" spans="1:10" ht="28.5">
      <c r="A779" t="s">
        <v>187</v>
      </c>
      <c r="B779" t="s">
        <v>1394</v>
      </c>
      <c r="C779" t="s">
        <v>2842</v>
      </c>
      <c r="D779" t="s">
        <v>2843</v>
      </c>
      <c r="E779" t="s">
        <v>1364</v>
      </c>
      <c r="F779" t="s">
        <v>108</v>
      </c>
      <c r="G779" t="s">
        <v>1388</v>
      </c>
      <c r="H779" s="8">
        <v>0</v>
      </c>
      <c r="I779" s="2">
        <v>0</v>
      </c>
      <c r="J779" s="7" t="s">
        <v>188</v>
      </c>
    </row>
    <row r="780" spans="1:10" ht="28.5">
      <c r="A780" t="s">
        <v>187</v>
      </c>
      <c r="B780" t="s">
        <v>1394</v>
      </c>
      <c r="C780" t="s">
        <v>2844</v>
      </c>
      <c r="D780" t="s">
        <v>2845</v>
      </c>
      <c r="E780" t="s">
        <v>318</v>
      </c>
      <c r="F780" t="s">
        <v>38</v>
      </c>
      <c r="G780" t="s">
        <v>1388</v>
      </c>
      <c r="H780" s="8">
        <v>0.14000000000000001</v>
      </c>
      <c r="I780" s="2">
        <v>4.7083680000000001</v>
      </c>
      <c r="J780" s="7" t="s">
        <v>188</v>
      </c>
    </row>
    <row r="781" spans="1:10" ht="28.5">
      <c r="A781" t="s">
        <v>187</v>
      </c>
      <c r="B781" t="s">
        <v>1394</v>
      </c>
      <c r="C781" t="s">
        <v>2846</v>
      </c>
      <c r="D781" t="s">
        <v>2847</v>
      </c>
      <c r="E781" t="s">
        <v>875</v>
      </c>
      <c r="F781" t="s">
        <v>23</v>
      </c>
      <c r="G781" t="s">
        <v>1388</v>
      </c>
      <c r="H781" s="8">
        <v>0.03</v>
      </c>
      <c r="I781" s="2">
        <v>1.0089359999999998</v>
      </c>
      <c r="J781" s="7" t="s">
        <v>188</v>
      </c>
    </row>
    <row r="782" spans="1:10" ht="28.5">
      <c r="A782" t="s">
        <v>187</v>
      </c>
      <c r="B782" t="s">
        <v>1394</v>
      </c>
      <c r="C782" t="s">
        <v>2848</v>
      </c>
      <c r="D782" t="s">
        <v>2849</v>
      </c>
      <c r="E782" t="s">
        <v>1147</v>
      </c>
      <c r="F782" t="s">
        <v>38</v>
      </c>
      <c r="G782" t="s">
        <v>1388</v>
      </c>
      <c r="H782" s="8">
        <v>0.01</v>
      </c>
      <c r="I782" s="2">
        <v>0.336312</v>
      </c>
      <c r="J782" s="7" t="s">
        <v>188</v>
      </c>
    </row>
    <row r="783" spans="1:10" ht="28.5">
      <c r="A783" t="s">
        <v>187</v>
      </c>
      <c r="B783" t="s">
        <v>1394</v>
      </c>
      <c r="C783" t="s">
        <v>2850</v>
      </c>
      <c r="D783" t="s">
        <v>2851</v>
      </c>
      <c r="E783" t="s">
        <v>648</v>
      </c>
      <c r="F783" t="s">
        <v>25</v>
      </c>
      <c r="G783" t="s">
        <v>1388</v>
      </c>
      <c r="H783" s="8">
        <v>0.05</v>
      </c>
      <c r="I783" s="2">
        <v>1.6815600000000002</v>
      </c>
      <c r="J783" s="7" t="s">
        <v>188</v>
      </c>
    </row>
    <row r="784" spans="1:10" ht="28.5">
      <c r="A784" t="s">
        <v>187</v>
      </c>
      <c r="B784" t="s">
        <v>1394</v>
      </c>
      <c r="C784" t="s">
        <v>2852</v>
      </c>
      <c r="D784" t="s">
        <v>2853</v>
      </c>
      <c r="E784" t="s">
        <v>1337</v>
      </c>
      <c r="F784" t="s">
        <v>23</v>
      </c>
      <c r="G784" t="s">
        <v>1388</v>
      </c>
      <c r="H784" s="8">
        <v>0</v>
      </c>
      <c r="I784" s="2">
        <v>0</v>
      </c>
      <c r="J784" s="7" t="s">
        <v>188</v>
      </c>
    </row>
    <row r="785" spans="1:10" ht="28.5">
      <c r="A785" t="s">
        <v>187</v>
      </c>
      <c r="B785" t="s">
        <v>1394</v>
      </c>
      <c r="C785" t="s">
        <v>2854</v>
      </c>
      <c r="D785" t="s">
        <v>2855</v>
      </c>
      <c r="E785" t="s">
        <v>1303</v>
      </c>
      <c r="F785" t="s">
        <v>41</v>
      </c>
      <c r="G785" t="s">
        <v>1388</v>
      </c>
      <c r="H785" s="8">
        <v>0.01</v>
      </c>
      <c r="I785" s="2">
        <v>0.336312</v>
      </c>
      <c r="J785" s="7" t="s">
        <v>188</v>
      </c>
    </row>
    <row r="786" spans="1:10" ht="28.5">
      <c r="A786" t="s">
        <v>187</v>
      </c>
      <c r="B786" t="s">
        <v>1394</v>
      </c>
      <c r="C786" t="s">
        <v>2856</v>
      </c>
      <c r="D786" t="s">
        <v>2857</v>
      </c>
      <c r="E786" t="s">
        <v>1109</v>
      </c>
      <c r="F786" t="s">
        <v>41</v>
      </c>
      <c r="G786" t="s">
        <v>1388</v>
      </c>
      <c r="H786" s="8">
        <v>0.02</v>
      </c>
      <c r="I786" s="2">
        <v>0.672624</v>
      </c>
      <c r="J786" s="7" t="s">
        <v>188</v>
      </c>
    </row>
    <row r="787" spans="1:10" ht="28.5">
      <c r="A787" t="s">
        <v>187</v>
      </c>
      <c r="B787" t="s">
        <v>1394</v>
      </c>
      <c r="C787" t="s">
        <v>1440</v>
      </c>
      <c r="D787" t="s">
        <v>95</v>
      </c>
      <c r="E787" t="s">
        <v>95</v>
      </c>
      <c r="F787" t="s">
        <v>38</v>
      </c>
      <c r="G787" t="s">
        <v>1388</v>
      </c>
      <c r="H787" s="8">
        <v>0.16</v>
      </c>
      <c r="I787" s="2">
        <v>5.380992</v>
      </c>
      <c r="J787" s="7" t="s">
        <v>188</v>
      </c>
    </row>
    <row r="788" spans="1:10" ht="28.5">
      <c r="A788" t="s">
        <v>187</v>
      </c>
      <c r="B788" t="s">
        <v>1394</v>
      </c>
      <c r="C788" t="s">
        <v>2858</v>
      </c>
      <c r="D788" t="s">
        <v>2859</v>
      </c>
      <c r="E788" t="s">
        <v>830</v>
      </c>
      <c r="F788" t="s">
        <v>27</v>
      </c>
      <c r="G788" t="s">
        <v>1388</v>
      </c>
      <c r="H788" s="8">
        <v>0.01</v>
      </c>
      <c r="I788" s="2">
        <v>0.336312</v>
      </c>
      <c r="J788" s="7" t="s">
        <v>188</v>
      </c>
    </row>
    <row r="789" spans="1:10" ht="28.5">
      <c r="A789" t="s">
        <v>187</v>
      </c>
      <c r="B789" t="s">
        <v>1394</v>
      </c>
      <c r="C789" t="s">
        <v>2860</v>
      </c>
      <c r="D789" t="s">
        <v>2861</v>
      </c>
      <c r="E789" t="s">
        <v>1214</v>
      </c>
      <c r="F789" t="s">
        <v>41</v>
      </c>
      <c r="G789" t="s">
        <v>1388</v>
      </c>
      <c r="H789" s="8">
        <v>0.01</v>
      </c>
      <c r="I789" s="2">
        <v>0.336312</v>
      </c>
      <c r="J789" s="7" t="s">
        <v>188</v>
      </c>
    </row>
    <row r="790" spans="1:10" ht="28.5">
      <c r="A790" t="s">
        <v>187</v>
      </c>
      <c r="B790" t="s">
        <v>1394</v>
      </c>
      <c r="C790" t="s">
        <v>2862</v>
      </c>
      <c r="D790" t="s">
        <v>2863</v>
      </c>
      <c r="E790" t="s">
        <v>732</v>
      </c>
      <c r="F790" t="s">
        <v>41</v>
      </c>
      <c r="G790" t="s">
        <v>1388</v>
      </c>
      <c r="H790" s="8">
        <v>0.02</v>
      </c>
      <c r="I790" s="2">
        <v>0.672624</v>
      </c>
      <c r="J790" s="7" t="s">
        <v>188</v>
      </c>
    </row>
    <row r="791" spans="1:10" ht="28.5">
      <c r="A791" t="s">
        <v>187</v>
      </c>
      <c r="B791" t="s">
        <v>1394</v>
      </c>
      <c r="C791" t="s">
        <v>2864</v>
      </c>
      <c r="D791" t="s">
        <v>2865</v>
      </c>
      <c r="E791" t="s">
        <v>960</v>
      </c>
      <c r="F791" t="s">
        <v>23</v>
      </c>
      <c r="G791" t="s">
        <v>1388</v>
      </c>
      <c r="H791" s="8">
        <v>0.01</v>
      </c>
      <c r="I791" s="2">
        <v>0.336312</v>
      </c>
      <c r="J791" s="7" t="s">
        <v>188</v>
      </c>
    </row>
    <row r="792" spans="1:10" ht="28.5">
      <c r="A792" t="s">
        <v>187</v>
      </c>
      <c r="B792" t="s">
        <v>1394</v>
      </c>
      <c r="C792" t="s">
        <v>2866</v>
      </c>
      <c r="D792" t="s">
        <v>2867</v>
      </c>
      <c r="E792" t="s">
        <v>423</v>
      </c>
      <c r="F792" t="s">
        <v>23</v>
      </c>
      <c r="G792" t="s">
        <v>1388</v>
      </c>
      <c r="H792" s="8">
        <v>0.05</v>
      </c>
      <c r="I792" s="2">
        <v>1.6815600000000002</v>
      </c>
      <c r="J792" s="7" t="s">
        <v>188</v>
      </c>
    </row>
    <row r="793" spans="1:10" ht="28.5">
      <c r="A793" t="s">
        <v>187</v>
      </c>
      <c r="B793" t="s">
        <v>1394</v>
      </c>
      <c r="C793" t="s">
        <v>2868</v>
      </c>
      <c r="D793" t="s">
        <v>2869</v>
      </c>
      <c r="E793" t="s">
        <v>519</v>
      </c>
      <c r="F793" t="s">
        <v>23</v>
      </c>
      <c r="G793" t="s">
        <v>1388</v>
      </c>
      <c r="H793" s="8">
        <v>7.0000000000000007E-2</v>
      </c>
      <c r="I793" s="2">
        <v>2.3541840000000001</v>
      </c>
      <c r="J793" s="7" t="s">
        <v>188</v>
      </c>
    </row>
    <row r="794" spans="1:10" ht="28.5">
      <c r="A794" t="s">
        <v>187</v>
      </c>
      <c r="B794" t="s">
        <v>1394</v>
      </c>
      <c r="C794" t="s">
        <v>2870</v>
      </c>
      <c r="D794" t="s">
        <v>2871</v>
      </c>
      <c r="E794" t="s">
        <v>450</v>
      </c>
      <c r="F794" t="s">
        <v>38</v>
      </c>
      <c r="G794" t="s">
        <v>1388</v>
      </c>
      <c r="H794" s="8">
        <v>0.02</v>
      </c>
      <c r="I794" s="2">
        <v>0.672624</v>
      </c>
      <c r="J794" s="7" t="s">
        <v>188</v>
      </c>
    </row>
    <row r="795" spans="1:10" ht="28.5">
      <c r="A795" t="s">
        <v>187</v>
      </c>
      <c r="B795" t="s">
        <v>1394</v>
      </c>
      <c r="C795" t="s">
        <v>2872</v>
      </c>
      <c r="D795" t="s">
        <v>2873</v>
      </c>
      <c r="E795" t="s">
        <v>1231</v>
      </c>
      <c r="F795" t="s">
        <v>108</v>
      </c>
      <c r="G795" t="s">
        <v>1388</v>
      </c>
      <c r="H795" s="8">
        <v>0.01</v>
      </c>
      <c r="I795" s="2">
        <v>0.336312</v>
      </c>
      <c r="J795" s="7" t="s">
        <v>188</v>
      </c>
    </row>
    <row r="796" spans="1:10" ht="28.5">
      <c r="A796" t="s">
        <v>187</v>
      </c>
      <c r="B796" t="s">
        <v>1394</v>
      </c>
      <c r="C796" t="s">
        <v>2874</v>
      </c>
      <c r="D796" t="s">
        <v>2875</v>
      </c>
      <c r="E796" t="s">
        <v>831</v>
      </c>
      <c r="F796" t="s">
        <v>50</v>
      </c>
      <c r="G796" t="s">
        <v>1388</v>
      </c>
      <c r="H796" s="8">
        <v>0.01</v>
      </c>
      <c r="I796" s="2">
        <v>0.336312</v>
      </c>
      <c r="J796" s="7" t="s">
        <v>188</v>
      </c>
    </row>
    <row r="797" spans="1:10" ht="28.5">
      <c r="A797" t="s">
        <v>187</v>
      </c>
      <c r="B797" t="s">
        <v>1394</v>
      </c>
      <c r="C797" t="s">
        <v>2876</v>
      </c>
      <c r="D797" t="s">
        <v>2877</v>
      </c>
      <c r="E797" t="s">
        <v>295</v>
      </c>
      <c r="F797" t="s">
        <v>23</v>
      </c>
      <c r="G797" t="s">
        <v>1388</v>
      </c>
      <c r="H797" s="8">
        <v>0.08</v>
      </c>
      <c r="I797" s="2">
        <v>2.690496</v>
      </c>
      <c r="J797" s="7" t="s">
        <v>188</v>
      </c>
    </row>
    <row r="798" spans="1:10" ht="28.5">
      <c r="A798" t="s">
        <v>187</v>
      </c>
      <c r="B798" t="s">
        <v>1394</v>
      </c>
      <c r="C798" t="s">
        <v>2878</v>
      </c>
      <c r="D798" t="s">
        <v>2879</v>
      </c>
      <c r="E798" t="s">
        <v>1329</v>
      </c>
      <c r="F798" t="s">
        <v>23</v>
      </c>
      <c r="G798" t="s">
        <v>1388</v>
      </c>
      <c r="H798" s="8">
        <v>0.01</v>
      </c>
      <c r="I798" s="2">
        <v>0.336312</v>
      </c>
      <c r="J798" s="7" t="s">
        <v>188</v>
      </c>
    </row>
    <row r="799" spans="1:10" ht="28.5">
      <c r="A799" t="s">
        <v>187</v>
      </c>
      <c r="B799" t="s">
        <v>1394</v>
      </c>
      <c r="C799" t="s">
        <v>2880</v>
      </c>
      <c r="D799" t="s">
        <v>2881</v>
      </c>
      <c r="E799" t="s">
        <v>398</v>
      </c>
      <c r="F799" t="s">
        <v>124</v>
      </c>
      <c r="G799" t="s">
        <v>1388</v>
      </c>
      <c r="H799" s="8">
        <v>0.1</v>
      </c>
      <c r="I799" s="2">
        <v>3.3631200000000003</v>
      </c>
      <c r="J799" s="7" t="s">
        <v>188</v>
      </c>
    </row>
    <row r="800" spans="1:10" ht="28.5">
      <c r="A800" t="s">
        <v>187</v>
      </c>
      <c r="B800" t="s">
        <v>1394</v>
      </c>
      <c r="C800" t="s">
        <v>2882</v>
      </c>
      <c r="D800" t="s">
        <v>2883</v>
      </c>
      <c r="E800" t="s">
        <v>894</v>
      </c>
      <c r="F800" t="s">
        <v>23</v>
      </c>
      <c r="G800" t="s">
        <v>1388</v>
      </c>
      <c r="H800" s="8">
        <v>0.03</v>
      </c>
      <c r="I800" s="2">
        <v>1.0089359999999998</v>
      </c>
      <c r="J800" s="7" t="s">
        <v>188</v>
      </c>
    </row>
    <row r="801" spans="1:10" ht="28.5">
      <c r="A801" t="s">
        <v>187</v>
      </c>
      <c r="B801" t="s">
        <v>1394</v>
      </c>
      <c r="C801" t="s">
        <v>2884</v>
      </c>
      <c r="D801" t="s">
        <v>2885</v>
      </c>
      <c r="E801" t="s">
        <v>934</v>
      </c>
      <c r="F801" t="s">
        <v>108</v>
      </c>
      <c r="G801" t="s">
        <v>1388</v>
      </c>
      <c r="H801" s="8">
        <v>0.01</v>
      </c>
      <c r="I801" s="2">
        <v>0.336312</v>
      </c>
      <c r="J801" s="7" t="s">
        <v>188</v>
      </c>
    </row>
    <row r="802" spans="1:10" ht="28.5">
      <c r="A802" t="s">
        <v>187</v>
      </c>
      <c r="B802" t="s">
        <v>1394</v>
      </c>
      <c r="C802" t="s">
        <v>2886</v>
      </c>
      <c r="D802" t="s">
        <v>2887</v>
      </c>
      <c r="E802" t="s">
        <v>424</v>
      </c>
      <c r="F802" t="s">
        <v>38</v>
      </c>
      <c r="G802" t="s">
        <v>1388</v>
      </c>
      <c r="H802" s="8">
        <v>0.09</v>
      </c>
      <c r="I802" s="2">
        <v>3.0268079999999999</v>
      </c>
      <c r="J802" s="7" t="s">
        <v>188</v>
      </c>
    </row>
    <row r="803" spans="1:10" ht="28.5">
      <c r="A803" t="s">
        <v>187</v>
      </c>
      <c r="B803" t="s">
        <v>1394</v>
      </c>
      <c r="C803" t="s">
        <v>2888</v>
      </c>
      <c r="D803" t="s">
        <v>2889</v>
      </c>
      <c r="E803" t="s">
        <v>405</v>
      </c>
      <c r="F803" t="s">
        <v>23</v>
      </c>
      <c r="G803" t="s">
        <v>1388</v>
      </c>
      <c r="H803" s="8">
        <v>0.1</v>
      </c>
      <c r="I803" s="2">
        <v>3.3631200000000003</v>
      </c>
      <c r="J803" s="7" t="s">
        <v>188</v>
      </c>
    </row>
    <row r="804" spans="1:10" ht="28.5">
      <c r="A804" t="s">
        <v>187</v>
      </c>
      <c r="B804" t="s">
        <v>1394</v>
      </c>
      <c r="C804" t="s">
        <v>2890</v>
      </c>
      <c r="D804" t="s">
        <v>2891</v>
      </c>
      <c r="E804" t="s">
        <v>769</v>
      </c>
      <c r="F804" t="s">
        <v>41</v>
      </c>
      <c r="G804" t="s">
        <v>1388</v>
      </c>
      <c r="H804" s="8">
        <v>0.04</v>
      </c>
      <c r="I804" s="2">
        <v>1.345248</v>
      </c>
      <c r="J804" s="7" t="s">
        <v>188</v>
      </c>
    </row>
    <row r="805" spans="1:10" ht="28.5">
      <c r="A805" t="s">
        <v>187</v>
      </c>
      <c r="B805" t="s">
        <v>1394</v>
      </c>
      <c r="C805" t="s">
        <v>2892</v>
      </c>
      <c r="D805" t="s">
        <v>2893</v>
      </c>
      <c r="E805" t="s">
        <v>274</v>
      </c>
      <c r="F805" t="s">
        <v>50</v>
      </c>
      <c r="G805" t="s">
        <v>1388</v>
      </c>
      <c r="H805" s="8">
        <v>0.05</v>
      </c>
      <c r="I805" s="2">
        <v>1.6815600000000002</v>
      </c>
      <c r="J805" s="7" t="s">
        <v>188</v>
      </c>
    </row>
    <row r="806" spans="1:10" ht="28.5">
      <c r="A806" t="s">
        <v>187</v>
      </c>
      <c r="B806" t="s">
        <v>1394</v>
      </c>
      <c r="C806" t="s">
        <v>2894</v>
      </c>
      <c r="D806" t="s">
        <v>2895</v>
      </c>
      <c r="E806" t="s">
        <v>272</v>
      </c>
      <c r="F806" t="s">
        <v>25</v>
      </c>
      <c r="G806" t="s">
        <v>1388</v>
      </c>
      <c r="H806" s="8">
        <v>0.18</v>
      </c>
      <c r="I806" s="2">
        <v>6.0536159999999999</v>
      </c>
      <c r="J806" s="7" t="s">
        <v>188</v>
      </c>
    </row>
    <row r="807" spans="1:10" ht="28.5">
      <c r="A807" t="s">
        <v>187</v>
      </c>
      <c r="B807" t="s">
        <v>1394</v>
      </c>
      <c r="C807" t="s">
        <v>2896</v>
      </c>
      <c r="D807" t="s">
        <v>2897</v>
      </c>
      <c r="E807" t="s">
        <v>1044</v>
      </c>
      <c r="F807" t="s">
        <v>50</v>
      </c>
      <c r="G807" t="s">
        <v>1388</v>
      </c>
      <c r="H807" s="8">
        <v>0.02</v>
      </c>
      <c r="I807" s="2">
        <v>0.672624</v>
      </c>
      <c r="J807" s="7" t="s">
        <v>188</v>
      </c>
    </row>
    <row r="808" spans="1:10" ht="28.5">
      <c r="A808" t="s">
        <v>187</v>
      </c>
      <c r="B808" t="s">
        <v>1394</v>
      </c>
      <c r="C808" t="s">
        <v>2898</v>
      </c>
      <c r="D808" t="s">
        <v>2899</v>
      </c>
      <c r="E808" t="s">
        <v>990</v>
      </c>
      <c r="F808" t="s">
        <v>50</v>
      </c>
      <c r="G808" t="s">
        <v>1388</v>
      </c>
      <c r="H808" s="8">
        <v>0.02</v>
      </c>
      <c r="I808" s="2">
        <v>0.672624</v>
      </c>
      <c r="J808" s="7" t="s">
        <v>188</v>
      </c>
    </row>
    <row r="809" spans="1:10" ht="28.5">
      <c r="A809" t="s">
        <v>187</v>
      </c>
      <c r="B809" t="s">
        <v>1394</v>
      </c>
      <c r="C809" t="s">
        <v>1441</v>
      </c>
      <c r="D809" t="s">
        <v>1442</v>
      </c>
      <c r="E809" t="s">
        <v>46</v>
      </c>
      <c r="F809" t="s">
        <v>23</v>
      </c>
      <c r="G809" t="s">
        <v>1388</v>
      </c>
      <c r="H809" s="8">
        <v>0.5</v>
      </c>
      <c r="I809" s="2">
        <v>16.8156</v>
      </c>
      <c r="J809" s="7" t="s">
        <v>188</v>
      </c>
    </row>
    <row r="810" spans="1:10" ht="28.5">
      <c r="A810" t="s">
        <v>187</v>
      </c>
      <c r="B810" t="s">
        <v>1394</v>
      </c>
      <c r="C810" t="s">
        <v>2900</v>
      </c>
      <c r="D810" t="s">
        <v>2901</v>
      </c>
      <c r="E810" t="s">
        <v>1150</v>
      </c>
      <c r="F810" t="s">
        <v>108</v>
      </c>
      <c r="G810" t="s">
        <v>1388</v>
      </c>
      <c r="H810" s="8">
        <v>0.01</v>
      </c>
      <c r="I810" s="2">
        <v>0.336312</v>
      </c>
      <c r="J810" s="7" t="s">
        <v>188</v>
      </c>
    </row>
    <row r="811" spans="1:10" ht="28.5">
      <c r="A811" t="s">
        <v>187</v>
      </c>
      <c r="B811" t="s">
        <v>1394</v>
      </c>
      <c r="C811" t="s">
        <v>1443</v>
      </c>
      <c r="D811" t="s">
        <v>1444</v>
      </c>
      <c r="E811" t="s">
        <v>51</v>
      </c>
      <c r="F811" t="s">
        <v>38</v>
      </c>
      <c r="G811" t="s">
        <v>1388</v>
      </c>
      <c r="H811" s="8">
        <v>0.22</v>
      </c>
      <c r="I811" s="2">
        <v>7.3988639999999997</v>
      </c>
      <c r="J811" s="7" t="s">
        <v>188</v>
      </c>
    </row>
    <row r="812" spans="1:10" ht="28.5">
      <c r="A812" t="s">
        <v>187</v>
      </c>
      <c r="B812" t="s">
        <v>1394</v>
      </c>
      <c r="C812" t="s">
        <v>2902</v>
      </c>
      <c r="D812" t="s">
        <v>2903</v>
      </c>
      <c r="E812" t="s">
        <v>356</v>
      </c>
      <c r="F812" t="s">
        <v>33</v>
      </c>
      <c r="G812" t="s">
        <v>1388</v>
      </c>
      <c r="H812" s="8">
        <v>0.12</v>
      </c>
      <c r="I812" s="2">
        <v>4.0357439999999993</v>
      </c>
      <c r="J812" s="7" t="s">
        <v>188</v>
      </c>
    </row>
    <row r="813" spans="1:10" ht="28.5">
      <c r="A813" t="s">
        <v>187</v>
      </c>
      <c r="B813" t="s">
        <v>1394</v>
      </c>
      <c r="C813" t="s">
        <v>2904</v>
      </c>
      <c r="D813" t="s">
        <v>2905</v>
      </c>
      <c r="E813" t="s">
        <v>1244</v>
      </c>
      <c r="F813" t="s">
        <v>23</v>
      </c>
      <c r="G813" t="s">
        <v>1388</v>
      </c>
      <c r="H813" s="8">
        <v>0.01</v>
      </c>
      <c r="I813" s="2">
        <v>0.336312</v>
      </c>
      <c r="J813" s="7" t="s">
        <v>188</v>
      </c>
    </row>
    <row r="814" spans="1:10" ht="28.5">
      <c r="A814" t="s">
        <v>187</v>
      </c>
      <c r="B814" t="s">
        <v>1394</v>
      </c>
      <c r="C814" t="s">
        <v>2906</v>
      </c>
      <c r="D814" t="s">
        <v>2907</v>
      </c>
      <c r="E814" t="s">
        <v>1086</v>
      </c>
      <c r="F814" t="s">
        <v>33</v>
      </c>
      <c r="G814" t="s">
        <v>1388</v>
      </c>
      <c r="H814" s="8">
        <v>0.02</v>
      </c>
      <c r="I814" s="2">
        <v>0.672624</v>
      </c>
      <c r="J814" s="7" t="s">
        <v>188</v>
      </c>
    </row>
    <row r="815" spans="1:10" ht="28.5">
      <c r="A815" t="s">
        <v>187</v>
      </c>
      <c r="B815" t="s">
        <v>1394</v>
      </c>
      <c r="C815" t="s">
        <v>2908</v>
      </c>
      <c r="D815" t="s">
        <v>2909</v>
      </c>
      <c r="E815" t="s">
        <v>238</v>
      </c>
      <c r="F815" t="s">
        <v>33</v>
      </c>
      <c r="G815" t="s">
        <v>1388</v>
      </c>
      <c r="H815" s="8">
        <v>0.12</v>
      </c>
      <c r="I815" s="2">
        <v>4.0357439999999993</v>
      </c>
      <c r="J815" s="7" t="s">
        <v>188</v>
      </c>
    </row>
    <row r="816" spans="1:10" ht="28.5">
      <c r="A816" t="s">
        <v>187</v>
      </c>
      <c r="B816" t="s">
        <v>1394</v>
      </c>
      <c r="C816" t="s">
        <v>2910</v>
      </c>
      <c r="D816" t="s">
        <v>2911</v>
      </c>
      <c r="E816" t="s">
        <v>965</v>
      </c>
      <c r="F816" t="s">
        <v>50</v>
      </c>
      <c r="G816" t="s">
        <v>1388</v>
      </c>
      <c r="H816" s="8">
        <v>0.01</v>
      </c>
      <c r="I816" s="2">
        <v>0.336312</v>
      </c>
      <c r="J816" s="7" t="s">
        <v>188</v>
      </c>
    </row>
    <row r="817" spans="1:10" ht="28.5">
      <c r="A817" t="s">
        <v>187</v>
      </c>
      <c r="B817" t="s">
        <v>1394</v>
      </c>
      <c r="C817" t="s">
        <v>2912</v>
      </c>
      <c r="D817" t="s">
        <v>2913</v>
      </c>
      <c r="E817" t="s">
        <v>434</v>
      </c>
      <c r="F817" t="s">
        <v>38</v>
      </c>
      <c r="G817" t="s">
        <v>1388</v>
      </c>
      <c r="H817" s="8">
        <v>0.09</v>
      </c>
      <c r="I817" s="2">
        <v>3.0268079999999999</v>
      </c>
      <c r="J817" s="7" t="s">
        <v>188</v>
      </c>
    </row>
    <row r="818" spans="1:10" ht="28.5">
      <c r="A818" t="s">
        <v>187</v>
      </c>
      <c r="B818" t="s">
        <v>1394</v>
      </c>
      <c r="C818" t="s">
        <v>2914</v>
      </c>
      <c r="D818" t="s">
        <v>2915</v>
      </c>
      <c r="E818" t="s">
        <v>228</v>
      </c>
      <c r="F818" t="s">
        <v>38</v>
      </c>
      <c r="G818" t="s">
        <v>1388</v>
      </c>
      <c r="H818" s="8">
        <v>0.04</v>
      </c>
      <c r="I818" s="2">
        <v>1.345248</v>
      </c>
      <c r="J818" s="7" t="s">
        <v>188</v>
      </c>
    </row>
    <row r="819" spans="1:10" ht="28.5">
      <c r="A819" t="s">
        <v>187</v>
      </c>
      <c r="B819" t="s">
        <v>1394</v>
      </c>
      <c r="C819" t="s">
        <v>1445</v>
      </c>
      <c r="D819" t="s">
        <v>2916</v>
      </c>
      <c r="E819" t="s">
        <v>627</v>
      </c>
      <c r="F819" t="s">
        <v>33</v>
      </c>
      <c r="G819" t="s">
        <v>1388</v>
      </c>
      <c r="H819" s="8">
        <v>0.02</v>
      </c>
      <c r="I819" s="2">
        <v>0.672624</v>
      </c>
      <c r="J819" s="7" t="s">
        <v>188</v>
      </c>
    </row>
    <row r="820" spans="1:10" ht="28.5">
      <c r="A820" t="s">
        <v>187</v>
      </c>
      <c r="B820" t="s">
        <v>1394</v>
      </c>
      <c r="C820" t="s">
        <v>1445</v>
      </c>
      <c r="D820" t="s">
        <v>1446</v>
      </c>
      <c r="E820" t="s">
        <v>135</v>
      </c>
      <c r="F820" t="s">
        <v>33</v>
      </c>
      <c r="G820" t="s">
        <v>1388</v>
      </c>
      <c r="H820" s="8">
        <v>0.35</v>
      </c>
      <c r="I820" s="2">
        <v>11.770919999999998</v>
      </c>
      <c r="J820" s="7" t="s">
        <v>188</v>
      </c>
    </row>
    <row r="821" spans="1:10" ht="28.5">
      <c r="A821" t="s">
        <v>187</v>
      </c>
      <c r="B821" t="s">
        <v>1394</v>
      </c>
      <c r="C821" t="s">
        <v>2917</v>
      </c>
      <c r="D821" t="s">
        <v>2918</v>
      </c>
      <c r="E821" t="s">
        <v>1361</v>
      </c>
      <c r="F821" t="s">
        <v>253</v>
      </c>
      <c r="G821" t="s">
        <v>1388</v>
      </c>
      <c r="H821" s="8">
        <v>0</v>
      </c>
      <c r="I821" s="2">
        <v>0</v>
      </c>
      <c r="J821" s="7" t="s">
        <v>188</v>
      </c>
    </row>
    <row r="822" spans="1:10" ht="28.5">
      <c r="A822" t="s">
        <v>187</v>
      </c>
      <c r="B822" t="s">
        <v>1394</v>
      </c>
      <c r="C822" t="s">
        <v>1447</v>
      </c>
      <c r="D822" t="s">
        <v>1448</v>
      </c>
      <c r="E822" t="s">
        <v>92</v>
      </c>
      <c r="F822" t="s">
        <v>27</v>
      </c>
      <c r="G822" t="s">
        <v>1388</v>
      </c>
      <c r="H822" s="8">
        <v>1.62</v>
      </c>
      <c r="I822" s="2">
        <v>54.482543999999997</v>
      </c>
      <c r="J822" s="7" t="s">
        <v>188</v>
      </c>
    </row>
    <row r="823" spans="1:10" ht="28.5">
      <c r="A823" t="s">
        <v>187</v>
      </c>
      <c r="B823" t="s">
        <v>1394</v>
      </c>
      <c r="C823" t="s">
        <v>2919</v>
      </c>
      <c r="D823" t="s">
        <v>2920</v>
      </c>
      <c r="E823" t="s">
        <v>319</v>
      </c>
      <c r="F823" t="s">
        <v>23</v>
      </c>
      <c r="G823" t="s">
        <v>1388</v>
      </c>
      <c r="H823" s="8">
        <v>0.06</v>
      </c>
      <c r="I823" s="2">
        <v>2.0178719999999997</v>
      </c>
      <c r="J823" s="7" t="s">
        <v>188</v>
      </c>
    </row>
    <row r="824" spans="1:10" ht="28.5">
      <c r="A824" t="s">
        <v>187</v>
      </c>
      <c r="B824" t="s">
        <v>1394</v>
      </c>
      <c r="C824" t="s">
        <v>2921</v>
      </c>
      <c r="D824" t="s">
        <v>2922</v>
      </c>
      <c r="E824" t="s">
        <v>1072</v>
      </c>
      <c r="F824" t="s">
        <v>108</v>
      </c>
      <c r="G824" t="s">
        <v>1388</v>
      </c>
      <c r="H824" s="8">
        <v>0.02</v>
      </c>
      <c r="I824" s="2">
        <v>0.672624</v>
      </c>
      <c r="J824" s="7" t="s">
        <v>188</v>
      </c>
    </row>
    <row r="825" spans="1:10" ht="28.5">
      <c r="A825" t="s">
        <v>187</v>
      </c>
      <c r="B825" t="s">
        <v>1394</v>
      </c>
      <c r="C825" t="s">
        <v>2923</v>
      </c>
      <c r="D825" t="s">
        <v>2924</v>
      </c>
      <c r="E825" t="s">
        <v>1159</v>
      </c>
      <c r="F825" t="s">
        <v>50</v>
      </c>
      <c r="G825" t="s">
        <v>1388</v>
      </c>
      <c r="H825" s="8">
        <v>0.01</v>
      </c>
      <c r="I825" s="2">
        <v>0.336312</v>
      </c>
      <c r="J825" s="7" t="s">
        <v>188</v>
      </c>
    </row>
    <row r="826" spans="1:10" ht="28.5">
      <c r="A826" t="s">
        <v>187</v>
      </c>
      <c r="B826" t="s">
        <v>1394</v>
      </c>
      <c r="C826" t="s">
        <v>2925</v>
      </c>
      <c r="D826" t="s">
        <v>2926</v>
      </c>
      <c r="E826" t="s">
        <v>154</v>
      </c>
      <c r="F826" t="s">
        <v>33</v>
      </c>
      <c r="G826" t="s">
        <v>1388</v>
      </c>
      <c r="H826" s="8">
        <v>0.03</v>
      </c>
      <c r="I826" s="2">
        <v>1.0089359999999998</v>
      </c>
      <c r="J826" s="7" t="s">
        <v>188</v>
      </c>
    </row>
    <row r="827" spans="1:10" ht="28.5">
      <c r="A827" t="s">
        <v>187</v>
      </c>
      <c r="B827" t="s">
        <v>1394</v>
      </c>
      <c r="C827" t="s">
        <v>2927</v>
      </c>
      <c r="D827" t="s">
        <v>2928</v>
      </c>
      <c r="E827" t="s">
        <v>365</v>
      </c>
      <c r="F827" t="s">
        <v>38</v>
      </c>
      <c r="G827" t="s">
        <v>1388</v>
      </c>
      <c r="H827" s="8">
        <v>0.03</v>
      </c>
      <c r="I827" s="2">
        <v>1.0089359999999998</v>
      </c>
      <c r="J827" s="7" t="s">
        <v>188</v>
      </c>
    </row>
    <row r="828" spans="1:10" ht="28.5">
      <c r="A828" t="s">
        <v>187</v>
      </c>
      <c r="B828" t="s">
        <v>1394</v>
      </c>
      <c r="C828" t="s">
        <v>2929</v>
      </c>
      <c r="D828" t="s">
        <v>2930</v>
      </c>
      <c r="E828" t="s">
        <v>684</v>
      </c>
      <c r="F828" t="s">
        <v>25</v>
      </c>
      <c r="G828" t="s">
        <v>1388</v>
      </c>
      <c r="H828" s="8">
        <v>0.05</v>
      </c>
      <c r="I828" s="2">
        <v>1.6815600000000002</v>
      </c>
      <c r="J828" s="7" t="s">
        <v>188</v>
      </c>
    </row>
    <row r="829" spans="1:10" ht="28.5">
      <c r="A829" t="s">
        <v>187</v>
      </c>
      <c r="B829" t="s">
        <v>1394</v>
      </c>
      <c r="C829" t="s">
        <v>2931</v>
      </c>
      <c r="D829" t="s">
        <v>2932</v>
      </c>
      <c r="E829" t="s">
        <v>39</v>
      </c>
      <c r="F829" t="s">
        <v>25</v>
      </c>
      <c r="G829" t="s">
        <v>1388</v>
      </c>
      <c r="H829" s="8">
        <v>1.07</v>
      </c>
      <c r="I829" s="2">
        <v>35.985383999999996</v>
      </c>
      <c r="J829" s="7" t="s">
        <v>188</v>
      </c>
    </row>
    <row r="830" spans="1:10" ht="28.5">
      <c r="A830" t="s">
        <v>187</v>
      </c>
      <c r="B830" t="s">
        <v>1394</v>
      </c>
      <c r="C830" t="s">
        <v>1449</v>
      </c>
      <c r="D830" t="s">
        <v>1450</v>
      </c>
      <c r="E830" t="s">
        <v>30</v>
      </c>
      <c r="F830" t="s">
        <v>25</v>
      </c>
      <c r="G830" t="s">
        <v>1388</v>
      </c>
      <c r="H830" s="8">
        <v>3.15</v>
      </c>
      <c r="I830" s="2">
        <v>105.93827999999999</v>
      </c>
      <c r="J830" s="7" t="s">
        <v>188</v>
      </c>
    </row>
    <row r="831" spans="1:10" ht="28.5">
      <c r="A831" t="s">
        <v>187</v>
      </c>
      <c r="B831" t="s">
        <v>1394</v>
      </c>
      <c r="C831" t="s">
        <v>2933</v>
      </c>
      <c r="D831" t="s">
        <v>2934</v>
      </c>
      <c r="E831" t="s">
        <v>698</v>
      </c>
      <c r="F831" t="s">
        <v>263</v>
      </c>
      <c r="G831" t="s">
        <v>1388</v>
      </c>
      <c r="H831" s="8">
        <v>0.02</v>
      </c>
      <c r="I831" s="2">
        <v>0.672624</v>
      </c>
      <c r="J831" s="7" t="s">
        <v>188</v>
      </c>
    </row>
    <row r="832" spans="1:10" ht="28.5">
      <c r="A832" t="s">
        <v>187</v>
      </c>
      <c r="B832" t="s">
        <v>1394</v>
      </c>
      <c r="C832" t="s">
        <v>2935</v>
      </c>
      <c r="D832" t="s">
        <v>2936</v>
      </c>
      <c r="E832" t="s">
        <v>1234</v>
      </c>
      <c r="F832" t="s">
        <v>27</v>
      </c>
      <c r="G832" t="s">
        <v>1388</v>
      </c>
      <c r="H832" s="8">
        <v>0.01</v>
      </c>
      <c r="I832" s="2">
        <v>0.336312</v>
      </c>
      <c r="J832" s="7" t="s">
        <v>188</v>
      </c>
    </row>
    <row r="833" spans="1:10" ht="28.5">
      <c r="A833" t="s">
        <v>187</v>
      </c>
      <c r="B833" t="s">
        <v>1394</v>
      </c>
      <c r="C833" t="s">
        <v>2937</v>
      </c>
      <c r="D833" t="s">
        <v>2938</v>
      </c>
      <c r="E833" t="s">
        <v>805</v>
      </c>
      <c r="F833" t="s">
        <v>50</v>
      </c>
      <c r="G833" t="s">
        <v>1388</v>
      </c>
      <c r="H833" s="8">
        <v>0.01</v>
      </c>
      <c r="I833" s="2">
        <v>0.336312</v>
      </c>
      <c r="J833" s="7" t="s">
        <v>188</v>
      </c>
    </row>
    <row r="834" spans="1:10" ht="28.5">
      <c r="A834" t="s">
        <v>187</v>
      </c>
      <c r="B834" t="s">
        <v>1394</v>
      </c>
      <c r="C834" t="s">
        <v>2939</v>
      </c>
      <c r="D834" t="s">
        <v>2940</v>
      </c>
      <c r="E834" t="s">
        <v>703</v>
      </c>
      <c r="F834" t="s">
        <v>41</v>
      </c>
      <c r="G834" t="s">
        <v>1388</v>
      </c>
      <c r="H834" s="8">
        <v>0.01</v>
      </c>
      <c r="I834" s="2">
        <v>0.336312</v>
      </c>
      <c r="J834" s="7" t="s">
        <v>188</v>
      </c>
    </row>
    <row r="835" spans="1:10" ht="28.5">
      <c r="A835" t="s">
        <v>187</v>
      </c>
      <c r="B835" t="s">
        <v>1394</v>
      </c>
      <c r="C835" t="s">
        <v>2941</v>
      </c>
      <c r="D835" t="s">
        <v>2942</v>
      </c>
      <c r="E835" t="s">
        <v>214</v>
      </c>
      <c r="F835" t="s">
        <v>50</v>
      </c>
      <c r="G835" t="s">
        <v>1388</v>
      </c>
      <c r="H835" s="8">
        <v>0.09</v>
      </c>
      <c r="I835" s="2">
        <v>3.0268079999999999</v>
      </c>
      <c r="J835" s="7" t="s">
        <v>188</v>
      </c>
    </row>
    <row r="836" spans="1:10" ht="28.5">
      <c r="A836" t="s">
        <v>187</v>
      </c>
      <c r="B836" t="s">
        <v>1394</v>
      </c>
      <c r="C836" t="s">
        <v>2943</v>
      </c>
      <c r="D836" t="s">
        <v>2944</v>
      </c>
      <c r="E836" t="s">
        <v>526</v>
      </c>
      <c r="F836" t="s">
        <v>50</v>
      </c>
      <c r="G836" t="s">
        <v>1388</v>
      </c>
      <c r="H836" s="8">
        <v>7.0000000000000007E-2</v>
      </c>
      <c r="I836" s="2">
        <v>2.3541840000000001</v>
      </c>
      <c r="J836" s="7" t="s">
        <v>188</v>
      </c>
    </row>
    <row r="837" spans="1:10" ht="28.5">
      <c r="A837" t="s">
        <v>187</v>
      </c>
      <c r="B837" t="s">
        <v>1394</v>
      </c>
      <c r="C837" t="s">
        <v>2945</v>
      </c>
      <c r="D837" t="s">
        <v>2946</v>
      </c>
      <c r="E837" t="s">
        <v>412</v>
      </c>
      <c r="F837" t="s">
        <v>263</v>
      </c>
      <c r="G837" t="s">
        <v>1388</v>
      </c>
      <c r="H837" s="8">
        <v>0.03</v>
      </c>
      <c r="I837" s="2">
        <v>1.0089359999999998</v>
      </c>
      <c r="J837" s="7" t="s">
        <v>188</v>
      </c>
    </row>
    <row r="838" spans="1:10" ht="28.5">
      <c r="A838" t="s">
        <v>187</v>
      </c>
      <c r="B838" t="s">
        <v>1394</v>
      </c>
      <c r="C838" t="s">
        <v>2947</v>
      </c>
      <c r="D838" t="s">
        <v>2948</v>
      </c>
      <c r="E838" t="s">
        <v>966</v>
      </c>
      <c r="F838" t="s">
        <v>23</v>
      </c>
      <c r="G838" t="s">
        <v>1388</v>
      </c>
      <c r="H838" s="8">
        <v>0.01</v>
      </c>
      <c r="I838" s="2">
        <v>0.336312</v>
      </c>
      <c r="J838" s="7" t="s">
        <v>188</v>
      </c>
    </row>
    <row r="839" spans="1:10" ht="28.5">
      <c r="A839" t="s">
        <v>187</v>
      </c>
      <c r="B839" t="s">
        <v>1394</v>
      </c>
      <c r="C839" t="s">
        <v>2949</v>
      </c>
      <c r="D839" t="s">
        <v>2950</v>
      </c>
      <c r="E839" t="s">
        <v>467</v>
      </c>
      <c r="F839" t="s">
        <v>50</v>
      </c>
      <c r="G839" t="s">
        <v>1388</v>
      </c>
      <c r="H839" s="8">
        <v>0.08</v>
      </c>
      <c r="I839" s="2">
        <v>2.690496</v>
      </c>
      <c r="J839" s="7" t="s">
        <v>188</v>
      </c>
    </row>
    <row r="840" spans="1:10" ht="28.5">
      <c r="A840" t="s">
        <v>187</v>
      </c>
      <c r="B840" t="s">
        <v>1394</v>
      </c>
      <c r="C840" t="s">
        <v>2951</v>
      </c>
      <c r="D840" t="s">
        <v>2952</v>
      </c>
      <c r="E840" t="s">
        <v>191</v>
      </c>
      <c r="F840" t="s">
        <v>23</v>
      </c>
      <c r="G840" t="s">
        <v>1388</v>
      </c>
      <c r="H840" s="8">
        <v>0.27</v>
      </c>
      <c r="I840" s="2">
        <v>9.0804240000000007</v>
      </c>
      <c r="J840" s="7" t="s">
        <v>188</v>
      </c>
    </row>
    <row r="841" spans="1:10" ht="28.5">
      <c r="A841" t="s">
        <v>187</v>
      </c>
      <c r="B841" t="s">
        <v>1394</v>
      </c>
      <c r="C841" t="s">
        <v>2953</v>
      </c>
      <c r="D841" t="s">
        <v>2954</v>
      </c>
      <c r="E841" t="s">
        <v>499</v>
      </c>
      <c r="F841" t="s">
        <v>263</v>
      </c>
      <c r="G841" t="s">
        <v>1388</v>
      </c>
      <c r="H841" s="8">
        <v>0.03</v>
      </c>
      <c r="I841" s="2">
        <v>1.0089359999999998</v>
      </c>
      <c r="J841" s="7" t="s">
        <v>188</v>
      </c>
    </row>
    <row r="842" spans="1:10" ht="28.5">
      <c r="A842" t="s">
        <v>187</v>
      </c>
      <c r="B842" t="s">
        <v>1394</v>
      </c>
      <c r="C842" t="s">
        <v>2955</v>
      </c>
      <c r="D842" t="s">
        <v>2956</v>
      </c>
      <c r="E842" t="s">
        <v>1198</v>
      </c>
      <c r="F842" t="s">
        <v>41</v>
      </c>
      <c r="G842" t="s">
        <v>1388</v>
      </c>
      <c r="H842" s="8">
        <v>0.01</v>
      </c>
      <c r="I842" s="2">
        <v>0.336312</v>
      </c>
      <c r="J842" s="7" t="s">
        <v>188</v>
      </c>
    </row>
    <row r="843" spans="1:10" ht="28.5">
      <c r="A843" t="s">
        <v>187</v>
      </c>
      <c r="B843" t="s">
        <v>1394</v>
      </c>
      <c r="C843" t="s">
        <v>2957</v>
      </c>
      <c r="D843" t="s">
        <v>2958</v>
      </c>
      <c r="E843" t="s">
        <v>219</v>
      </c>
      <c r="F843" t="s">
        <v>50</v>
      </c>
      <c r="G843" t="s">
        <v>1388</v>
      </c>
      <c r="H843" s="8">
        <v>0.08</v>
      </c>
      <c r="I843" s="2">
        <v>2.690496</v>
      </c>
      <c r="J843" s="7" t="s">
        <v>188</v>
      </c>
    </row>
    <row r="844" spans="1:10" ht="28.5">
      <c r="A844" t="s">
        <v>187</v>
      </c>
      <c r="B844" t="s">
        <v>1394</v>
      </c>
      <c r="C844" t="s">
        <v>2959</v>
      </c>
      <c r="D844" t="s">
        <v>2960</v>
      </c>
      <c r="E844" t="s">
        <v>496</v>
      </c>
      <c r="F844" t="s">
        <v>50</v>
      </c>
      <c r="G844" t="s">
        <v>1388</v>
      </c>
      <c r="H844" s="8">
        <v>0.01</v>
      </c>
      <c r="I844" s="2">
        <v>0.336312</v>
      </c>
      <c r="J844" s="7" t="s">
        <v>188</v>
      </c>
    </row>
    <row r="845" spans="1:10" ht="28.5">
      <c r="A845" t="s">
        <v>187</v>
      </c>
      <c r="B845" t="s">
        <v>1394</v>
      </c>
      <c r="C845" t="s">
        <v>2961</v>
      </c>
      <c r="D845" t="s">
        <v>2962</v>
      </c>
      <c r="E845" t="s">
        <v>1232</v>
      </c>
      <c r="F845" t="s">
        <v>23</v>
      </c>
      <c r="G845" t="s">
        <v>1388</v>
      </c>
      <c r="H845" s="8">
        <v>0.01</v>
      </c>
      <c r="I845" s="2">
        <v>0.336312</v>
      </c>
      <c r="J845" s="7" t="s">
        <v>188</v>
      </c>
    </row>
    <row r="846" spans="1:10" ht="28.5">
      <c r="A846" t="s">
        <v>187</v>
      </c>
      <c r="B846" t="s">
        <v>1394</v>
      </c>
      <c r="C846" t="s">
        <v>2963</v>
      </c>
      <c r="D846" t="s">
        <v>2964</v>
      </c>
      <c r="E846" t="s">
        <v>223</v>
      </c>
      <c r="F846" t="s">
        <v>23</v>
      </c>
      <c r="G846" t="s">
        <v>1388</v>
      </c>
      <c r="H846" s="8">
        <v>0.14000000000000001</v>
      </c>
      <c r="I846" s="2">
        <v>4.7083680000000001</v>
      </c>
      <c r="J846" s="7" t="s">
        <v>188</v>
      </c>
    </row>
    <row r="847" spans="1:10" ht="28.5">
      <c r="A847" t="s">
        <v>187</v>
      </c>
      <c r="B847" t="s">
        <v>1394</v>
      </c>
      <c r="C847" t="s">
        <v>2965</v>
      </c>
      <c r="D847" t="s">
        <v>2966</v>
      </c>
      <c r="E847" t="s">
        <v>1157</v>
      </c>
      <c r="F847" t="s">
        <v>38</v>
      </c>
      <c r="G847" t="s">
        <v>1388</v>
      </c>
      <c r="H847" s="8">
        <v>0.01</v>
      </c>
      <c r="I847" s="2">
        <v>0.336312</v>
      </c>
      <c r="J847" s="7" t="s">
        <v>188</v>
      </c>
    </row>
    <row r="848" spans="1:10" ht="28.5">
      <c r="A848" t="s">
        <v>187</v>
      </c>
      <c r="B848" t="s">
        <v>1394</v>
      </c>
      <c r="C848" t="s">
        <v>2967</v>
      </c>
      <c r="D848" t="s">
        <v>2968</v>
      </c>
      <c r="E848" t="s">
        <v>439</v>
      </c>
      <c r="F848" t="s">
        <v>108</v>
      </c>
      <c r="G848" t="s">
        <v>1388</v>
      </c>
      <c r="H848" s="8">
        <v>0.09</v>
      </c>
      <c r="I848" s="2">
        <v>3.0268079999999999</v>
      </c>
      <c r="J848" s="7" t="s">
        <v>188</v>
      </c>
    </row>
    <row r="849" spans="1:10" ht="28.5">
      <c r="A849" t="s">
        <v>187</v>
      </c>
      <c r="B849" t="s">
        <v>1394</v>
      </c>
      <c r="C849" t="s">
        <v>2969</v>
      </c>
      <c r="D849" t="s">
        <v>2970</v>
      </c>
      <c r="E849" t="s">
        <v>873</v>
      </c>
      <c r="F849" t="s">
        <v>25</v>
      </c>
      <c r="G849" t="s">
        <v>1388</v>
      </c>
      <c r="H849" s="8">
        <v>0.03</v>
      </c>
      <c r="I849" s="2">
        <v>1.0089359999999998</v>
      </c>
      <c r="J849" s="7" t="s">
        <v>188</v>
      </c>
    </row>
    <row r="850" spans="1:10" ht="28.5">
      <c r="A850" t="s">
        <v>187</v>
      </c>
      <c r="B850" t="s">
        <v>1394</v>
      </c>
      <c r="C850" t="s">
        <v>2971</v>
      </c>
      <c r="D850" t="s">
        <v>2972</v>
      </c>
      <c r="E850" t="s">
        <v>165</v>
      </c>
      <c r="F850" t="s">
        <v>25</v>
      </c>
      <c r="G850" t="s">
        <v>1388</v>
      </c>
      <c r="H850" s="8">
        <v>7.0000000000000007E-2</v>
      </c>
      <c r="I850" s="2">
        <v>2.3541840000000001</v>
      </c>
      <c r="J850" s="7" t="s">
        <v>188</v>
      </c>
    </row>
    <row r="851" spans="1:10" ht="28.5">
      <c r="A851" t="s">
        <v>187</v>
      </c>
      <c r="B851" t="s">
        <v>1394</v>
      </c>
      <c r="C851" t="s">
        <v>2973</v>
      </c>
      <c r="D851" t="s">
        <v>2974</v>
      </c>
      <c r="E851" t="s">
        <v>490</v>
      </c>
      <c r="F851" t="s">
        <v>108</v>
      </c>
      <c r="G851" t="s">
        <v>1388</v>
      </c>
      <c r="H851" s="8">
        <v>0.08</v>
      </c>
      <c r="I851" s="2">
        <v>2.690496</v>
      </c>
      <c r="J851" s="7" t="s">
        <v>188</v>
      </c>
    </row>
    <row r="852" spans="1:10" ht="28.5">
      <c r="A852" t="s">
        <v>187</v>
      </c>
      <c r="B852" t="s">
        <v>1394</v>
      </c>
      <c r="C852" t="s">
        <v>2975</v>
      </c>
      <c r="D852" t="s">
        <v>2976</v>
      </c>
      <c r="E852" t="s">
        <v>435</v>
      </c>
      <c r="F852" t="s">
        <v>23</v>
      </c>
      <c r="G852" t="s">
        <v>1388</v>
      </c>
      <c r="H852" s="8">
        <v>0.09</v>
      </c>
      <c r="I852" s="2">
        <v>3.0268079999999999</v>
      </c>
      <c r="J852" s="7" t="s">
        <v>188</v>
      </c>
    </row>
    <row r="853" spans="1:10" ht="28.5">
      <c r="A853" t="s">
        <v>187</v>
      </c>
      <c r="B853" t="s">
        <v>1394</v>
      </c>
      <c r="C853" t="s">
        <v>2977</v>
      </c>
      <c r="D853" t="s">
        <v>2978</v>
      </c>
      <c r="E853" t="s">
        <v>218</v>
      </c>
      <c r="F853" t="s">
        <v>23</v>
      </c>
      <c r="G853" t="s">
        <v>1388</v>
      </c>
      <c r="H853" s="8">
        <v>0.28999999999999998</v>
      </c>
      <c r="I853" s="2">
        <v>9.7530479999999997</v>
      </c>
      <c r="J853" s="7" t="s">
        <v>188</v>
      </c>
    </row>
    <row r="854" spans="1:10" ht="28.5">
      <c r="A854" t="s">
        <v>187</v>
      </c>
      <c r="B854" t="s">
        <v>1394</v>
      </c>
      <c r="C854" t="s">
        <v>2979</v>
      </c>
      <c r="D854" t="s">
        <v>2980</v>
      </c>
      <c r="E854" t="s">
        <v>161</v>
      </c>
      <c r="F854" t="s">
        <v>25</v>
      </c>
      <c r="G854" t="s">
        <v>1388</v>
      </c>
      <c r="H854" s="8">
        <v>7.0000000000000007E-2</v>
      </c>
      <c r="I854" s="2">
        <v>2.3541840000000001</v>
      </c>
      <c r="J854" s="7" t="s">
        <v>188</v>
      </c>
    </row>
    <row r="855" spans="1:10" ht="28.5">
      <c r="A855" t="s">
        <v>187</v>
      </c>
      <c r="B855" t="s">
        <v>1394</v>
      </c>
      <c r="C855" t="s">
        <v>2981</v>
      </c>
      <c r="D855" t="s">
        <v>2981</v>
      </c>
      <c r="E855" t="s">
        <v>935</v>
      </c>
      <c r="F855" t="s">
        <v>108</v>
      </c>
      <c r="G855" t="s">
        <v>1388</v>
      </c>
      <c r="H855" s="8">
        <v>0.01</v>
      </c>
      <c r="I855" s="2">
        <v>0.336312</v>
      </c>
      <c r="J855" s="7" t="s">
        <v>188</v>
      </c>
    </row>
    <row r="856" spans="1:10" ht="28.5">
      <c r="A856" t="s">
        <v>187</v>
      </c>
      <c r="B856" t="s">
        <v>1394</v>
      </c>
      <c r="C856" t="s">
        <v>2982</v>
      </c>
      <c r="D856" t="s">
        <v>2983</v>
      </c>
      <c r="E856" t="s">
        <v>510</v>
      </c>
      <c r="F856" t="s">
        <v>23</v>
      </c>
      <c r="G856" t="s">
        <v>1388</v>
      </c>
      <c r="H856" s="8">
        <v>0.04</v>
      </c>
      <c r="I856" s="2">
        <v>1.345248</v>
      </c>
      <c r="J856" s="7" t="s">
        <v>188</v>
      </c>
    </row>
    <row r="857" spans="1:10" ht="28.5">
      <c r="A857" t="s">
        <v>187</v>
      </c>
      <c r="B857" t="s">
        <v>1394</v>
      </c>
      <c r="C857" t="s">
        <v>2984</v>
      </c>
      <c r="D857" t="s">
        <v>2985</v>
      </c>
      <c r="E857" t="s">
        <v>98</v>
      </c>
      <c r="F857" t="s">
        <v>23</v>
      </c>
      <c r="G857" t="s">
        <v>1388</v>
      </c>
      <c r="H857" s="8">
        <v>0.05</v>
      </c>
      <c r="I857" s="2">
        <v>1.6815600000000002</v>
      </c>
      <c r="J857" s="7" t="s">
        <v>188</v>
      </c>
    </row>
    <row r="858" spans="1:10" ht="28.5">
      <c r="A858" t="s">
        <v>187</v>
      </c>
      <c r="B858" t="s">
        <v>1394</v>
      </c>
      <c r="C858" t="s">
        <v>2986</v>
      </c>
      <c r="D858" t="s">
        <v>2987</v>
      </c>
      <c r="E858" t="s">
        <v>808</v>
      </c>
      <c r="F858" t="s">
        <v>50</v>
      </c>
      <c r="G858" t="s">
        <v>1388</v>
      </c>
      <c r="H858" s="8">
        <v>0.01</v>
      </c>
      <c r="I858" s="2">
        <v>0.336312</v>
      </c>
      <c r="J858" s="7" t="s">
        <v>188</v>
      </c>
    </row>
    <row r="859" spans="1:10" ht="28.5">
      <c r="A859" t="s">
        <v>187</v>
      </c>
      <c r="B859" t="s">
        <v>1394</v>
      </c>
      <c r="C859" t="s">
        <v>2988</v>
      </c>
      <c r="D859" t="s">
        <v>2989</v>
      </c>
      <c r="E859" t="s">
        <v>977</v>
      </c>
      <c r="F859" t="s">
        <v>50</v>
      </c>
      <c r="G859" t="s">
        <v>1388</v>
      </c>
      <c r="H859" s="8">
        <v>0.02</v>
      </c>
      <c r="I859" s="2">
        <v>0.672624</v>
      </c>
      <c r="J859" s="7" t="s">
        <v>188</v>
      </c>
    </row>
    <row r="860" spans="1:10" ht="28.5">
      <c r="A860" t="s">
        <v>187</v>
      </c>
      <c r="B860" t="s">
        <v>1394</v>
      </c>
      <c r="C860" t="s">
        <v>2990</v>
      </c>
      <c r="D860" t="s">
        <v>2991</v>
      </c>
      <c r="E860" t="s">
        <v>463</v>
      </c>
      <c r="F860" t="s">
        <v>23</v>
      </c>
      <c r="G860" t="s">
        <v>1388</v>
      </c>
      <c r="H860" s="8">
        <v>0.08</v>
      </c>
      <c r="I860" s="2">
        <v>2.690496</v>
      </c>
      <c r="J860" s="7" t="s">
        <v>188</v>
      </c>
    </row>
    <row r="861" spans="1:10" ht="28.5">
      <c r="A861" t="s">
        <v>187</v>
      </c>
      <c r="B861" t="s">
        <v>1394</v>
      </c>
      <c r="C861" t="s">
        <v>2992</v>
      </c>
      <c r="D861" t="s">
        <v>2993</v>
      </c>
      <c r="E861" t="s">
        <v>207</v>
      </c>
      <c r="F861" t="s">
        <v>25</v>
      </c>
      <c r="G861" t="s">
        <v>1388</v>
      </c>
      <c r="H861" s="8">
        <v>0.09</v>
      </c>
      <c r="I861" s="2">
        <v>3.0268079999999999</v>
      </c>
      <c r="J861" s="7" t="s">
        <v>188</v>
      </c>
    </row>
    <row r="862" spans="1:10" ht="28.5">
      <c r="A862" t="s">
        <v>187</v>
      </c>
      <c r="B862" t="s">
        <v>1394</v>
      </c>
      <c r="C862" t="s">
        <v>2994</v>
      </c>
      <c r="D862" t="s">
        <v>2995</v>
      </c>
      <c r="E862" t="s">
        <v>53</v>
      </c>
      <c r="F862" t="s">
        <v>23</v>
      </c>
      <c r="G862" t="s">
        <v>1388</v>
      </c>
      <c r="H862" s="8">
        <v>0.05</v>
      </c>
      <c r="I862" s="2">
        <v>1.6815600000000002</v>
      </c>
      <c r="J862" s="7" t="s">
        <v>188</v>
      </c>
    </row>
    <row r="863" spans="1:10" ht="28.5">
      <c r="A863" t="s">
        <v>187</v>
      </c>
      <c r="B863" t="s">
        <v>1394</v>
      </c>
      <c r="C863" t="s">
        <v>2996</v>
      </c>
      <c r="D863" t="s">
        <v>2997</v>
      </c>
      <c r="E863" t="s">
        <v>782</v>
      </c>
      <c r="F863" t="s">
        <v>33</v>
      </c>
      <c r="G863" t="s">
        <v>1388</v>
      </c>
      <c r="H863" s="8">
        <v>0.04</v>
      </c>
      <c r="I863" s="2">
        <v>1.345248</v>
      </c>
      <c r="J863" s="7" t="s">
        <v>188</v>
      </c>
    </row>
    <row r="864" spans="1:10" ht="28.5">
      <c r="A864" t="s">
        <v>187</v>
      </c>
      <c r="B864" t="s">
        <v>1394</v>
      </c>
      <c r="C864" t="s">
        <v>2998</v>
      </c>
      <c r="D864" t="s">
        <v>2999</v>
      </c>
      <c r="E864" t="s">
        <v>432</v>
      </c>
      <c r="F864" t="s">
        <v>23</v>
      </c>
      <c r="G864" t="s">
        <v>1388</v>
      </c>
      <c r="H864" s="8">
        <v>0.09</v>
      </c>
      <c r="I864" s="2">
        <v>3.0268079999999999</v>
      </c>
      <c r="J864" s="7" t="s">
        <v>188</v>
      </c>
    </row>
    <row r="865" spans="1:10" ht="28.5">
      <c r="A865" t="s">
        <v>187</v>
      </c>
      <c r="B865" t="s">
        <v>1394</v>
      </c>
      <c r="C865" t="s">
        <v>3000</v>
      </c>
      <c r="D865" t="s">
        <v>3001</v>
      </c>
      <c r="E865" t="s">
        <v>525</v>
      </c>
      <c r="F865" t="s">
        <v>23</v>
      </c>
      <c r="G865" t="s">
        <v>1388</v>
      </c>
      <c r="H865" s="8">
        <v>7.0000000000000007E-2</v>
      </c>
      <c r="I865" s="2">
        <v>2.3541840000000001</v>
      </c>
      <c r="J865" s="7" t="s">
        <v>188</v>
      </c>
    </row>
    <row r="866" spans="1:10" ht="28.5">
      <c r="A866" t="s">
        <v>187</v>
      </c>
      <c r="B866" t="s">
        <v>1394</v>
      </c>
      <c r="C866" t="s">
        <v>3002</v>
      </c>
      <c r="D866" t="s">
        <v>3003</v>
      </c>
      <c r="E866" t="s">
        <v>287</v>
      </c>
      <c r="F866" t="s">
        <v>253</v>
      </c>
      <c r="G866" t="s">
        <v>1388</v>
      </c>
      <c r="H866" s="8">
        <v>0.09</v>
      </c>
      <c r="I866" s="2">
        <v>3.0268079999999999</v>
      </c>
      <c r="J866" s="7" t="s">
        <v>188</v>
      </c>
    </row>
    <row r="867" spans="1:10" ht="28.5">
      <c r="A867" t="s">
        <v>187</v>
      </c>
      <c r="B867" t="s">
        <v>1394</v>
      </c>
      <c r="C867" t="s">
        <v>3004</v>
      </c>
      <c r="D867" t="s">
        <v>3005</v>
      </c>
      <c r="E867" t="s">
        <v>1236</v>
      </c>
      <c r="F867" t="s">
        <v>253</v>
      </c>
      <c r="G867" t="s">
        <v>1388</v>
      </c>
      <c r="H867" s="8">
        <v>0.01</v>
      </c>
      <c r="I867" s="2">
        <v>0.336312</v>
      </c>
      <c r="J867" s="7" t="s">
        <v>188</v>
      </c>
    </row>
    <row r="868" spans="1:10" ht="28.5">
      <c r="A868" t="s">
        <v>187</v>
      </c>
      <c r="B868" t="s">
        <v>1394</v>
      </c>
      <c r="C868" t="s">
        <v>3006</v>
      </c>
      <c r="D868" t="s">
        <v>3007</v>
      </c>
      <c r="E868" t="s">
        <v>261</v>
      </c>
      <c r="F868" t="s">
        <v>23</v>
      </c>
      <c r="G868" t="s">
        <v>1388</v>
      </c>
      <c r="H868" s="8">
        <v>0.08</v>
      </c>
      <c r="I868" s="2">
        <v>2.690496</v>
      </c>
      <c r="J868" s="7" t="s">
        <v>188</v>
      </c>
    </row>
    <row r="869" spans="1:10" ht="28.5">
      <c r="A869" t="s">
        <v>187</v>
      </c>
      <c r="B869" t="s">
        <v>1394</v>
      </c>
      <c r="C869" t="s">
        <v>3008</v>
      </c>
      <c r="D869" t="s">
        <v>3009</v>
      </c>
      <c r="E869" t="s">
        <v>762</v>
      </c>
      <c r="F869" t="s">
        <v>25</v>
      </c>
      <c r="G869" t="s">
        <v>1388</v>
      </c>
      <c r="H869" s="8">
        <v>0.04</v>
      </c>
      <c r="I869" s="2">
        <v>1.345248</v>
      </c>
      <c r="J869" s="7" t="s">
        <v>188</v>
      </c>
    </row>
    <row r="870" spans="1:10" ht="28.5">
      <c r="A870" t="s">
        <v>187</v>
      </c>
      <c r="B870" t="s">
        <v>1394</v>
      </c>
      <c r="C870" t="s">
        <v>3010</v>
      </c>
      <c r="D870" t="s">
        <v>3011</v>
      </c>
      <c r="E870" t="s">
        <v>323</v>
      </c>
      <c r="F870" t="s">
        <v>25</v>
      </c>
      <c r="G870" t="s">
        <v>1388</v>
      </c>
      <c r="H870" s="8">
        <v>0.04</v>
      </c>
      <c r="I870" s="2">
        <v>1.345248</v>
      </c>
      <c r="J870" s="7" t="s">
        <v>188</v>
      </c>
    </row>
    <row r="871" spans="1:10" ht="28.5">
      <c r="A871" t="s">
        <v>187</v>
      </c>
      <c r="B871" t="s">
        <v>1394</v>
      </c>
      <c r="C871" t="s">
        <v>3012</v>
      </c>
      <c r="D871" t="s">
        <v>3013</v>
      </c>
      <c r="E871" t="s">
        <v>155</v>
      </c>
      <c r="F871" t="s">
        <v>25</v>
      </c>
      <c r="G871" t="s">
        <v>1388</v>
      </c>
      <c r="H871" s="8">
        <v>0.01</v>
      </c>
      <c r="I871" s="2">
        <v>0.336312</v>
      </c>
      <c r="J871" s="7" t="s">
        <v>188</v>
      </c>
    </row>
    <row r="872" spans="1:10" ht="28.5">
      <c r="A872" t="s">
        <v>187</v>
      </c>
      <c r="B872" t="s">
        <v>1394</v>
      </c>
      <c r="C872" t="s">
        <v>3014</v>
      </c>
      <c r="D872" t="s">
        <v>3014</v>
      </c>
      <c r="E872" t="s">
        <v>1094</v>
      </c>
      <c r="F872" t="s">
        <v>124</v>
      </c>
      <c r="G872" t="s">
        <v>1388</v>
      </c>
      <c r="H872" s="8">
        <v>0.02</v>
      </c>
      <c r="I872" s="2">
        <v>0.672624</v>
      </c>
      <c r="J872" s="7" t="s">
        <v>188</v>
      </c>
    </row>
    <row r="873" spans="1:10" ht="28.5">
      <c r="A873" t="s">
        <v>187</v>
      </c>
      <c r="B873" t="s">
        <v>1394</v>
      </c>
      <c r="C873" t="s">
        <v>1451</v>
      </c>
      <c r="D873" t="s">
        <v>1452</v>
      </c>
      <c r="E873" t="s">
        <v>141</v>
      </c>
      <c r="F873" t="s">
        <v>108</v>
      </c>
      <c r="G873" t="s">
        <v>1388</v>
      </c>
      <c r="H873" s="8">
        <v>0.3</v>
      </c>
      <c r="I873" s="2">
        <v>10.089359999999999</v>
      </c>
      <c r="J873" s="7" t="s">
        <v>188</v>
      </c>
    </row>
    <row r="874" spans="1:10" ht="28.5">
      <c r="A874" t="s">
        <v>187</v>
      </c>
      <c r="B874" t="s">
        <v>1394</v>
      </c>
      <c r="C874" t="s">
        <v>3015</v>
      </c>
      <c r="D874" t="s">
        <v>3016</v>
      </c>
      <c r="E874" t="s">
        <v>361</v>
      </c>
      <c r="F874" t="s">
        <v>25</v>
      </c>
      <c r="G874" t="s">
        <v>1388</v>
      </c>
      <c r="H874" s="8">
        <v>0.03</v>
      </c>
      <c r="I874" s="2">
        <v>1.0089359999999998</v>
      </c>
      <c r="J874" s="7" t="s">
        <v>188</v>
      </c>
    </row>
    <row r="875" spans="1:10" ht="28.5">
      <c r="A875" t="s">
        <v>187</v>
      </c>
      <c r="B875" t="s">
        <v>1394</v>
      </c>
      <c r="C875" t="s">
        <v>1453</v>
      </c>
      <c r="D875" t="s">
        <v>1454</v>
      </c>
      <c r="E875" t="s">
        <v>45</v>
      </c>
      <c r="F875" t="s">
        <v>27</v>
      </c>
      <c r="G875" t="s">
        <v>1388</v>
      </c>
      <c r="H875" s="8">
        <v>0.35</v>
      </c>
      <c r="I875" s="2">
        <v>11.770919999999998</v>
      </c>
      <c r="J875" s="7" t="s">
        <v>188</v>
      </c>
    </row>
    <row r="876" spans="1:10" ht="28.5">
      <c r="A876" t="s">
        <v>187</v>
      </c>
      <c r="B876" t="s">
        <v>1394</v>
      </c>
      <c r="C876" t="s">
        <v>3017</v>
      </c>
      <c r="D876" t="s">
        <v>3018</v>
      </c>
      <c r="E876" t="s">
        <v>1026</v>
      </c>
      <c r="F876" t="s">
        <v>33</v>
      </c>
      <c r="G876" t="s">
        <v>1388</v>
      </c>
      <c r="H876" s="8">
        <v>0.02</v>
      </c>
      <c r="I876" s="2">
        <v>0.672624</v>
      </c>
      <c r="J876" s="7" t="s">
        <v>188</v>
      </c>
    </row>
    <row r="877" spans="1:10" ht="28.5">
      <c r="A877" t="s">
        <v>187</v>
      </c>
      <c r="B877" t="s">
        <v>1394</v>
      </c>
      <c r="C877" t="s">
        <v>3012</v>
      </c>
      <c r="D877" t="s">
        <v>3019</v>
      </c>
      <c r="E877" t="s">
        <v>378</v>
      </c>
      <c r="F877" t="s">
        <v>41</v>
      </c>
      <c r="G877" t="s">
        <v>1388</v>
      </c>
      <c r="H877" s="8">
        <v>0.11</v>
      </c>
      <c r="I877" s="2">
        <v>3.6994319999999998</v>
      </c>
      <c r="J877" s="7" t="s">
        <v>188</v>
      </c>
    </row>
    <row r="878" spans="1:10" ht="28.5">
      <c r="A878" t="s">
        <v>187</v>
      </c>
      <c r="B878" t="s">
        <v>1394</v>
      </c>
      <c r="C878" t="s">
        <v>3020</v>
      </c>
      <c r="D878" t="s">
        <v>3021</v>
      </c>
      <c r="E878" t="s">
        <v>1215</v>
      </c>
      <c r="F878" t="s">
        <v>27</v>
      </c>
      <c r="G878" t="s">
        <v>1388</v>
      </c>
      <c r="H878" s="8">
        <v>0.01</v>
      </c>
      <c r="I878" s="2">
        <v>0.336312</v>
      </c>
      <c r="J878" s="7" t="s">
        <v>188</v>
      </c>
    </row>
    <row r="879" spans="1:10" ht="28.5">
      <c r="A879" t="s">
        <v>187</v>
      </c>
      <c r="B879" t="s">
        <v>1394</v>
      </c>
      <c r="C879" t="s">
        <v>3022</v>
      </c>
      <c r="D879" t="s">
        <v>3023</v>
      </c>
      <c r="E879" t="s">
        <v>1293</v>
      </c>
      <c r="F879" t="s">
        <v>27</v>
      </c>
      <c r="G879" t="s">
        <v>1388</v>
      </c>
      <c r="H879" s="8">
        <v>0.01</v>
      </c>
      <c r="I879" s="2">
        <v>0.336312</v>
      </c>
      <c r="J879" s="7" t="s">
        <v>188</v>
      </c>
    </row>
    <row r="880" spans="1:10" ht="28.5">
      <c r="A880" t="s">
        <v>187</v>
      </c>
      <c r="B880" t="s">
        <v>1394</v>
      </c>
      <c r="C880" t="s">
        <v>3024</v>
      </c>
      <c r="D880" t="s">
        <v>3025</v>
      </c>
      <c r="E880" t="s">
        <v>908</v>
      </c>
      <c r="F880" t="s">
        <v>38</v>
      </c>
      <c r="G880" t="s">
        <v>1388</v>
      </c>
      <c r="H880" s="8">
        <v>0.03</v>
      </c>
      <c r="I880" s="2">
        <v>1.0089359999999998</v>
      </c>
      <c r="J880" s="7" t="s">
        <v>188</v>
      </c>
    </row>
    <row r="881" spans="1:10" ht="28.5">
      <c r="A881" t="s">
        <v>187</v>
      </c>
      <c r="B881" t="s">
        <v>1394</v>
      </c>
      <c r="C881" t="s">
        <v>3026</v>
      </c>
      <c r="D881" t="s">
        <v>3027</v>
      </c>
      <c r="E881" t="s">
        <v>252</v>
      </c>
      <c r="F881" t="s">
        <v>253</v>
      </c>
      <c r="G881" t="s">
        <v>1388</v>
      </c>
      <c r="H881" s="8">
        <v>0.21</v>
      </c>
      <c r="I881" s="2">
        <v>7.0625519999999993</v>
      </c>
      <c r="J881" s="7" t="s">
        <v>188</v>
      </c>
    </row>
    <row r="882" spans="1:10" ht="28.5">
      <c r="A882" t="s">
        <v>187</v>
      </c>
      <c r="B882" t="s">
        <v>1394</v>
      </c>
      <c r="C882" t="s">
        <v>3028</v>
      </c>
      <c r="D882" t="s">
        <v>3029</v>
      </c>
      <c r="E882" t="s">
        <v>1326</v>
      </c>
      <c r="F882" t="s">
        <v>50</v>
      </c>
      <c r="G882" t="s">
        <v>1388</v>
      </c>
      <c r="H882" s="8">
        <v>0.01</v>
      </c>
      <c r="I882" s="2">
        <v>0.336312</v>
      </c>
      <c r="J882" s="7" t="s">
        <v>188</v>
      </c>
    </row>
    <row r="883" spans="1:10" ht="28.5">
      <c r="A883" t="s">
        <v>187</v>
      </c>
      <c r="B883" t="s">
        <v>1394</v>
      </c>
      <c r="C883" t="s">
        <v>3030</v>
      </c>
      <c r="D883" t="s">
        <v>3031</v>
      </c>
      <c r="E883" t="s">
        <v>631</v>
      </c>
      <c r="F883" t="s">
        <v>50</v>
      </c>
      <c r="G883" t="s">
        <v>1388</v>
      </c>
      <c r="H883" s="8">
        <v>0.02</v>
      </c>
      <c r="I883" s="2">
        <v>0.672624</v>
      </c>
      <c r="J883" s="7" t="s">
        <v>188</v>
      </c>
    </row>
    <row r="884" spans="1:10" ht="28.5">
      <c r="A884" t="s">
        <v>187</v>
      </c>
      <c r="B884" t="s">
        <v>1394</v>
      </c>
      <c r="C884" t="s">
        <v>3032</v>
      </c>
      <c r="D884" t="s">
        <v>3033</v>
      </c>
      <c r="E884" t="s">
        <v>603</v>
      </c>
      <c r="F884" t="s">
        <v>38</v>
      </c>
      <c r="G884" t="s">
        <v>1388</v>
      </c>
      <c r="H884" s="8">
        <v>0.06</v>
      </c>
      <c r="I884" s="2">
        <v>2.0178719999999997</v>
      </c>
      <c r="J884" s="7" t="s">
        <v>188</v>
      </c>
    </row>
    <row r="885" spans="1:10" ht="28.5">
      <c r="A885" t="s">
        <v>187</v>
      </c>
      <c r="B885" t="s">
        <v>1394</v>
      </c>
      <c r="C885" t="s">
        <v>3034</v>
      </c>
      <c r="D885" t="s">
        <v>3035</v>
      </c>
      <c r="E885" t="s">
        <v>663</v>
      </c>
      <c r="F885" t="s">
        <v>27</v>
      </c>
      <c r="G885" t="s">
        <v>1388</v>
      </c>
      <c r="H885" s="8">
        <v>0.05</v>
      </c>
      <c r="I885" s="2">
        <v>1.6815600000000002</v>
      </c>
      <c r="J885" s="7" t="s">
        <v>188</v>
      </c>
    </row>
    <row r="886" spans="1:10" ht="28.5">
      <c r="A886" t="s">
        <v>187</v>
      </c>
      <c r="B886" t="s">
        <v>1394</v>
      </c>
      <c r="C886" t="s">
        <v>3036</v>
      </c>
      <c r="D886" t="s">
        <v>3037</v>
      </c>
      <c r="E886" t="s">
        <v>954</v>
      </c>
      <c r="F886" t="s">
        <v>263</v>
      </c>
      <c r="G886" t="s">
        <v>1388</v>
      </c>
      <c r="H886" s="8">
        <v>0.01</v>
      </c>
      <c r="I886" s="2">
        <v>0.336312</v>
      </c>
      <c r="J886" s="7" t="s">
        <v>188</v>
      </c>
    </row>
    <row r="887" spans="1:10" ht="28.5">
      <c r="A887" t="s">
        <v>187</v>
      </c>
      <c r="B887" t="s">
        <v>1394</v>
      </c>
      <c r="C887" t="s">
        <v>3038</v>
      </c>
      <c r="D887" t="s">
        <v>3039</v>
      </c>
      <c r="E887" t="s">
        <v>1126</v>
      </c>
      <c r="F887" t="s">
        <v>41</v>
      </c>
      <c r="G887" t="s">
        <v>1388</v>
      </c>
      <c r="H887" s="8">
        <v>0.01</v>
      </c>
      <c r="I887" s="2">
        <v>0.336312</v>
      </c>
      <c r="J887" s="7" t="s">
        <v>188</v>
      </c>
    </row>
    <row r="888" spans="1:10" ht="28.5">
      <c r="A888" t="s">
        <v>187</v>
      </c>
      <c r="B888" t="s">
        <v>1394</v>
      </c>
      <c r="C888" t="s">
        <v>3040</v>
      </c>
      <c r="D888" t="s">
        <v>3041</v>
      </c>
      <c r="E888" t="s">
        <v>1327</v>
      </c>
      <c r="F888" t="s">
        <v>41</v>
      </c>
      <c r="G888" t="s">
        <v>1388</v>
      </c>
      <c r="H888" s="8">
        <v>0.01</v>
      </c>
      <c r="I888" s="2">
        <v>0.336312</v>
      </c>
      <c r="J888" s="7" t="s">
        <v>188</v>
      </c>
    </row>
    <row r="889" spans="1:10" ht="28.5">
      <c r="A889" t="s">
        <v>187</v>
      </c>
      <c r="B889" t="s">
        <v>1394</v>
      </c>
      <c r="C889" t="s">
        <v>3042</v>
      </c>
      <c r="D889" t="s">
        <v>3043</v>
      </c>
      <c r="E889" t="s">
        <v>411</v>
      </c>
      <c r="F889" t="s">
        <v>41</v>
      </c>
      <c r="G889" t="s">
        <v>1388</v>
      </c>
      <c r="H889" s="8">
        <v>0.02</v>
      </c>
      <c r="I889" s="2">
        <v>0.672624</v>
      </c>
      <c r="J889" s="7" t="s">
        <v>188</v>
      </c>
    </row>
    <row r="890" spans="1:10" ht="28.5">
      <c r="A890" t="s">
        <v>187</v>
      </c>
      <c r="B890" t="s">
        <v>1394</v>
      </c>
      <c r="C890" t="s">
        <v>3044</v>
      </c>
      <c r="D890" t="s">
        <v>3045</v>
      </c>
      <c r="E890" t="s">
        <v>419</v>
      </c>
      <c r="F890" t="s">
        <v>50</v>
      </c>
      <c r="G890" t="s">
        <v>1388</v>
      </c>
      <c r="H890" s="8">
        <v>0.02</v>
      </c>
      <c r="I890" s="2">
        <v>0.672624</v>
      </c>
      <c r="J890" s="7" t="s">
        <v>188</v>
      </c>
    </row>
    <row r="891" spans="1:10" ht="28.5">
      <c r="A891" t="s">
        <v>187</v>
      </c>
      <c r="B891" t="s">
        <v>1394</v>
      </c>
      <c r="C891" t="s">
        <v>3046</v>
      </c>
      <c r="D891" t="s">
        <v>3047</v>
      </c>
      <c r="E891" t="s">
        <v>988</v>
      </c>
      <c r="F891" t="s">
        <v>253</v>
      </c>
      <c r="G891" t="s">
        <v>1388</v>
      </c>
      <c r="H891" s="8">
        <v>0.02</v>
      </c>
      <c r="I891" s="2">
        <v>0.672624</v>
      </c>
      <c r="J891" s="7" t="s">
        <v>188</v>
      </c>
    </row>
    <row r="892" spans="1:10" ht="28.5">
      <c r="A892" t="s">
        <v>187</v>
      </c>
      <c r="B892" t="s">
        <v>1394</v>
      </c>
      <c r="C892" t="s">
        <v>3048</v>
      </c>
      <c r="D892" t="s">
        <v>3049</v>
      </c>
      <c r="E892" t="s">
        <v>723</v>
      </c>
      <c r="F892" t="s">
        <v>38</v>
      </c>
      <c r="G892" t="s">
        <v>1388</v>
      </c>
      <c r="H892" s="8">
        <v>0.01</v>
      </c>
      <c r="I892" s="2">
        <v>0.336312</v>
      </c>
      <c r="J892" s="7" t="s">
        <v>188</v>
      </c>
    </row>
    <row r="893" spans="1:10" ht="28.5">
      <c r="A893" t="s">
        <v>187</v>
      </c>
      <c r="B893" t="s">
        <v>1394</v>
      </c>
      <c r="C893" t="s">
        <v>3050</v>
      </c>
      <c r="D893" t="s">
        <v>3051</v>
      </c>
      <c r="E893" t="s">
        <v>1289</v>
      </c>
      <c r="F893" t="s">
        <v>38</v>
      </c>
      <c r="G893" t="s">
        <v>1388</v>
      </c>
      <c r="H893" s="8">
        <v>0.01</v>
      </c>
      <c r="I893" s="2">
        <v>0.336312</v>
      </c>
      <c r="J893" s="7" t="s">
        <v>188</v>
      </c>
    </row>
    <row r="894" spans="1:10" ht="28.5">
      <c r="A894" t="s">
        <v>187</v>
      </c>
      <c r="B894" t="s">
        <v>1394</v>
      </c>
      <c r="C894" t="s">
        <v>3052</v>
      </c>
      <c r="D894" t="s">
        <v>3053</v>
      </c>
      <c r="E894" t="s">
        <v>1165</v>
      </c>
      <c r="F894" t="s">
        <v>41</v>
      </c>
      <c r="G894" t="s">
        <v>1388</v>
      </c>
      <c r="H894" s="8">
        <v>0.01</v>
      </c>
      <c r="I894" s="2">
        <v>0.336312</v>
      </c>
      <c r="J894" s="7" t="s">
        <v>188</v>
      </c>
    </row>
    <row r="895" spans="1:10" ht="28.5">
      <c r="A895" t="s">
        <v>187</v>
      </c>
      <c r="B895" t="s">
        <v>1394</v>
      </c>
      <c r="C895" t="s">
        <v>3054</v>
      </c>
      <c r="D895" t="s">
        <v>3055</v>
      </c>
      <c r="E895" t="s">
        <v>458</v>
      </c>
      <c r="F895" t="s">
        <v>23</v>
      </c>
      <c r="G895" t="s">
        <v>1388</v>
      </c>
      <c r="H895" s="8">
        <v>0.03</v>
      </c>
      <c r="I895" s="2">
        <v>1.0089359999999998</v>
      </c>
      <c r="J895" s="7" t="s">
        <v>188</v>
      </c>
    </row>
    <row r="896" spans="1:10" ht="28.5">
      <c r="A896" t="s">
        <v>187</v>
      </c>
      <c r="B896" t="s">
        <v>1394</v>
      </c>
      <c r="C896" t="s">
        <v>3056</v>
      </c>
      <c r="D896" t="s">
        <v>3056</v>
      </c>
      <c r="E896" t="s">
        <v>216</v>
      </c>
      <c r="F896" t="s">
        <v>25</v>
      </c>
      <c r="G896" t="s">
        <v>1388</v>
      </c>
      <c r="H896" s="8">
        <v>0.06</v>
      </c>
      <c r="I896" s="2">
        <v>2.0178719999999997</v>
      </c>
      <c r="J896" s="7" t="s">
        <v>188</v>
      </c>
    </row>
    <row r="897" spans="1:10" ht="28.5">
      <c r="A897" t="s">
        <v>187</v>
      </c>
      <c r="B897" t="s">
        <v>1394</v>
      </c>
      <c r="C897" t="s">
        <v>3057</v>
      </c>
      <c r="D897" t="s">
        <v>3058</v>
      </c>
      <c r="E897" t="s">
        <v>509</v>
      </c>
      <c r="F897" t="s">
        <v>23</v>
      </c>
      <c r="G897" t="s">
        <v>1388</v>
      </c>
      <c r="H897" s="8">
        <v>0.03</v>
      </c>
      <c r="I897" s="2">
        <v>1.0089359999999998</v>
      </c>
      <c r="J897" s="7" t="s">
        <v>188</v>
      </c>
    </row>
    <row r="898" spans="1:10" ht="28.5">
      <c r="A898" t="s">
        <v>187</v>
      </c>
      <c r="B898" t="s">
        <v>1394</v>
      </c>
      <c r="C898" t="s">
        <v>3059</v>
      </c>
      <c r="D898" t="s">
        <v>3060</v>
      </c>
      <c r="E898" t="s">
        <v>1167</v>
      </c>
      <c r="F898" t="s">
        <v>25</v>
      </c>
      <c r="G898" t="s">
        <v>1388</v>
      </c>
      <c r="H898" s="8">
        <v>0.01</v>
      </c>
      <c r="I898" s="2">
        <v>0.336312</v>
      </c>
      <c r="J898" s="7" t="s">
        <v>188</v>
      </c>
    </row>
    <row r="899" spans="1:10" ht="28.5">
      <c r="A899" t="s">
        <v>187</v>
      </c>
      <c r="B899" t="s">
        <v>1394</v>
      </c>
      <c r="C899" t="s">
        <v>3061</v>
      </c>
      <c r="D899" t="s">
        <v>3062</v>
      </c>
      <c r="E899" t="s">
        <v>344</v>
      </c>
      <c r="F899" t="s">
        <v>23</v>
      </c>
      <c r="G899" t="s">
        <v>1388</v>
      </c>
      <c r="H899" s="8">
        <v>7.0000000000000007E-2</v>
      </c>
      <c r="I899" s="2">
        <v>2.3541840000000001</v>
      </c>
      <c r="J899" s="7" t="s">
        <v>188</v>
      </c>
    </row>
    <row r="900" spans="1:10" ht="28.5">
      <c r="A900" t="s">
        <v>187</v>
      </c>
      <c r="B900" t="s">
        <v>1394</v>
      </c>
      <c r="C900" t="s">
        <v>3063</v>
      </c>
      <c r="D900" t="s">
        <v>3064</v>
      </c>
      <c r="E900" t="s">
        <v>1083</v>
      </c>
      <c r="F900" t="s">
        <v>50</v>
      </c>
      <c r="G900" t="s">
        <v>1388</v>
      </c>
      <c r="H900" s="8">
        <v>0.02</v>
      </c>
      <c r="I900" s="2">
        <v>0.672624</v>
      </c>
      <c r="J900" s="7" t="s">
        <v>188</v>
      </c>
    </row>
    <row r="901" spans="1:10" ht="28.5">
      <c r="A901" t="s">
        <v>187</v>
      </c>
      <c r="B901" t="s">
        <v>1394</v>
      </c>
      <c r="C901" t="s">
        <v>3065</v>
      </c>
      <c r="D901" t="s">
        <v>3066</v>
      </c>
      <c r="E901" t="s">
        <v>471</v>
      </c>
      <c r="F901" t="s">
        <v>50</v>
      </c>
      <c r="G901" t="s">
        <v>1388</v>
      </c>
      <c r="H901" s="8">
        <v>0.08</v>
      </c>
      <c r="I901" s="2">
        <v>2.690496</v>
      </c>
      <c r="J901" s="7" t="s">
        <v>188</v>
      </c>
    </row>
    <row r="902" spans="1:10" ht="28.5">
      <c r="A902" t="s">
        <v>187</v>
      </c>
      <c r="B902" t="s">
        <v>1394</v>
      </c>
      <c r="C902" t="s">
        <v>3067</v>
      </c>
      <c r="D902" t="s">
        <v>3068</v>
      </c>
      <c r="E902" t="s">
        <v>820</v>
      </c>
      <c r="F902" t="s">
        <v>41</v>
      </c>
      <c r="G902" t="s">
        <v>1388</v>
      </c>
      <c r="H902" s="8">
        <v>0.01</v>
      </c>
      <c r="I902" s="2">
        <v>0.336312</v>
      </c>
      <c r="J902" s="7" t="s">
        <v>188</v>
      </c>
    </row>
    <row r="903" spans="1:10" ht="28.5">
      <c r="A903" t="s">
        <v>187</v>
      </c>
      <c r="B903" t="s">
        <v>1394</v>
      </c>
      <c r="C903" t="s">
        <v>3069</v>
      </c>
      <c r="D903" t="s">
        <v>3070</v>
      </c>
      <c r="E903" t="s">
        <v>1031</v>
      </c>
      <c r="F903" t="s">
        <v>41</v>
      </c>
      <c r="G903" t="s">
        <v>1388</v>
      </c>
      <c r="H903" s="8">
        <v>0.02</v>
      </c>
      <c r="I903" s="2">
        <v>0.672624</v>
      </c>
      <c r="J903" s="7" t="s">
        <v>188</v>
      </c>
    </row>
    <row r="904" spans="1:10" ht="28.5">
      <c r="A904" t="s">
        <v>187</v>
      </c>
      <c r="B904" t="s">
        <v>1394</v>
      </c>
      <c r="C904" t="s">
        <v>3071</v>
      </c>
      <c r="D904" t="s">
        <v>3072</v>
      </c>
      <c r="E904" t="s">
        <v>765</v>
      </c>
      <c r="F904" t="s">
        <v>23</v>
      </c>
      <c r="G904" t="s">
        <v>1388</v>
      </c>
      <c r="H904" s="8">
        <v>0.04</v>
      </c>
      <c r="I904" s="2">
        <v>1.345248</v>
      </c>
      <c r="J904" s="7" t="s">
        <v>188</v>
      </c>
    </row>
    <row r="905" spans="1:10" ht="28.5">
      <c r="A905" t="s">
        <v>187</v>
      </c>
      <c r="B905" t="s">
        <v>1394</v>
      </c>
      <c r="C905" t="s">
        <v>3073</v>
      </c>
      <c r="D905" t="s">
        <v>3074</v>
      </c>
      <c r="E905" t="s">
        <v>481</v>
      </c>
      <c r="F905" t="s">
        <v>50</v>
      </c>
      <c r="G905" t="s">
        <v>1388</v>
      </c>
      <c r="H905" s="8">
        <v>0.08</v>
      </c>
      <c r="I905" s="2">
        <v>2.690496</v>
      </c>
      <c r="J905" s="7" t="s">
        <v>188</v>
      </c>
    </row>
    <row r="906" spans="1:10" ht="28.5">
      <c r="A906" t="s">
        <v>187</v>
      </c>
      <c r="B906" t="s">
        <v>1394</v>
      </c>
      <c r="C906" t="s">
        <v>3075</v>
      </c>
      <c r="D906" t="s">
        <v>3076</v>
      </c>
      <c r="E906" t="s">
        <v>1141</v>
      </c>
      <c r="F906" t="s">
        <v>25</v>
      </c>
      <c r="G906" t="s">
        <v>1388</v>
      </c>
      <c r="H906" s="8">
        <v>0.01</v>
      </c>
      <c r="I906" s="2">
        <v>0.336312</v>
      </c>
      <c r="J906" s="7" t="s">
        <v>188</v>
      </c>
    </row>
    <row r="907" spans="1:10" ht="28.5">
      <c r="A907" t="s">
        <v>187</v>
      </c>
      <c r="B907" t="s">
        <v>1394</v>
      </c>
      <c r="C907" t="s">
        <v>1455</v>
      </c>
      <c r="D907" t="s">
        <v>1456</v>
      </c>
      <c r="E907" t="s">
        <v>139</v>
      </c>
      <c r="F907" t="s">
        <v>33</v>
      </c>
      <c r="G907" t="s">
        <v>1388</v>
      </c>
      <c r="H907" s="8">
        <v>0.31</v>
      </c>
      <c r="I907" s="2">
        <v>10.425671999999999</v>
      </c>
      <c r="J907" s="7" t="s">
        <v>188</v>
      </c>
    </row>
    <row r="908" spans="1:10" ht="28.5">
      <c r="A908" t="s">
        <v>187</v>
      </c>
      <c r="B908" t="s">
        <v>1394</v>
      </c>
      <c r="C908" t="s">
        <v>1457</v>
      </c>
      <c r="D908" t="s">
        <v>1458</v>
      </c>
      <c r="E908" t="s">
        <v>172</v>
      </c>
      <c r="F908" t="s">
        <v>33</v>
      </c>
      <c r="G908" t="s">
        <v>1388</v>
      </c>
      <c r="H908" s="8">
        <v>0.18</v>
      </c>
      <c r="I908" s="2">
        <v>6.0536159999999999</v>
      </c>
      <c r="J908" s="7" t="s">
        <v>188</v>
      </c>
    </row>
    <row r="909" spans="1:10" ht="28.5">
      <c r="A909" t="s">
        <v>187</v>
      </c>
      <c r="B909" t="s">
        <v>1394</v>
      </c>
      <c r="C909" t="s">
        <v>3077</v>
      </c>
      <c r="D909" t="s">
        <v>3078</v>
      </c>
      <c r="E909" t="s">
        <v>986</v>
      </c>
      <c r="F909" t="s">
        <v>41</v>
      </c>
      <c r="G909" t="s">
        <v>1388</v>
      </c>
      <c r="H909" s="8">
        <v>0.02</v>
      </c>
      <c r="I909" s="2">
        <v>0.672624</v>
      </c>
      <c r="J909" s="7" t="s">
        <v>188</v>
      </c>
    </row>
    <row r="910" spans="1:10" ht="28.5">
      <c r="A910" t="s">
        <v>187</v>
      </c>
      <c r="B910" t="s">
        <v>1394</v>
      </c>
      <c r="C910" t="s">
        <v>3079</v>
      </c>
      <c r="D910" t="s">
        <v>3080</v>
      </c>
      <c r="E910" t="s">
        <v>872</v>
      </c>
      <c r="F910" t="s">
        <v>253</v>
      </c>
      <c r="G910" t="s">
        <v>1388</v>
      </c>
      <c r="H910" s="8">
        <v>0.03</v>
      </c>
      <c r="I910" s="2">
        <v>1.0089359999999998</v>
      </c>
      <c r="J910" s="7" t="s">
        <v>188</v>
      </c>
    </row>
    <row r="911" spans="1:10" ht="28.5">
      <c r="A911" t="s">
        <v>187</v>
      </c>
      <c r="B911" t="s">
        <v>1394</v>
      </c>
      <c r="C911" t="s">
        <v>3081</v>
      </c>
      <c r="D911" t="s">
        <v>3082</v>
      </c>
      <c r="E911" t="s">
        <v>337</v>
      </c>
      <c r="F911" t="s">
        <v>27</v>
      </c>
      <c r="G911" t="s">
        <v>1388</v>
      </c>
      <c r="H911" s="8">
        <v>0.03</v>
      </c>
      <c r="I911" s="2">
        <v>1.0089359999999998</v>
      </c>
      <c r="J911" s="7" t="s">
        <v>188</v>
      </c>
    </row>
    <row r="912" spans="1:10" ht="28.5">
      <c r="A912" t="s">
        <v>187</v>
      </c>
      <c r="B912" t="s">
        <v>1394</v>
      </c>
      <c r="C912" t="s">
        <v>3083</v>
      </c>
      <c r="D912" t="s">
        <v>3084</v>
      </c>
      <c r="E912" t="s">
        <v>600</v>
      </c>
      <c r="F912" t="s">
        <v>41</v>
      </c>
      <c r="G912" t="s">
        <v>1388</v>
      </c>
      <c r="H912" s="8">
        <v>0.06</v>
      </c>
      <c r="I912" s="2">
        <v>2.0178719999999997</v>
      </c>
      <c r="J912" s="7" t="s">
        <v>188</v>
      </c>
    </row>
    <row r="913" spans="1:10" ht="28.5">
      <c r="A913" t="s">
        <v>187</v>
      </c>
      <c r="B913" t="s">
        <v>1394</v>
      </c>
      <c r="C913" t="s">
        <v>3085</v>
      </c>
      <c r="D913" t="s">
        <v>3086</v>
      </c>
      <c r="E913" t="s">
        <v>391</v>
      </c>
      <c r="F913" t="s">
        <v>41</v>
      </c>
      <c r="G913" t="s">
        <v>1388</v>
      </c>
      <c r="H913" s="8">
        <v>0.04</v>
      </c>
      <c r="I913" s="2">
        <v>1.345248</v>
      </c>
      <c r="J913" s="7" t="s">
        <v>188</v>
      </c>
    </row>
    <row r="914" spans="1:10" ht="28.5">
      <c r="A914" t="s">
        <v>187</v>
      </c>
      <c r="B914" t="s">
        <v>1394</v>
      </c>
      <c r="C914" t="s">
        <v>1459</v>
      </c>
      <c r="D914" t="s">
        <v>1460</v>
      </c>
      <c r="E914" t="s">
        <v>24</v>
      </c>
      <c r="F914" t="s">
        <v>25</v>
      </c>
      <c r="G914" t="s">
        <v>1388</v>
      </c>
      <c r="H914" s="8">
        <v>5.33</v>
      </c>
      <c r="I914" s="2">
        <v>179.25429599999998</v>
      </c>
      <c r="J914" s="7" t="s">
        <v>188</v>
      </c>
    </row>
    <row r="915" spans="1:10" ht="28.5">
      <c r="A915" t="s">
        <v>187</v>
      </c>
      <c r="B915" t="s">
        <v>1394</v>
      </c>
      <c r="C915" t="s">
        <v>3087</v>
      </c>
      <c r="D915" t="s">
        <v>3088</v>
      </c>
      <c r="E915" t="s">
        <v>1023</v>
      </c>
      <c r="F915" t="s">
        <v>38</v>
      </c>
      <c r="G915" t="s">
        <v>1388</v>
      </c>
      <c r="H915" s="8">
        <v>0.02</v>
      </c>
      <c r="I915" s="2">
        <v>0.672624</v>
      </c>
      <c r="J915" s="7" t="s">
        <v>188</v>
      </c>
    </row>
    <row r="916" spans="1:10" ht="28.5">
      <c r="A916" t="s">
        <v>187</v>
      </c>
      <c r="B916" t="s">
        <v>1394</v>
      </c>
      <c r="C916" t="s">
        <v>3089</v>
      </c>
      <c r="D916" t="s">
        <v>3090</v>
      </c>
      <c r="E916" t="s">
        <v>286</v>
      </c>
      <c r="F916" t="s">
        <v>25</v>
      </c>
      <c r="G916" t="s">
        <v>1388</v>
      </c>
      <c r="H916" s="8">
        <v>7.0000000000000007E-2</v>
      </c>
      <c r="I916" s="2">
        <v>2.3541840000000001</v>
      </c>
      <c r="J916" s="7" t="s">
        <v>188</v>
      </c>
    </row>
    <row r="917" spans="1:10" ht="28.5">
      <c r="A917" t="s">
        <v>187</v>
      </c>
      <c r="B917" t="s">
        <v>1394</v>
      </c>
      <c r="C917" t="s">
        <v>3091</v>
      </c>
      <c r="D917" t="s">
        <v>3092</v>
      </c>
      <c r="E917" t="s">
        <v>713</v>
      </c>
      <c r="F917" t="s">
        <v>50</v>
      </c>
      <c r="G917" t="s">
        <v>1388</v>
      </c>
      <c r="H917" s="8">
        <v>0.01</v>
      </c>
      <c r="I917" s="2">
        <v>0.336312</v>
      </c>
      <c r="J917" s="7" t="s">
        <v>188</v>
      </c>
    </row>
    <row r="918" spans="1:10" ht="28.5">
      <c r="A918" t="s">
        <v>187</v>
      </c>
      <c r="B918" t="s">
        <v>1394</v>
      </c>
      <c r="C918" t="s">
        <v>3093</v>
      </c>
      <c r="D918" t="s">
        <v>3094</v>
      </c>
      <c r="E918" t="s">
        <v>1239</v>
      </c>
      <c r="F918" t="s">
        <v>25</v>
      </c>
      <c r="G918" t="s">
        <v>1388</v>
      </c>
      <c r="H918" s="8">
        <v>0.01</v>
      </c>
      <c r="I918" s="2">
        <v>0.336312</v>
      </c>
      <c r="J918" s="7" t="s">
        <v>188</v>
      </c>
    </row>
    <row r="919" spans="1:10" ht="28.5">
      <c r="A919" t="s">
        <v>187</v>
      </c>
      <c r="B919" t="s">
        <v>1394</v>
      </c>
      <c r="C919" t="s">
        <v>3095</v>
      </c>
      <c r="D919" t="s">
        <v>3096</v>
      </c>
      <c r="E919" t="s">
        <v>744</v>
      </c>
      <c r="F919" t="s">
        <v>124</v>
      </c>
      <c r="G919" t="s">
        <v>1388</v>
      </c>
      <c r="H919" s="8">
        <v>0.04</v>
      </c>
      <c r="I919" s="2">
        <v>1.345248</v>
      </c>
      <c r="J919" s="7" t="s">
        <v>188</v>
      </c>
    </row>
    <row r="920" spans="1:10" ht="28.5">
      <c r="A920" t="s">
        <v>187</v>
      </c>
      <c r="B920" t="s">
        <v>1394</v>
      </c>
      <c r="C920" t="s">
        <v>3097</v>
      </c>
      <c r="D920" t="s">
        <v>3098</v>
      </c>
      <c r="E920" t="s">
        <v>1354</v>
      </c>
      <c r="F920" t="s">
        <v>25</v>
      </c>
      <c r="G920" t="s">
        <v>1388</v>
      </c>
      <c r="H920" s="8">
        <v>0</v>
      </c>
      <c r="I920" s="2">
        <v>0</v>
      </c>
      <c r="J920" s="7" t="s">
        <v>188</v>
      </c>
    </row>
    <row r="921" spans="1:10" ht="28.5">
      <c r="A921" t="s">
        <v>187</v>
      </c>
      <c r="B921" t="s">
        <v>1394</v>
      </c>
      <c r="C921" t="s">
        <v>3099</v>
      </c>
      <c r="D921" t="s">
        <v>3100</v>
      </c>
      <c r="E921" t="s">
        <v>573</v>
      </c>
      <c r="F921" t="s">
        <v>25</v>
      </c>
      <c r="G921" t="s">
        <v>1388</v>
      </c>
      <c r="H921" s="8">
        <v>0.03</v>
      </c>
      <c r="I921" s="2">
        <v>1.0089359999999998</v>
      </c>
      <c r="J921" s="7" t="s">
        <v>188</v>
      </c>
    </row>
    <row r="922" spans="1:10" ht="28.5">
      <c r="A922" t="s">
        <v>187</v>
      </c>
      <c r="B922" t="s">
        <v>1394</v>
      </c>
      <c r="C922" t="s">
        <v>3101</v>
      </c>
      <c r="D922" t="s">
        <v>3102</v>
      </c>
      <c r="E922" t="s">
        <v>674</v>
      </c>
      <c r="F922" t="s">
        <v>50</v>
      </c>
      <c r="G922" t="s">
        <v>1388</v>
      </c>
      <c r="H922" s="8">
        <v>0.05</v>
      </c>
      <c r="I922" s="2">
        <v>1.6815600000000002</v>
      </c>
      <c r="J922" s="7" t="s">
        <v>188</v>
      </c>
    </row>
    <row r="923" spans="1:10" ht="28.5">
      <c r="A923" t="s">
        <v>187</v>
      </c>
      <c r="B923" t="s">
        <v>1394</v>
      </c>
      <c r="C923" t="s">
        <v>3103</v>
      </c>
      <c r="D923" t="s">
        <v>3104</v>
      </c>
      <c r="E923" t="s">
        <v>1191</v>
      </c>
      <c r="F923" t="s">
        <v>33</v>
      </c>
      <c r="G923" t="s">
        <v>1388</v>
      </c>
      <c r="H923" s="8">
        <v>0.01</v>
      </c>
      <c r="I923" s="2">
        <v>0.336312</v>
      </c>
      <c r="J923" s="7" t="s">
        <v>188</v>
      </c>
    </row>
    <row r="924" spans="1:10" ht="28.5">
      <c r="A924" t="s">
        <v>187</v>
      </c>
      <c r="B924" t="s">
        <v>1394</v>
      </c>
      <c r="C924" t="s">
        <v>3105</v>
      </c>
      <c r="D924" t="s">
        <v>3106</v>
      </c>
      <c r="E924" t="s">
        <v>385</v>
      </c>
      <c r="F924" t="s">
        <v>27</v>
      </c>
      <c r="G924" t="s">
        <v>1388</v>
      </c>
      <c r="H924" s="8">
        <v>0.03</v>
      </c>
      <c r="I924" s="2">
        <v>1.0089359999999998</v>
      </c>
      <c r="J924" s="7" t="s">
        <v>188</v>
      </c>
    </row>
    <row r="925" spans="1:10" ht="28.5">
      <c r="A925" t="s">
        <v>187</v>
      </c>
      <c r="B925" t="s">
        <v>1394</v>
      </c>
      <c r="C925" t="s">
        <v>3107</v>
      </c>
      <c r="D925" t="s">
        <v>3108</v>
      </c>
      <c r="E925" t="s">
        <v>826</v>
      </c>
      <c r="F925" t="s">
        <v>124</v>
      </c>
      <c r="G925" t="s">
        <v>1388</v>
      </c>
      <c r="H925" s="8">
        <v>0.01</v>
      </c>
      <c r="I925" s="2">
        <v>0.336312</v>
      </c>
      <c r="J925" s="7" t="s">
        <v>188</v>
      </c>
    </row>
    <row r="926" spans="1:10" ht="28.5">
      <c r="A926" t="s">
        <v>187</v>
      </c>
      <c r="B926" t="s">
        <v>1394</v>
      </c>
      <c r="C926" t="s">
        <v>3109</v>
      </c>
      <c r="D926" t="s">
        <v>3110</v>
      </c>
      <c r="E926" t="s">
        <v>761</v>
      </c>
      <c r="F926" t="s">
        <v>25</v>
      </c>
      <c r="G926" t="s">
        <v>1388</v>
      </c>
      <c r="H926" s="8">
        <v>0.04</v>
      </c>
      <c r="I926" s="2">
        <v>1.345248</v>
      </c>
      <c r="J926" s="7" t="s">
        <v>188</v>
      </c>
    </row>
    <row r="927" spans="1:10" ht="28.5">
      <c r="A927" t="s">
        <v>187</v>
      </c>
      <c r="B927" t="s">
        <v>1394</v>
      </c>
      <c r="C927" t="s">
        <v>3111</v>
      </c>
      <c r="D927" t="s">
        <v>3112</v>
      </c>
      <c r="E927" t="s">
        <v>583</v>
      </c>
      <c r="F927" t="s">
        <v>124</v>
      </c>
      <c r="G927" t="s">
        <v>1388</v>
      </c>
      <c r="H927" s="8">
        <v>0.06</v>
      </c>
      <c r="I927" s="2">
        <v>2.0178719999999997</v>
      </c>
      <c r="J927" s="7" t="s">
        <v>188</v>
      </c>
    </row>
    <row r="928" spans="1:10" ht="28.5">
      <c r="A928" t="s">
        <v>187</v>
      </c>
      <c r="B928" t="s">
        <v>1394</v>
      </c>
      <c r="C928" t="s">
        <v>1461</v>
      </c>
      <c r="D928" t="s">
        <v>1462</v>
      </c>
      <c r="E928" t="s">
        <v>151</v>
      </c>
      <c r="F928" t="s">
        <v>25</v>
      </c>
      <c r="G928" t="s">
        <v>1388</v>
      </c>
      <c r="H928" s="8">
        <v>0.24</v>
      </c>
      <c r="I928" s="2">
        <v>8.0714879999999987</v>
      </c>
      <c r="J928" s="7" t="s">
        <v>188</v>
      </c>
    </row>
    <row r="929" spans="1:10" ht="28.5">
      <c r="A929" t="s">
        <v>187</v>
      </c>
      <c r="B929" t="s">
        <v>1394</v>
      </c>
      <c r="C929" t="s">
        <v>3113</v>
      </c>
      <c r="D929" t="s">
        <v>3114</v>
      </c>
      <c r="E929" t="s">
        <v>308</v>
      </c>
      <c r="F929" t="s">
        <v>27</v>
      </c>
      <c r="G929" t="s">
        <v>1388</v>
      </c>
      <c r="H929" s="8">
        <v>0.04</v>
      </c>
      <c r="I929" s="2">
        <v>1.345248</v>
      </c>
      <c r="J929" s="7" t="s">
        <v>188</v>
      </c>
    </row>
    <row r="930" spans="1:10" ht="28.5">
      <c r="A930" t="s">
        <v>187</v>
      </c>
      <c r="B930" t="s">
        <v>1394</v>
      </c>
      <c r="C930" t="s">
        <v>3115</v>
      </c>
      <c r="D930" t="s">
        <v>3116</v>
      </c>
      <c r="E930" t="s">
        <v>470</v>
      </c>
      <c r="F930" t="s">
        <v>38</v>
      </c>
      <c r="G930" t="s">
        <v>1388</v>
      </c>
      <c r="H930" s="8">
        <v>0.08</v>
      </c>
      <c r="I930" s="2">
        <v>2.690496</v>
      </c>
      <c r="J930" s="7" t="s">
        <v>188</v>
      </c>
    </row>
    <row r="931" spans="1:10" ht="28.5">
      <c r="A931" t="s">
        <v>187</v>
      </c>
      <c r="B931" t="s">
        <v>1394</v>
      </c>
      <c r="C931" t="s">
        <v>3117</v>
      </c>
      <c r="D931" t="s">
        <v>3118</v>
      </c>
      <c r="E931" t="s">
        <v>1059</v>
      </c>
      <c r="F931" t="s">
        <v>38</v>
      </c>
      <c r="G931" t="s">
        <v>1388</v>
      </c>
      <c r="H931" s="8">
        <v>0.02</v>
      </c>
      <c r="I931" s="2">
        <v>0.672624</v>
      </c>
      <c r="J931" s="7" t="s">
        <v>188</v>
      </c>
    </row>
    <row r="932" spans="1:10" ht="28.5">
      <c r="A932" t="s">
        <v>187</v>
      </c>
      <c r="B932" t="s">
        <v>1394</v>
      </c>
      <c r="C932" t="s">
        <v>3119</v>
      </c>
      <c r="D932" t="s">
        <v>3120</v>
      </c>
      <c r="E932" t="s">
        <v>1108</v>
      </c>
      <c r="F932" t="s">
        <v>253</v>
      </c>
      <c r="G932" t="s">
        <v>1388</v>
      </c>
      <c r="H932" s="8">
        <v>0.02</v>
      </c>
      <c r="I932" s="2">
        <v>0.672624</v>
      </c>
      <c r="J932" s="7" t="s">
        <v>188</v>
      </c>
    </row>
    <row r="933" spans="1:10" ht="28.5">
      <c r="A933" t="s">
        <v>187</v>
      </c>
      <c r="B933" t="s">
        <v>1394</v>
      </c>
      <c r="C933" t="s">
        <v>3121</v>
      </c>
      <c r="D933" t="s">
        <v>3122</v>
      </c>
      <c r="E933" t="s">
        <v>1271</v>
      </c>
      <c r="F933" t="s">
        <v>33</v>
      </c>
      <c r="G933" t="s">
        <v>1388</v>
      </c>
      <c r="H933" s="8">
        <v>0.01</v>
      </c>
      <c r="I933" s="2">
        <v>0.336312</v>
      </c>
      <c r="J933" s="7" t="s">
        <v>188</v>
      </c>
    </row>
    <row r="934" spans="1:10" ht="28.5">
      <c r="A934" t="s">
        <v>187</v>
      </c>
      <c r="B934" t="s">
        <v>1394</v>
      </c>
      <c r="C934" t="s">
        <v>3123</v>
      </c>
      <c r="D934" t="s">
        <v>3124</v>
      </c>
      <c r="E934" t="s">
        <v>392</v>
      </c>
      <c r="F934" t="s">
        <v>23</v>
      </c>
      <c r="G934" t="s">
        <v>1388</v>
      </c>
      <c r="H934" s="8">
        <v>0.05</v>
      </c>
      <c r="I934" s="2">
        <v>1.6815600000000002</v>
      </c>
      <c r="J934" s="7" t="s">
        <v>188</v>
      </c>
    </row>
    <row r="935" spans="1:10" ht="28.5">
      <c r="A935" t="s">
        <v>187</v>
      </c>
      <c r="B935" t="s">
        <v>1394</v>
      </c>
      <c r="C935" t="s">
        <v>3125</v>
      </c>
      <c r="D935" t="s">
        <v>3126</v>
      </c>
      <c r="E935" t="s">
        <v>1276</v>
      </c>
      <c r="F935" t="s">
        <v>108</v>
      </c>
      <c r="G935" t="s">
        <v>1388</v>
      </c>
      <c r="H935" s="8">
        <v>0.01</v>
      </c>
      <c r="I935" s="2">
        <v>0.336312</v>
      </c>
      <c r="J935" s="7" t="s">
        <v>188</v>
      </c>
    </row>
    <row r="936" spans="1:10" ht="28.5">
      <c r="A936" t="s">
        <v>187</v>
      </c>
      <c r="B936" t="s">
        <v>1394</v>
      </c>
      <c r="C936" t="s">
        <v>3127</v>
      </c>
      <c r="D936" t="s">
        <v>3128</v>
      </c>
      <c r="E936" t="s">
        <v>946</v>
      </c>
      <c r="F936" t="s">
        <v>253</v>
      </c>
      <c r="G936" t="s">
        <v>1388</v>
      </c>
      <c r="H936" s="8">
        <v>0.01</v>
      </c>
      <c r="I936" s="2">
        <v>0.336312</v>
      </c>
      <c r="J936" s="7" t="s">
        <v>188</v>
      </c>
    </row>
    <row r="937" spans="1:10" ht="28.5">
      <c r="A937" t="s">
        <v>187</v>
      </c>
      <c r="B937" t="s">
        <v>1394</v>
      </c>
      <c r="C937" t="s">
        <v>3129</v>
      </c>
      <c r="D937" t="s">
        <v>3130</v>
      </c>
      <c r="E937" t="s">
        <v>804</v>
      </c>
      <c r="F937" t="s">
        <v>253</v>
      </c>
      <c r="G937" t="s">
        <v>1388</v>
      </c>
      <c r="H937" s="8">
        <v>0.01</v>
      </c>
      <c r="I937" s="2">
        <v>0.336312</v>
      </c>
      <c r="J937" s="7" t="s">
        <v>188</v>
      </c>
    </row>
    <row r="938" spans="1:10" ht="28.5">
      <c r="A938" t="s">
        <v>187</v>
      </c>
      <c r="B938" t="s">
        <v>1394</v>
      </c>
      <c r="C938" t="s">
        <v>3131</v>
      </c>
      <c r="D938" t="s">
        <v>3132</v>
      </c>
      <c r="E938" t="s">
        <v>857</v>
      </c>
      <c r="F938" t="s">
        <v>50</v>
      </c>
      <c r="G938" t="s">
        <v>1388</v>
      </c>
      <c r="H938" s="8">
        <v>0.03</v>
      </c>
      <c r="I938" s="2">
        <v>1.0089359999999998</v>
      </c>
      <c r="J938" s="7" t="s">
        <v>188</v>
      </c>
    </row>
    <row r="939" spans="1:10" ht="28.5">
      <c r="A939" t="s">
        <v>187</v>
      </c>
      <c r="B939" t="s">
        <v>1394</v>
      </c>
      <c r="C939" t="s">
        <v>3133</v>
      </c>
      <c r="D939" t="s">
        <v>3134</v>
      </c>
      <c r="E939" t="s">
        <v>1340</v>
      </c>
      <c r="F939" t="s">
        <v>25</v>
      </c>
      <c r="G939" t="s">
        <v>1388</v>
      </c>
      <c r="H939" s="8">
        <v>0</v>
      </c>
      <c r="I939" s="2">
        <v>0</v>
      </c>
      <c r="J939" s="7" t="s">
        <v>188</v>
      </c>
    </row>
    <row r="940" spans="1:10" ht="28.5">
      <c r="A940" t="s">
        <v>187</v>
      </c>
      <c r="B940" t="s">
        <v>1394</v>
      </c>
      <c r="C940" t="s">
        <v>3135</v>
      </c>
      <c r="D940" t="s">
        <v>3136</v>
      </c>
      <c r="E940" t="s">
        <v>550</v>
      </c>
      <c r="F940" t="s">
        <v>33</v>
      </c>
      <c r="G940" t="s">
        <v>1388</v>
      </c>
      <c r="H940" s="8">
        <v>0.03</v>
      </c>
      <c r="I940" s="2">
        <v>1.0089359999999998</v>
      </c>
      <c r="J940" s="7" t="s">
        <v>188</v>
      </c>
    </row>
    <row r="941" spans="1:10" ht="28.5">
      <c r="A941" t="s">
        <v>187</v>
      </c>
      <c r="B941" t="s">
        <v>1394</v>
      </c>
      <c r="C941" t="s">
        <v>3137</v>
      </c>
      <c r="D941" t="s">
        <v>3138</v>
      </c>
      <c r="E941" t="s">
        <v>476</v>
      </c>
      <c r="F941" t="s">
        <v>23</v>
      </c>
      <c r="G941" t="s">
        <v>1388</v>
      </c>
      <c r="H941" s="8">
        <v>0.08</v>
      </c>
      <c r="I941" s="2">
        <v>2.690496</v>
      </c>
      <c r="J941" s="7" t="s">
        <v>188</v>
      </c>
    </row>
    <row r="942" spans="1:10" ht="28.5">
      <c r="A942" t="s">
        <v>187</v>
      </c>
      <c r="B942" t="s">
        <v>1394</v>
      </c>
      <c r="C942" t="s">
        <v>3139</v>
      </c>
      <c r="D942" t="s">
        <v>3140</v>
      </c>
      <c r="E942" t="s">
        <v>524</v>
      </c>
      <c r="F942" t="s">
        <v>50</v>
      </c>
      <c r="G942" t="s">
        <v>1388</v>
      </c>
      <c r="H942" s="8">
        <v>7.0000000000000007E-2</v>
      </c>
      <c r="I942" s="2">
        <v>2.3541840000000001</v>
      </c>
      <c r="J942" s="7" t="s">
        <v>188</v>
      </c>
    </row>
    <row r="943" spans="1:10" ht="28.5">
      <c r="A943" t="s">
        <v>187</v>
      </c>
      <c r="B943" t="s">
        <v>1394</v>
      </c>
      <c r="C943" t="s">
        <v>3141</v>
      </c>
      <c r="D943" t="s">
        <v>3142</v>
      </c>
      <c r="E943" t="s">
        <v>998</v>
      </c>
      <c r="F943" t="s">
        <v>41</v>
      </c>
      <c r="G943" t="s">
        <v>1388</v>
      </c>
      <c r="H943" s="8">
        <v>0.02</v>
      </c>
      <c r="I943" s="2">
        <v>0.672624</v>
      </c>
      <c r="J943" s="7" t="s">
        <v>188</v>
      </c>
    </row>
    <row r="944" spans="1:10" ht="28.5">
      <c r="A944" t="s">
        <v>187</v>
      </c>
      <c r="B944" t="s">
        <v>1394</v>
      </c>
      <c r="C944" t="s">
        <v>3143</v>
      </c>
      <c r="D944" t="s">
        <v>3144</v>
      </c>
      <c r="E944" t="s">
        <v>205</v>
      </c>
      <c r="F944" t="s">
        <v>25</v>
      </c>
      <c r="G944" t="s">
        <v>1388</v>
      </c>
      <c r="H944" s="8">
        <v>0.33</v>
      </c>
      <c r="I944" s="2">
        <v>11.098295999999999</v>
      </c>
      <c r="J944" s="7" t="s">
        <v>188</v>
      </c>
    </row>
    <row r="945" spans="1:10" ht="28.5">
      <c r="A945" t="s">
        <v>187</v>
      </c>
      <c r="B945" t="s">
        <v>1394</v>
      </c>
      <c r="C945" t="s">
        <v>3145</v>
      </c>
      <c r="D945" t="s">
        <v>3146</v>
      </c>
      <c r="E945" t="s">
        <v>208</v>
      </c>
      <c r="F945" t="s">
        <v>25</v>
      </c>
      <c r="G945" t="s">
        <v>1388</v>
      </c>
      <c r="H945" s="8">
        <v>0.32</v>
      </c>
      <c r="I945" s="2">
        <v>10.761984</v>
      </c>
      <c r="J945" s="7" t="s">
        <v>188</v>
      </c>
    </row>
    <row r="946" spans="1:10" ht="28.5">
      <c r="A946" t="s">
        <v>187</v>
      </c>
      <c r="B946" t="s">
        <v>1394</v>
      </c>
      <c r="C946" t="s">
        <v>3147</v>
      </c>
      <c r="D946" t="s">
        <v>3148</v>
      </c>
      <c r="E946" t="s">
        <v>1029</v>
      </c>
      <c r="F946" t="s">
        <v>41</v>
      </c>
      <c r="G946" t="s">
        <v>1388</v>
      </c>
      <c r="H946" s="8">
        <v>0.02</v>
      </c>
      <c r="I946" s="2">
        <v>0.672624</v>
      </c>
      <c r="J946" s="7" t="s">
        <v>188</v>
      </c>
    </row>
    <row r="947" spans="1:10" ht="28.5">
      <c r="A947" t="s">
        <v>187</v>
      </c>
      <c r="B947" t="s">
        <v>1394</v>
      </c>
      <c r="C947" t="s">
        <v>3149</v>
      </c>
      <c r="D947" t="s">
        <v>3150</v>
      </c>
      <c r="E947" t="s">
        <v>1204</v>
      </c>
      <c r="F947" t="s">
        <v>38</v>
      </c>
      <c r="G947" t="s">
        <v>1388</v>
      </c>
      <c r="H947" s="8">
        <v>0.01</v>
      </c>
      <c r="I947" s="2">
        <v>0.336312</v>
      </c>
      <c r="J947" s="7" t="s">
        <v>188</v>
      </c>
    </row>
    <row r="948" spans="1:10" ht="28.5">
      <c r="A948" t="s">
        <v>187</v>
      </c>
      <c r="B948" t="s">
        <v>1394</v>
      </c>
      <c r="C948" t="s">
        <v>3151</v>
      </c>
      <c r="D948" t="s">
        <v>3152</v>
      </c>
      <c r="E948" t="s">
        <v>226</v>
      </c>
      <c r="F948" t="s">
        <v>38</v>
      </c>
      <c r="G948" t="s">
        <v>1388</v>
      </c>
      <c r="H948" s="8">
        <v>7.0000000000000007E-2</v>
      </c>
      <c r="I948" s="2">
        <v>2.3541840000000001</v>
      </c>
      <c r="J948" s="7" t="s">
        <v>188</v>
      </c>
    </row>
    <row r="949" spans="1:10" ht="28.5">
      <c r="A949" t="s">
        <v>187</v>
      </c>
      <c r="B949" t="s">
        <v>1394</v>
      </c>
      <c r="C949" t="s">
        <v>3153</v>
      </c>
      <c r="D949" t="s">
        <v>3154</v>
      </c>
      <c r="E949" t="s">
        <v>1175</v>
      </c>
      <c r="F949" t="s">
        <v>38</v>
      </c>
      <c r="G949" t="s">
        <v>1388</v>
      </c>
      <c r="H949" s="8">
        <v>0.01</v>
      </c>
      <c r="I949" s="2">
        <v>0.336312</v>
      </c>
      <c r="J949" s="7" t="s">
        <v>188</v>
      </c>
    </row>
    <row r="950" spans="1:10" ht="28.5">
      <c r="A950" t="s">
        <v>187</v>
      </c>
      <c r="B950" t="s">
        <v>1394</v>
      </c>
      <c r="C950" t="s">
        <v>3155</v>
      </c>
      <c r="D950" t="s">
        <v>3156</v>
      </c>
      <c r="E950" t="s">
        <v>330</v>
      </c>
      <c r="F950" t="s">
        <v>50</v>
      </c>
      <c r="G950" t="s">
        <v>1388</v>
      </c>
      <c r="H950" s="8">
        <v>0.13</v>
      </c>
      <c r="I950" s="2">
        <v>4.3720559999999997</v>
      </c>
      <c r="J950" s="7" t="s">
        <v>188</v>
      </c>
    </row>
    <row r="951" spans="1:10" ht="28.5">
      <c r="A951" t="s">
        <v>187</v>
      </c>
      <c r="B951" t="s">
        <v>1394</v>
      </c>
      <c r="C951" t="s">
        <v>3157</v>
      </c>
      <c r="D951" t="s">
        <v>3158</v>
      </c>
      <c r="E951" t="s">
        <v>1024</v>
      </c>
      <c r="F951" t="s">
        <v>23</v>
      </c>
      <c r="G951" t="s">
        <v>1388</v>
      </c>
      <c r="H951" s="8">
        <v>0.02</v>
      </c>
      <c r="I951" s="2">
        <v>0.672624</v>
      </c>
      <c r="J951" s="7" t="s">
        <v>188</v>
      </c>
    </row>
    <row r="952" spans="1:10" ht="28.5">
      <c r="A952" t="s">
        <v>187</v>
      </c>
      <c r="B952" t="s">
        <v>1394</v>
      </c>
      <c r="C952" t="s">
        <v>3159</v>
      </c>
      <c r="D952" t="s">
        <v>3160</v>
      </c>
      <c r="E952" t="s">
        <v>756</v>
      </c>
      <c r="F952" t="s">
        <v>50</v>
      </c>
      <c r="G952" t="s">
        <v>1388</v>
      </c>
      <c r="H952" s="8">
        <v>0.04</v>
      </c>
      <c r="I952" s="2">
        <v>1.345248</v>
      </c>
      <c r="J952" s="7" t="s">
        <v>188</v>
      </c>
    </row>
    <row r="953" spans="1:10" ht="28.5">
      <c r="A953" t="s">
        <v>187</v>
      </c>
      <c r="B953" t="s">
        <v>1394</v>
      </c>
      <c r="C953" t="s">
        <v>3161</v>
      </c>
      <c r="D953" t="s">
        <v>3162</v>
      </c>
      <c r="E953" t="s">
        <v>612</v>
      </c>
      <c r="F953" t="s">
        <v>23</v>
      </c>
      <c r="G953" t="s">
        <v>1388</v>
      </c>
      <c r="H953" s="8">
        <v>0.06</v>
      </c>
      <c r="I953" s="2">
        <v>2.0178719999999997</v>
      </c>
      <c r="J953" s="7" t="s">
        <v>188</v>
      </c>
    </row>
    <row r="954" spans="1:10" ht="28.5">
      <c r="A954" t="s">
        <v>187</v>
      </c>
      <c r="B954" t="s">
        <v>1394</v>
      </c>
      <c r="C954" t="s">
        <v>3163</v>
      </c>
      <c r="D954" t="s">
        <v>3164</v>
      </c>
      <c r="E954" t="s">
        <v>1186</v>
      </c>
      <c r="F954" t="s">
        <v>38</v>
      </c>
      <c r="G954" t="s">
        <v>1388</v>
      </c>
      <c r="H954" s="8">
        <v>0.01</v>
      </c>
      <c r="I954" s="2">
        <v>0.336312</v>
      </c>
      <c r="J954" s="7" t="s">
        <v>188</v>
      </c>
    </row>
    <row r="955" spans="1:10" ht="28.5">
      <c r="A955" t="s">
        <v>187</v>
      </c>
      <c r="B955" t="s">
        <v>1394</v>
      </c>
      <c r="C955" t="s">
        <v>3165</v>
      </c>
      <c r="D955" t="s">
        <v>3166</v>
      </c>
      <c r="E955" t="s">
        <v>867</v>
      </c>
      <c r="F955" t="s">
        <v>124</v>
      </c>
      <c r="G955" t="s">
        <v>1388</v>
      </c>
      <c r="H955" s="8">
        <v>0.03</v>
      </c>
      <c r="I955" s="2">
        <v>1.0089359999999998</v>
      </c>
      <c r="J955" s="7" t="s">
        <v>188</v>
      </c>
    </row>
    <row r="956" spans="1:10" ht="28.5">
      <c r="A956" t="s">
        <v>187</v>
      </c>
      <c r="B956" t="s">
        <v>1394</v>
      </c>
      <c r="C956" t="s">
        <v>3167</v>
      </c>
      <c r="D956" t="s">
        <v>3168</v>
      </c>
      <c r="E956" t="s">
        <v>1182</v>
      </c>
      <c r="F956" t="s">
        <v>50</v>
      </c>
      <c r="G956" t="s">
        <v>1388</v>
      </c>
      <c r="H956" s="8">
        <v>0.01</v>
      </c>
      <c r="I956" s="2">
        <v>0.336312</v>
      </c>
      <c r="J956" s="7" t="s">
        <v>188</v>
      </c>
    </row>
    <row r="957" spans="1:10" ht="28.5">
      <c r="A957" t="s">
        <v>187</v>
      </c>
      <c r="B957" t="s">
        <v>1394</v>
      </c>
      <c r="C957" t="s">
        <v>1463</v>
      </c>
      <c r="D957" t="s">
        <v>1464</v>
      </c>
      <c r="E957" t="s">
        <v>166</v>
      </c>
      <c r="F957" t="s">
        <v>108</v>
      </c>
      <c r="G957" t="s">
        <v>1388</v>
      </c>
      <c r="H957" s="8">
        <v>0.21</v>
      </c>
      <c r="I957" s="2">
        <v>7.0625519999999993</v>
      </c>
      <c r="J957" s="7" t="s">
        <v>188</v>
      </c>
    </row>
    <row r="958" spans="1:10" ht="28.5">
      <c r="A958" t="s">
        <v>187</v>
      </c>
      <c r="B958" t="s">
        <v>1394</v>
      </c>
      <c r="C958" t="s">
        <v>3169</v>
      </c>
      <c r="D958" t="s">
        <v>3170</v>
      </c>
      <c r="E958" t="s">
        <v>547</v>
      </c>
      <c r="F958" t="s">
        <v>108</v>
      </c>
      <c r="G958" t="s">
        <v>1388</v>
      </c>
      <c r="H958" s="8">
        <v>0.02</v>
      </c>
      <c r="I958" s="2">
        <v>0.672624</v>
      </c>
      <c r="J958" s="7" t="s">
        <v>188</v>
      </c>
    </row>
    <row r="959" spans="1:10" ht="28.5">
      <c r="A959" t="s">
        <v>187</v>
      </c>
      <c r="B959" t="s">
        <v>1394</v>
      </c>
      <c r="C959" t="s">
        <v>1465</v>
      </c>
      <c r="D959" t="s">
        <v>1466</v>
      </c>
      <c r="E959" t="s">
        <v>171</v>
      </c>
      <c r="F959" t="s">
        <v>33</v>
      </c>
      <c r="G959" t="s">
        <v>1388</v>
      </c>
      <c r="H959" s="8">
        <v>0.16</v>
      </c>
      <c r="I959" s="2">
        <v>5.380992</v>
      </c>
      <c r="J959" s="7" t="s">
        <v>188</v>
      </c>
    </row>
    <row r="960" spans="1:10" ht="28.5">
      <c r="A960" t="s">
        <v>187</v>
      </c>
      <c r="B960" t="s">
        <v>1394</v>
      </c>
      <c r="C960" t="s">
        <v>3171</v>
      </c>
      <c r="D960" t="s">
        <v>3172</v>
      </c>
      <c r="E960" t="s">
        <v>321</v>
      </c>
      <c r="F960" t="s">
        <v>253</v>
      </c>
      <c r="G960" t="s">
        <v>1388</v>
      </c>
      <c r="H960" s="8">
        <v>0.04</v>
      </c>
      <c r="I960" s="2">
        <v>1.345248</v>
      </c>
      <c r="J960" s="7" t="s">
        <v>188</v>
      </c>
    </row>
    <row r="961" spans="1:10" ht="28.5">
      <c r="A961" t="s">
        <v>187</v>
      </c>
      <c r="B961" t="s">
        <v>1394</v>
      </c>
      <c r="C961" t="s">
        <v>1467</v>
      </c>
      <c r="D961" t="s">
        <v>1468</v>
      </c>
      <c r="E961" t="s">
        <v>137</v>
      </c>
      <c r="F961" t="s">
        <v>108</v>
      </c>
      <c r="G961" t="s">
        <v>1388</v>
      </c>
      <c r="H961" s="8">
        <v>0.33</v>
      </c>
      <c r="I961" s="2">
        <v>11.098295999999999</v>
      </c>
      <c r="J961" s="7" t="s">
        <v>188</v>
      </c>
    </row>
    <row r="962" spans="1:10" ht="28.5">
      <c r="A962" t="s">
        <v>187</v>
      </c>
      <c r="B962" t="s">
        <v>1394</v>
      </c>
      <c r="C962" t="s">
        <v>3173</v>
      </c>
      <c r="D962" t="s">
        <v>3174</v>
      </c>
      <c r="E962" t="s">
        <v>440</v>
      </c>
      <c r="F962" t="s">
        <v>124</v>
      </c>
      <c r="G962" t="s">
        <v>1388</v>
      </c>
      <c r="H962" s="8">
        <v>0.09</v>
      </c>
      <c r="I962" s="2">
        <v>3.0268079999999999</v>
      </c>
      <c r="J962" s="7" t="s">
        <v>188</v>
      </c>
    </row>
    <row r="963" spans="1:10" ht="28.5">
      <c r="A963" t="s">
        <v>187</v>
      </c>
      <c r="B963" t="s">
        <v>1394</v>
      </c>
      <c r="C963" t="s">
        <v>3175</v>
      </c>
      <c r="D963" t="s">
        <v>3176</v>
      </c>
      <c r="E963" t="s">
        <v>1173</v>
      </c>
      <c r="F963" t="s">
        <v>23</v>
      </c>
      <c r="G963" t="s">
        <v>1388</v>
      </c>
      <c r="H963" s="8">
        <v>0.01</v>
      </c>
      <c r="I963" s="2">
        <v>0.336312</v>
      </c>
      <c r="J963" s="7" t="s">
        <v>188</v>
      </c>
    </row>
    <row r="964" spans="1:10" ht="28.5">
      <c r="A964" t="s">
        <v>187</v>
      </c>
      <c r="B964" t="s">
        <v>1394</v>
      </c>
      <c r="C964" t="s">
        <v>3177</v>
      </c>
      <c r="D964" t="s">
        <v>3178</v>
      </c>
      <c r="E964" t="s">
        <v>801</v>
      </c>
      <c r="F964" t="s">
        <v>23</v>
      </c>
      <c r="G964" t="s">
        <v>1388</v>
      </c>
      <c r="H964" s="8">
        <v>0.02</v>
      </c>
      <c r="I964" s="2">
        <v>0.672624</v>
      </c>
      <c r="J964" s="7" t="s">
        <v>188</v>
      </c>
    </row>
    <row r="965" spans="1:10" ht="28.5">
      <c r="A965" t="s">
        <v>187</v>
      </c>
      <c r="B965" t="s">
        <v>1394</v>
      </c>
      <c r="C965" t="s">
        <v>3179</v>
      </c>
      <c r="D965" t="s">
        <v>3180</v>
      </c>
      <c r="E965" t="s">
        <v>1219</v>
      </c>
      <c r="F965" t="s">
        <v>41</v>
      </c>
      <c r="G965" t="s">
        <v>1388</v>
      </c>
      <c r="H965" s="8">
        <v>0.01</v>
      </c>
      <c r="I965" s="2">
        <v>0.336312</v>
      </c>
      <c r="J965" s="7" t="s">
        <v>188</v>
      </c>
    </row>
    <row r="966" spans="1:10" ht="28.5">
      <c r="A966" t="s">
        <v>187</v>
      </c>
      <c r="B966" t="s">
        <v>1394</v>
      </c>
      <c r="C966" t="s">
        <v>3181</v>
      </c>
      <c r="D966" t="s">
        <v>3182</v>
      </c>
      <c r="E966" t="s">
        <v>360</v>
      </c>
      <c r="F966" t="s">
        <v>23</v>
      </c>
      <c r="G966" t="s">
        <v>1388</v>
      </c>
      <c r="H966" s="8">
        <v>0.12</v>
      </c>
      <c r="I966" s="2">
        <v>4.0357439999999993</v>
      </c>
      <c r="J966" s="7" t="s">
        <v>188</v>
      </c>
    </row>
    <row r="967" spans="1:10" ht="28.5">
      <c r="A967" t="s">
        <v>187</v>
      </c>
      <c r="B967" t="s">
        <v>1394</v>
      </c>
      <c r="C967" t="s">
        <v>3183</v>
      </c>
      <c r="D967" t="s">
        <v>3184</v>
      </c>
      <c r="E967" t="s">
        <v>706</v>
      </c>
      <c r="F967" t="s">
        <v>38</v>
      </c>
      <c r="G967" t="s">
        <v>1388</v>
      </c>
      <c r="H967" s="8">
        <v>0.01</v>
      </c>
      <c r="I967" s="2">
        <v>0.336312</v>
      </c>
      <c r="J967" s="7" t="s">
        <v>188</v>
      </c>
    </row>
    <row r="968" spans="1:10" ht="28.5">
      <c r="A968" t="s">
        <v>187</v>
      </c>
      <c r="B968" t="s">
        <v>1394</v>
      </c>
      <c r="C968" t="s">
        <v>3185</v>
      </c>
      <c r="D968" t="s">
        <v>3186</v>
      </c>
      <c r="E968" t="s">
        <v>1058</v>
      </c>
      <c r="F968" t="s">
        <v>23</v>
      </c>
      <c r="G968" t="s">
        <v>1388</v>
      </c>
      <c r="H968" s="8">
        <v>0.02</v>
      </c>
      <c r="I968" s="2">
        <v>0.672624</v>
      </c>
      <c r="J968" s="7" t="s">
        <v>188</v>
      </c>
    </row>
    <row r="969" spans="1:10" ht="28.5">
      <c r="A969" t="s">
        <v>187</v>
      </c>
      <c r="B969" t="s">
        <v>1394</v>
      </c>
      <c r="C969" t="s">
        <v>3187</v>
      </c>
      <c r="D969" t="s">
        <v>3188</v>
      </c>
      <c r="E969" t="s">
        <v>957</v>
      </c>
      <c r="F969" t="s">
        <v>253</v>
      </c>
      <c r="G969" t="s">
        <v>1388</v>
      </c>
      <c r="H969" s="8">
        <v>0.01</v>
      </c>
      <c r="I969" s="2">
        <v>0.336312</v>
      </c>
      <c r="J969" s="7" t="s">
        <v>188</v>
      </c>
    </row>
    <row r="970" spans="1:10" ht="28.5">
      <c r="A970" t="s">
        <v>187</v>
      </c>
      <c r="B970" t="s">
        <v>1394</v>
      </c>
      <c r="C970" t="s">
        <v>3189</v>
      </c>
      <c r="D970" t="s">
        <v>3190</v>
      </c>
      <c r="E970" t="s">
        <v>553</v>
      </c>
      <c r="F970" t="s">
        <v>23</v>
      </c>
      <c r="G970" t="s">
        <v>1388</v>
      </c>
      <c r="H970" s="8">
        <v>0.04</v>
      </c>
      <c r="I970" s="2">
        <v>1.345248</v>
      </c>
      <c r="J970" s="7" t="s">
        <v>188</v>
      </c>
    </row>
    <row r="971" spans="1:10" ht="28.5">
      <c r="A971" t="s">
        <v>187</v>
      </c>
      <c r="B971" t="s">
        <v>1394</v>
      </c>
      <c r="C971" t="s">
        <v>3191</v>
      </c>
      <c r="D971" t="s">
        <v>3192</v>
      </c>
      <c r="E971" t="s">
        <v>881</v>
      </c>
      <c r="F971" t="s">
        <v>41</v>
      </c>
      <c r="G971" t="s">
        <v>1388</v>
      </c>
      <c r="H971" s="8">
        <v>0.03</v>
      </c>
      <c r="I971" s="2">
        <v>1.0089359999999998</v>
      </c>
      <c r="J971" s="7" t="s">
        <v>188</v>
      </c>
    </row>
    <row r="972" spans="1:10" ht="28.5">
      <c r="A972" t="s">
        <v>187</v>
      </c>
      <c r="B972" t="s">
        <v>1394</v>
      </c>
      <c r="C972" t="s">
        <v>3165</v>
      </c>
      <c r="D972" t="s">
        <v>3193</v>
      </c>
      <c r="E972" t="s">
        <v>906</v>
      </c>
      <c r="F972" t="s">
        <v>253</v>
      </c>
      <c r="G972" t="s">
        <v>1388</v>
      </c>
      <c r="H972" s="8">
        <v>0.03</v>
      </c>
      <c r="I972" s="2">
        <v>1.0089359999999998</v>
      </c>
      <c r="J972" s="7" t="s">
        <v>188</v>
      </c>
    </row>
    <row r="973" spans="1:10" ht="28.5">
      <c r="A973" t="s">
        <v>187</v>
      </c>
      <c r="B973" t="s">
        <v>1394</v>
      </c>
      <c r="C973" t="s">
        <v>3194</v>
      </c>
      <c r="D973" t="s">
        <v>3195</v>
      </c>
      <c r="E973" t="s">
        <v>622</v>
      </c>
      <c r="F973" t="s">
        <v>23</v>
      </c>
      <c r="G973" t="s">
        <v>1388</v>
      </c>
      <c r="H973" s="8">
        <v>0.03</v>
      </c>
      <c r="I973" s="2">
        <v>1.0089359999999998</v>
      </c>
      <c r="J973" s="7" t="s">
        <v>188</v>
      </c>
    </row>
    <row r="974" spans="1:10" ht="28.5">
      <c r="A974" t="s">
        <v>187</v>
      </c>
      <c r="B974" t="s">
        <v>1394</v>
      </c>
      <c r="C974" t="s">
        <v>3196</v>
      </c>
      <c r="D974" t="s">
        <v>3197</v>
      </c>
      <c r="E974" t="s">
        <v>1259</v>
      </c>
      <c r="F974" t="s">
        <v>33</v>
      </c>
      <c r="G974" t="s">
        <v>1388</v>
      </c>
      <c r="H974" s="8">
        <v>0.01</v>
      </c>
      <c r="I974" s="2">
        <v>0.336312</v>
      </c>
      <c r="J974" s="7" t="s">
        <v>188</v>
      </c>
    </row>
    <row r="975" spans="1:10" ht="28.5">
      <c r="A975" t="s">
        <v>187</v>
      </c>
      <c r="B975" t="s">
        <v>1394</v>
      </c>
      <c r="C975" t="s">
        <v>1469</v>
      </c>
      <c r="D975" t="s">
        <v>1470</v>
      </c>
      <c r="E975" t="s">
        <v>131</v>
      </c>
      <c r="F975" t="s">
        <v>108</v>
      </c>
      <c r="G975" t="s">
        <v>1388</v>
      </c>
      <c r="H975" s="8">
        <v>0.39</v>
      </c>
      <c r="I975" s="2">
        <v>13.116168</v>
      </c>
      <c r="J975" s="7" t="s">
        <v>188</v>
      </c>
    </row>
    <row r="976" spans="1:10" ht="28.5">
      <c r="A976" t="s">
        <v>187</v>
      </c>
      <c r="B976" t="s">
        <v>1394</v>
      </c>
      <c r="C976" t="s">
        <v>3198</v>
      </c>
      <c r="D976" t="s">
        <v>3199</v>
      </c>
      <c r="E976" t="s">
        <v>332</v>
      </c>
      <c r="F976" t="s">
        <v>23</v>
      </c>
      <c r="G976" t="s">
        <v>1388</v>
      </c>
      <c r="H976" s="8">
        <v>0.13</v>
      </c>
      <c r="I976" s="2">
        <v>4.3720559999999997</v>
      </c>
      <c r="J976" s="7" t="s">
        <v>188</v>
      </c>
    </row>
    <row r="977" spans="1:10" ht="28.5">
      <c r="A977" t="s">
        <v>187</v>
      </c>
      <c r="B977" t="s">
        <v>1394</v>
      </c>
      <c r="C977" t="s">
        <v>3200</v>
      </c>
      <c r="D977" t="s">
        <v>3201</v>
      </c>
      <c r="E977" t="s">
        <v>290</v>
      </c>
      <c r="F977" t="s">
        <v>263</v>
      </c>
      <c r="G977" t="s">
        <v>1388</v>
      </c>
      <c r="H977" s="8">
        <v>0.16</v>
      </c>
      <c r="I977" s="2">
        <v>5.380992</v>
      </c>
      <c r="J977" s="7" t="s">
        <v>188</v>
      </c>
    </row>
    <row r="978" spans="1:10" ht="28.5">
      <c r="A978" t="s">
        <v>187</v>
      </c>
      <c r="B978" t="s">
        <v>1394</v>
      </c>
      <c r="C978" t="s">
        <v>3202</v>
      </c>
      <c r="D978" t="s">
        <v>3203</v>
      </c>
      <c r="E978" t="s">
        <v>535</v>
      </c>
      <c r="F978" t="s">
        <v>38</v>
      </c>
      <c r="G978" t="s">
        <v>1388</v>
      </c>
      <c r="H978" s="8">
        <v>7.0000000000000007E-2</v>
      </c>
      <c r="I978" s="2">
        <v>2.3541840000000001</v>
      </c>
      <c r="J978" s="7" t="s">
        <v>188</v>
      </c>
    </row>
    <row r="979" spans="1:10" ht="28.5">
      <c r="A979" t="s">
        <v>187</v>
      </c>
      <c r="B979" t="s">
        <v>1394</v>
      </c>
      <c r="C979" t="s">
        <v>3204</v>
      </c>
      <c r="D979" t="s">
        <v>3205</v>
      </c>
      <c r="E979" t="s">
        <v>303</v>
      </c>
      <c r="F979" t="s">
        <v>23</v>
      </c>
      <c r="G979" t="s">
        <v>1388</v>
      </c>
      <c r="H979" s="8">
        <v>0.04</v>
      </c>
      <c r="I979" s="2">
        <v>1.345248</v>
      </c>
      <c r="J979" s="7" t="s">
        <v>188</v>
      </c>
    </row>
    <row r="980" spans="1:10" ht="28.5">
      <c r="A980" t="s">
        <v>187</v>
      </c>
      <c r="B980" t="s">
        <v>1394</v>
      </c>
      <c r="C980" t="s">
        <v>3204</v>
      </c>
      <c r="D980" t="s">
        <v>3206</v>
      </c>
      <c r="E980" t="s">
        <v>741</v>
      </c>
      <c r="F980" t="s">
        <v>23</v>
      </c>
      <c r="G980" t="s">
        <v>1388</v>
      </c>
      <c r="H980" s="8">
        <v>0.04</v>
      </c>
      <c r="I980" s="2">
        <v>1.345248</v>
      </c>
      <c r="J980" s="7" t="s">
        <v>188</v>
      </c>
    </row>
    <row r="981" spans="1:10" ht="28.5">
      <c r="A981" t="s">
        <v>187</v>
      </c>
      <c r="B981" t="s">
        <v>1394</v>
      </c>
      <c r="C981" t="s">
        <v>3207</v>
      </c>
      <c r="D981" t="s">
        <v>3208</v>
      </c>
      <c r="E981" t="s">
        <v>736</v>
      </c>
      <c r="F981" t="s">
        <v>50</v>
      </c>
      <c r="G981" t="s">
        <v>1388</v>
      </c>
      <c r="H981" s="8">
        <v>0.04</v>
      </c>
      <c r="I981" s="2">
        <v>1.345248</v>
      </c>
      <c r="J981" s="7" t="s">
        <v>188</v>
      </c>
    </row>
    <row r="982" spans="1:10" ht="28.5">
      <c r="A982" t="s">
        <v>187</v>
      </c>
      <c r="B982" t="s">
        <v>1394</v>
      </c>
      <c r="C982" t="s">
        <v>3209</v>
      </c>
      <c r="D982" t="s">
        <v>3210</v>
      </c>
      <c r="E982" t="s">
        <v>1078</v>
      </c>
      <c r="F982" t="s">
        <v>25</v>
      </c>
      <c r="G982" t="s">
        <v>1388</v>
      </c>
      <c r="H982" s="8">
        <v>0.02</v>
      </c>
      <c r="I982" s="2">
        <v>0.672624</v>
      </c>
      <c r="J982" s="7" t="s">
        <v>188</v>
      </c>
    </row>
    <row r="983" spans="1:10" ht="28.5">
      <c r="A983" t="s">
        <v>187</v>
      </c>
      <c r="B983" t="s">
        <v>1394</v>
      </c>
      <c r="C983" t="s">
        <v>3211</v>
      </c>
      <c r="D983" t="s">
        <v>3212</v>
      </c>
      <c r="E983" t="s">
        <v>743</v>
      </c>
      <c r="F983" t="s">
        <v>253</v>
      </c>
      <c r="G983" t="s">
        <v>1388</v>
      </c>
      <c r="H983" s="8">
        <v>0.04</v>
      </c>
      <c r="I983" s="2">
        <v>1.345248</v>
      </c>
      <c r="J983" s="7" t="s">
        <v>188</v>
      </c>
    </row>
    <row r="984" spans="1:10" ht="28.5">
      <c r="A984" t="s">
        <v>187</v>
      </c>
      <c r="B984" t="s">
        <v>1394</v>
      </c>
      <c r="C984" t="s">
        <v>3213</v>
      </c>
      <c r="D984" t="s">
        <v>3214</v>
      </c>
      <c r="E984" t="s">
        <v>653</v>
      </c>
      <c r="F984" t="s">
        <v>263</v>
      </c>
      <c r="G984" t="s">
        <v>1388</v>
      </c>
      <c r="H984" s="8">
        <v>0.05</v>
      </c>
      <c r="I984" s="2">
        <v>1.6815600000000002</v>
      </c>
      <c r="J984" s="7" t="s">
        <v>188</v>
      </c>
    </row>
    <row r="985" spans="1:10" ht="28.5">
      <c r="A985" t="s">
        <v>187</v>
      </c>
      <c r="B985" t="s">
        <v>1394</v>
      </c>
      <c r="C985" t="s">
        <v>3215</v>
      </c>
      <c r="D985" t="s">
        <v>3216</v>
      </c>
      <c r="E985" t="s">
        <v>409</v>
      </c>
      <c r="F985" t="s">
        <v>27</v>
      </c>
      <c r="G985" t="s">
        <v>1388</v>
      </c>
      <c r="H985" s="8">
        <v>0.03</v>
      </c>
      <c r="I985" s="2">
        <v>1.0089359999999998</v>
      </c>
      <c r="J985" s="7" t="s">
        <v>188</v>
      </c>
    </row>
    <row r="986" spans="1:10" ht="28.5">
      <c r="A986" t="s">
        <v>187</v>
      </c>
      <c r="B986" t="s">
        <v>1394</v>
      </c>
      <c r="C986" t="s">
        <v>3217</v>
      </c>
      <c r="D986" t="s">
        <v>3218</v>
      </c>
      <c r="E986" t="s">
        <v>413</v>
      </c>
      <c r="F986" t="s">
        <v>38</v>
      </c>
      <c r="G986" t="s">
        <v>1388</v>
      </c>
      <c r="H986" s="8">
        <v>0.03</v>
      </c>
      <c r="I986" s="2">
        <v>1.0089359999999998</v>
      </c>
      <c r="J986" s="7" t="s">
        <v>188</v>
      </c>
    </row>
    <row r="987" spans="1:10" ht="28.5">
      <c r="A987" t="s">
        <v>187</v>
      </c>
      <c r="B987" t="s">
        <v>1394</v>
      </c>
      <c r="C987" t="s">
        <v>3219</v>
      </c>
      <c r="D987" t="s">
        <v>3220</v>
      </c>
      <c r="E987" t="s">
        <v>832</v>
      </c>
      <c r="F987" t="s">
        <v>50</v>
      </c>
      <c r="G987" t="s">
        <v>1388</v>
      </c>
      <c r="H987" s="8">
        <v>0.01</v>
      </c>
      <c r="I987" s="2">
        <v>0.336312</v>
      </c>
      <c r="J987" s="7" t="s">
        <v>188</v>
      </c>
    </row>
    <row r="988" spans="1:10" ht="28.5">
      <c r="A988" t="s">
        <v>187</v>
      </c>
      <c r="B988" t="s">
        <v>1394</v>
      </c>
      <c r="C988" t="s">
        <v>3221</v>
      </c>
      <c r="D988" t="s">
        <v>3222</v>
      </c>
      <c r="E988" t="s">
        <v>895</v>
      </c>
      <c r="F988" t="s">
        <v>23</v>
      </c>
      <c r="G988" t="s">
        <v>1388</v>
      </c>
      <c r="H988" s="8">
        <v>0.03</v>
      </c>
      <c r="I988" s="2">
        <v>1.0089359999999998</v>
      </c>
      <c r="J988" s="7" t="s">
        <v>188</v>
      </c>
    </row>
    <row r="989" spans="1:10" ht="28.5">
      <c r="A989" t="s">
        <v>187</v>
      </c>
      <c r="B989" t="s">
        <v>1394</v>
      </c>
      <c r="C989" t="s">
        <v>3223</v>
      </c>
      <c r="D989" t="s">
        <v>3224</v>
      </c>
      <c r="E989" t="s">
        <v>963</v>
      </c>
      <c r="F989" t="s">
        <v>33</v>
      </c>
      <c r="G989" t="s">
        <v>1388</v>
      </c>
      <c r="H989" s="8">
        <v>0.01</v>
      </c>
      <c r="I989" s="2">
        <v>0.336312</v>
      </c>
      <c r="J989" s="7" t="s">
        <v>188</v>
      </c>
    </row>
    <row r="990" spans="1:10" ht="28.5">
      <c r="A990" t="s">
        <v>187</v>
      </c>
      <c r="B990" t="s">
        <v>1394</v>
      </c>
      <c r="C990" t="s">
        <v>3225</v>
      </c>
      <c r="D990" t="s">
        <v>3226</v>
      </c>
      <c r="E990" t="s">
        <v>858</v>
      </c>
      <c r="F990" t="s">
        <v>25</v>
      </c>
      <c r="G990" t="s">
        <v>1388</v>
      </c>
      <c r="H990" s="8">
        <v>0.03</v>
      </c>
      <c r="I990" s="2">
        <v>1.0089359999999998</v>
      </c>
      <c r="J990" s="7" t="s">
        <v>188</v>
      </c>
    </row>
    <row r="991" spans="1:10" ht="28.5">
      <c r="A991" t="s">
        <v>187</v>
      </c>
      <c r="B991" t="s">
        <v>1394</v>
      </c>
      <c r="C991" t="s">
        <v>3227</v>
      </c>
      <c r="D991" t="s">
        <v>3228</v>
      </c>
      <c r="E991" t="s">
        <v>181</v>
      </c>
      <c r="F991" t="s">
        <v>25</v>
      </c>
      <c r="G991" t="s">
        <v>1388</v>
      </c>
      <c r="H991" s="8">
        <v>0.2</v>
      </c>
      <c r="I991" s="2">
        <v>6.7262400000000007</v>
      </c>
      <c r="J991" s="7" t="s">
        <v>188</v>
      </c>
    </row>
    <row r="992" spans="1:10" ht="28.5">
      <c r="A992" t="s">
        <v>187</v>
      </c>
      <c r="B992" t="s">
        <v>1394</v>
      </c>
      <c r="C992" t="s">
        <v>3229</v>
      </c>
      <c r="D992" t="s">
        <v>3230</v>
      </c>
      <c r="E992" t="s">
        <v>383</v>
      </c>
      <c r="F992" t="s">
        <v>50</v>
      </c>
      <c r="G992" t="s">
        <v>1388</v>
      </c>
      <c r="H992" s="8">
        <v>0.11</v>
      </c>
      <c r="I992" s="2">
        <v>3.6994319999999998</v>
      </c>
      <c r="J992" s="7" t="s">
        <v>188</v>
      </c>
    </row>
    <row r="993" spans="1:10" ht="28.5">
      <c r="A993" t="s">
        <v>187</v>
      </c>
      <c r="B993" t="s">
        <v>1394</v>
      </c>
      <c r="C993" t="s">
        <v>3231</v>
      </c>
      <c r="D993" t="s">
        <v>3232</v>
      </c>
      <c r="E993" t="s">
        <v>922</v>
      </c>
      <c r="F993" t="s">
        <v>33</v>
      </c>
      <c r="G993" t="s">
        <v>1388</v>
      </c>
      <c r="H993" s="8">
        <v>0.03</v>
      </c>
      <c r="I993" s="2">
        <v>1.0089359999999998</v>
      </c>
      <c r="J993" s="7" t="s">
        <v>188</v>
      </c>
    </row>
    <row r="994" spans="1:10" ht="28.5">
      <c r="A994" t="s">
        <v>187</v>
      </c>
      <c r="B994" t="s">
        <v>1394</v>
      </c>
      <c r="C994" t="s">
        <v>3233</v>
      </c>
      <c r="D994" t="s">
        <v>3234</v>
      </c>
      <c r="E994" t="s">
        <v>938</v>
      </c>
      <c r="F994" t="s">
        <v>23</v>
      </c>
      <c r="G994" t="s">
        <v>1388</v>
      </c>
      <c r="H994" s="8">
        <v>0.01</v>
      </c>
      <c r="I994" s="2">
        <v>0.336312</v>
      </c>
      <c r="J994" s="7" t="s">
        <v>188</v>
      </c>
    </row>
    <row r="995" spans="1:10" ht="28.5">
      <c r="A995" t="s">
        <v>187</v>
      </c>
      <c r="B995" t="s">
        <v>1394</v>
      </c>
      <c r="C995" t="s">
        <v>3235</v>
      </c>
      <c r="D995" t="s">
        <v>3236</v>
      </c>
      <c r="E995" t="s">
        <v>1266</v>
      </c>
      <c r="F995" t="s">
        <v>38</v>
      </c>
      <c r="G995" t="s">
        <v>1388</v>
      </c>
      <c r="H995" s="8">
        <v>0.01</v>
      </c>
      <c r="I995" s="2">
        <v>0.336312</v>
      </c>
      <c r="J995" s="7" t="s">
        <v>188</v>
      </c>
    </row>
    <row r="996" spans="1:10" ht="28.5">
      <c r="A996" t="s">
        <v>187</v>
      </c>
      <c r="B996" t="s">
        <v>1394</v>
      </c>
      <c r="C996" t="s">
        <v>3237</v>
      </c>
      <c r="D996" t="s">
        <v>3238</v>
      </c>
      <c r="E996" t="s">
        <v>1363</v>
      </c>
      <c r="F996" t="s">
        <v>50</v>
      </c>
      <c r="G996" t="s">
        <v>1388</v>
      </c>
      <c r="H996" s="8">
        <v>0</v>
      </c>
      <c r="I996" s="2">
        <v>0</v>
      </c>
      <c r="J996" s="7" t="s">
        <v>188</v>
      </c>
    </row>
    <row r="997" spans="1:10" ht="28.5">
      <c r="A997" t="s">
        <v>187</v>
      </c>
      <c r="B997" t="s">
        <v>1394</v>
      </c>
      <c r="C997" t="s">
        <v>3239</v>
      </c>
      <c r="D997" t="s">
        <v>3240</v>
      </c>
      <c r="E997" t="s">
        <v>840</v>
      </c>
      <c r="F997" t="s">
        <v>23</v>
      </c>
      <c r="G997" t="s">
        <v>1388</v>
      </c>
      <c r="H997" s="8">
        <v>0.03</v>
      </c>
      <c r="I997" s="2">
        <v>1.0089359999999998</v>
      </c>
      <c r="J997" s="7" t="s">
        <v>188</v>
      </c>
    </row>
    <row r="998" spans="1:10" ht="28.5">
      <c r="A998" t="s">
        <v>187</v>
      </c>
      <c r="B998" t="s">
        <v>1394</v>
      </c>
      <c r="C998" t="s">
        <v>3241</v>
      </c>
      <c r="D998" t="s">
        <v>3242</v>
      </c>
      <c r="E998" t="s">
        <v>1013</v>
      </c>
      <c r="F998" t="s">
        <v>50</v>
      </c>
      <c r="G998" t="s">
        <v>1388</v>
      </c>
      <c r="H998" s="8">
        <v>0.02</v>
      </c>
      <c r="I998" s="2">
        <v>0.672624</v>
      </c>
      <c r="J998" s="7" t="s">
        <v>188</v>
      </c>
    </row>
    <row r="999" spans="1:10" ht="28.5">
      <c r="A999" t="s">
        <v>187</v>
      </c>
      <c r="B999" t="s">
        <v>1394</v>
      </c>
      <c r="C999" t="s">
        <v>3243</v>
      </c>
      <c r="D999" t="s">
        <v>3244</v>
      </c>
      <c r="E999" t="s">
        <v>1273</v>
      </c>
      <c r="F999" t="s">
        <v>27</v>
      </c>
      <c r="G999" t="s">
        <v>1388</v>
      </c>
      <c r="H999" s="8">
        <v>0.01</v>
      </c>
      <c r="I999" s="2">
        <v>0.336312</v>
      </c>
      <c r="J999" s="7" t="s">
        <v>188</v>
      </c>
    </row>
    <row r="1000" spans="1:10" ht="28.5">
      <c r="A1000" t="s">
        <v>187</v>
      </c>
      <c r="B1000" t="s">
        <v>1394</v>
      </c>
      <c r="C1000" t="s">
        <v>3245</v>
      </c>
      <c r="D1000" t="s">
        <v>3246</v>
      </c>
      <c r="E1000" t="s">
        <v>538</v>
      </c>
      <c r="F1000" t="s">
        <v>263</v>
      </c>
      <c r="G1000" t="s">
        <v>1388</v>
      </c>
      <c r="H1000" s="8">
        <v>7.0000000000000007E-2</v>
      </c>
      <c r="I1000" s="2">
        <v>2.3541840000000001</v>
      </c>
      <c r="J1000" s="7" t="s">
        <v>188</v>
      </c>
    </row>
    <row r="1001" spans="1:10" ht="28.5">
      <c r="A1001" t="s">
        <v>187</v>
      </c>
      <c r="B1001" t="s">
        <v>1394</v>
      </c>
      <c r="C1001" t="s">
        <v>3247</v>
      </c>
      <c r="D1001" t="s">
        <v>3248</v>
      </c>
      <c r="E1001" t="s">
        <v>683</v>
      </c>
      <c r="F1001" t="s">
        <v>108</v>
      </c>
      <c r="G1001" t="s">
        <v>1388</v>
      </c>
      <c r="H1001" s="8">
        <v>0.05</v>
      </c>
      <c r="I1001" s="2">
        <v>1.6815600000000002</v>
      </c>
      <c r="J1001" s="7" t="s">
        <v>188</v>
      </c>
    </row>
    <row r="1002" spans="1:10" ht="28.5">
      <c r="A1002" t="s">
        <v>187</v>
      </c>
      <c r="B1002" t="s">
        <v>1394</v>
      </c>
      <c r="C1002" t="s">
        <v>3249</v>
      </c>
      <c r="D1002" t="s">
        <v>3250</v>
      </c>
      <c r="E1002" t="s">
        <v>1313</v>
      </c>
      <c r="F1002" t="s">
        <v>33</v>
      </c>
      <c r="G1002" t="s">
        <v>1388</v>
      </c>
      <c r="H1002" s="8">
        <v>0.01</v>
      </c>
      <c r="I1002" s="2">
        <v>0.336312</v>
      </c>
      <c r="J1002" s="7" t="s">
        <v>188</v>
      </c>
    </row>
    <row r="1003" spans="1:10" ht="28.5">
      <c r="A1003" t="s">
        <v>187</v>
      </c>
      <c r="B1003" t="s">
        <v>1394</v>
      </c>
      <c r="C1003" t="s">
        <v>3251</v>
      </c>
      <c r="D1003" t="s">
        <v>3252</v>
      </c>
      <c r="E1003" t="s">
        <v>358</v>
      </c>
      <c r="F1003" t="s">
        <v>50</v>
      </c>
      <c r="G1003" t="s">
        <v>1388</v>
      </c>
      <c r="H1003" s="8">
        <v>0.12</v>
      </c>
      <c r="I1003" s="2">
        <v>4.0357439999999993</v>
      </c>
      <c r="J1003" s="7" t="s">
        <v>188</v>
      </c>
    </row>
    <row r="1004" spans="1:10" ht="28.5">
      <c r="A1004" t="s">
        <v>187</v>
      </c>
      <c r="B1004" t="s">
        <v>1394</v>
      </c>
      <c r="C1004" t="s">
        <v>3253</v>
      </c>
      <c r="D1004" t="s">
        <v>3254</v>
      </c>
      <c r="E1004" t="s">
        <v>1022</v>
      </c>
      <c r="F1004" t="s">
        <v>27</v>
      </c>
      <c r="G1004" t="s">
        <v>1388</v>
      </c>
      <c r="H1004" s="8">
        <v>0.02</v>
      </c>
      <c r="I1004" s="2">
        <v>0.672624</v>
      </c>
      <c r="J1004" s="7" t="s">
        <v>188</v>
      </c>
    </row>
    <row r="1005" spans="1:10" ht="28.5">
      <c r="A1005" t="s">
        <v>187</v>
      </c>
      <c r="B1005" t="s">
        <v>1394</v>
      </c>
      <c r="C1005" t="s">
        <v>3255</v>
      </c>
      <c r="D1005" t="s">
        <v>3256</v>
      </c>
      <c r="E1005" t="s">
        <v>1375</v>
      </c>
      <c r="F1005" t="s">
        <v>253</v>
      </c>
      <c r="G1005" t="s">
        <v>1388</v>
      </c>
      <c r="H1005" s="8">
        <v>0</v>
      </c>
      <c r="I1005" s="2">
        <v>0</v>
      </c>
      <c r="J1005" s="7" t="s">
        <v>188</v>
      </c>
    </row>
    <row r="1006" spans="1:10" ht="28.5">
      <c r="A1006" t="s">
        <v>187</v>
      </c>
      <c r="B1006" t="s">
        <v>1394</v>
      </c>
      <c r="C1006" t="s">
        <v>3257</v>
      </c>
      <c r="D1006" t="s">
        <v>3258</v>
      </c>
      <c r="E1006" t="s">
        <v>1068</v>
      </c>
      <c r="F1006" t="s">
        <v>263</v>
      </c>
      <c r="G1006" t="s">
        <v>1388</v>
      </c>
      <c r="H1006" s="8">
        <v>0.02</v>
      </c>
      <c r="I1006" s="2">
        <v>0.672624</v>
      </c>
      <c r="J1006" s="7" t="s">
        <v>188</v>
      </c>
    </row>
    <row r="1007" spans="1:10" ht="28.5">
      <c r="A1007" t="s">
        <v>187</v>
      </c>
      <c r="B1007" t="s">
        <v>1394</v>
      </c>
      <c r="C1007" t="s">
        <v>3259</v>
      </c>
      <c r="D1007" t="s">
        <v>3260</v>
      </c>
      <c r="E1007" t="s">
        <v>488</v>
      </c>
      <c r="F1007" t="s">
        <v>33</v>
      </c>
      <c r="G1007" t="s">
        <v>1388</v>
      </c>
      <c r="H1007" s="8">
        <v>0.08</v>
      </c>
      <c r="I1007" s="2">
        <v>2.690496</v>
      </c>
      <c r="J1007" s="7" t="s">
        <v>188</v>
      </c>
    </row>
    <row r="1008" spans="1:10" ht="28.5">
      <c r="A1008" t="s">
        <v>187</v>
      </c>
      <c r="B1008" t="s">
        <v>1394</v>
      </c>
      <c r="C1008" t="s">
        <v>3261</v>
      </c>
      <c r="D1008" t="s">
        <v>3262</v>
      </c>
      <c r="E1008" t="s">
        <v>570</v>
      </c>
      <c r="F1008" t="s">
        <v>23</v>
      </c>
      <c r="G1008" t="s">
        <v>1388</v>
      </c>
      <c r="H1008" s="8">
        <v>0.03</v>
      </c>
      <c r="I1008" s="2">
        <v>1.0089359999999998</v>
      </c>
      <c r="J1008" s="7" t="s">
        <v>188</v>
      </c>
    </row>
    <row r="1009" spans="1:10" ht="28.5">
      <c r="A1009" t="s">
        <v>187</v>
      </c>
      <c r="B1009" t="s">
        <v>1394</v>
      </c>
      <c r="C1009" t="s">
        <v>3263</v>
      </c>
      <c r="D1009" t="s">
        <v>3264</v>
      </c>
      <c r="E1009" t="s">
        <v>983</v>
      </c>
      <c r="F1009" t="s">
        <v>41</v>
      </c>
      <c r="G1009" t="s">
        <v>1388</v>
      </c>
      <c r="H1009" s="8">
        <v>0.02</v>
      </c>
      <c r="I1009" s="2">
        <v>0.672624</v>
      </c>
      <c r="J1009" s="7" t="s">
        <v>188</v>
      </c>
    </row>
    <row r="1010" spans="1:10" ht="28.5">
      <c r="A1010" t="s">
        <v>187</v>
      </c>
      <c r="B1010" t="s">
        <v>1394</v>
      </c>
      <c r="C1010" t="s">
        <v>3265</v>
      </c>
      <c r="D1010" t="s">
        <v>3266</v>
      </c>
      <c r="E1010" t="s">
        <v>536</v>
      </c>
      <c r="F1010" t="s">
        <v>50</v>
      </c>
      <c r="G1010" t="s">
        <v>1388</v>
      </c>
      <c r="H1010" s="8">
        <v>7.0000000000000007E-2</v>
      </c>
      <c r="I1010" s="2">
        <v>2.3541840000000001</v>
      </c>
      <c r="J1010" s="7" t="s">
        <v>188</v>
      </c>
    </row>
    <row r="1011" spans="1:10" ht="28.5">
      <c r="A1011" t="s">
        <v>187</v>
      </c>
      <c r="B1011" t="s">
        <v>1394</v>
      </c>
      <c r="C1011" t="s">
        <v>3267</v>
      </c>
      <c r="D1011" t="s">
        <v>3268</v>
      </c>
      <c r="E1011" t="s">
        <v>694</v>
      </c>
      <c r="F1011" t="s">
        <v>38</v>
      </c>
      <c r="G1011" t="s">
        <v>1388</v>
      </c>
      <c r="H1011" s="8">
        <v>0.01</v>
      </c>
      <c r="I1011" s="2">
        <v>0.336312</v>
      </c>
      <c r="J1011" s="7" t="s">
        <v>188</v>
      </c>
    </row>
    <row r="1012" spans="1:10" ht="28.5">
      <c r="A1012" t="s">
        <v>187</v>
      </c>
      <c r="B1012" t="s">
        <v>1394</v>
      </c>
      <c r="C1012" t="s">
        <v>3269</v>
      </c>
      <c r="D1012" t="s">
        <v>3270</v>
      </c>
      <c r="E1012" t="s">
        <v>220</v>
      </c>
      <c r="F1012" t="s">
        <v>25</v>
      </c>
      <c r="G1012" t="s">
        <v>1388</v>
      </c>
      <c r="H1012" s="8">
        <v>0.05</v>
      </c>
      <c r="I1012" s="2">
        <v>1.6815600000000002</v>
      </c>
      <c r="J1012" s="7" t="s">
        <v>188</v>
      </c>
    </row>
    <row r="1013" spans="1:10" ht="28.5">
      <c r="A1013" t="s">
        <v>187</v>
      </c>
      <c r="B1013" t="s">
        <v>1394</v>
      </c>
      <c r="C1013" t="s">
        <v>3271</v>
      </c>
      <c r="D1013" t="s">
        <v>3272</v>
      </c>
      <c r="E1013" t="s">
        <v>1116</v>
      </c>
      <c r="F1013" t="s">
        <v>50</v>
      </c>
      <c r="G1013" t="s">
        <v>1388</v>
      </c>
      <c r="H1013" s="8">
        <v>0.02</v>
      </c>
      <c r="I1013" s="2">
        <v>0.672624</v>
      </c>
      <c r="J1013" s="7" t="s">
        <v>188</v>
      </c>
    </row>
    <row r="1014" spans="1:10" ht="28.5">
      <c r="A1014" t="s">
        <v>187</v>
      </c>
      <c r="B1014" t="s">
        <v>1394</v>
      </c>
      <c r="C1014" t="s">
        <v>3273</v>
      </c>
      <c r="D1014" t="s">
        <v>3274</v>
      </c>
      <c r="E1014" t="s">
        <v>326</v>
      </c>
      <c r="F1014" t="s">
        <v>124</v>
      </c>
      <c r="G1014" t="s">
        <v>1388</v>
      </c>
      <c r="H1014" s="8">
        <v>0.04</v>
      </c>
      <c r="I1014" s="2">
        <v>1.345248</v>
      </c>
      <c r="J1014" s="7" t="s">
        <v>188</v>
      </c>
    </row>
    <row r="1015" spans="1:10" ht="28.5">
      <c r="A1015" t="s">
        <v>187</v>
      </c>
      <c r="B1015" t="s">
        <v>1394</v>
      </c>
      <c r="C1015" t="s">
        <v>3275</v>
      </c>
      <c r="D1015" t="s">
        <v>3276</v>
      </c>
      <c r="E1015" t="s">
        <v>658</v>
      </c>
      <c r="F1015" t="s">
        <v>50</v>
      </c>
      <c r="G1015" t="s">
        <v>1388</v>
      </c>
      <c r="H1015" s="8">
        <v>0.05</v>
      </c>
      <c r="I1015" s="2">
        <v>1.6815600000000002</v>
      </c>
      <c r="J1015" s="7" t="s">
        <v>188</v>
      </c>
    </row>
    <row r="1016" spans="1:10" ht="28.5">
      <c r="A1016" t="s">
        <v>187</v>
      </c>
      <c r="B1016" t="s">
        <v>1394</v>
      </c>
      <c r="C1016" t="s">
        <v>3277</v>
      </c>
      <c r="D1016" t="s">
        <v>3278</v>
      </c>
      <c r="E1016" t="s">
        <v>859</v>
      </c>
      <c r="F1016" t="s">
        <v>33</v>
      </c>
      <c r="G1016" t="s">
        <v>1388</v>
      </c>
      <c r="H1016" s="8">
        <v>0.03</v>
      </c>
      <c r="I1016" s="2">
        <v>1.0089359999999998</v>
      </c>
      <c r="J1016" s="7" t="s">
        <v>188</v>
      </c>
    </row>
    <row r="1017" spans="1:10" ht="28.5">
      <c r="A1017" t="s">
        <v>187</v>
      </c>
      <c r="B1017" t="s">
        <v>1394</v>
      </c>
      <c r="C1017" t="s">
        <v>3279</v>
      </c>
      <c r="D1017" t="s">
        <v>3280</v>
      </c>
      <c r="E1017" t="s">
        <v>632</v>
      </c>
      <c r="F1017" t="s">
        <v>23</v>
      </c>
      <c r="G1017" t="s">
        <v>1388</v>
      </c>
      <c r="H1017" s="8">
        <v>0.03</v>
      </c>
      <c r="I1017" s="2">
        <v>1.0089359999999998</v>
      </c>
      <c r="J1017" s="7" t="s">
        <v>188</v>
      </c>
    </row>
    <row r="1018" spans="1:10" ht="28.5">
      <c r="A1018" t="s">
        <v>187</v>
      </c>
      <c r="B1018" t="s">
        <v>1394</v>
      </c>
      <c r="C1018" t="s">
        <v>3281</v>
      </c>
      <c r="D1018" t="s">
        <v>3282</v>
      </c>
      <c r="E1018" t="s">
        <v>1070</v>
      </c>
      <c r="F1018" t="s">
        <v>41</v>
      </c>
      <c r="G1018" t="s">
        <v>1388</v>
      </c>
      <c r="H1018" s="8">
        <v>0.02</v>
      </c>
      <c r="I1018" s="2">
        <v>0.672624</v>
      </c>
      <c r="J1018" s="7" t="s">
        <v>188</v>
      </c>
    </row>
    <row r="1019" spans="1:10" ht="28.5">
      <c r="A1019" t="s">
        <v>187</v>
      </c>
      <c r="B1019" t="s">
        <v>1394</v>
      </c>
      <c r="C1019" t="s">
        <v>3283</v>
      </c>
      <c r="D1019" t="s">
        <v>3284</v>
      </c>
      <c r="E1019" t="s">
        <v>981</v>
      </c>
      <c r="F1019" t="s">
        <v>38</v>
      </c>
      <c r="G1019" t="s">
        <v>1388</v>
      </c>
      <c r="H1019" s="8">
        <v>0.02</v>
      </c>
      <c r="I1019" s="2">
        <v>0.672624</v>
      </c>
      <c r="J1019" s="7" t="s">
        <v>188</v>
      </c>
    </row>
    <row r="1020" spans="1:10" ht="28.5">
      <c r="A1020" t="s">
        <v>187</v>
      </c>
      <c r="B1020" t="s">
        <v>1394</v>
      </c>
      <c r="C1020" t="s">
        <v>3285</v>
      </c>
      <c r="D1020" t="s">
        <v>3286</v>
      </c>
      <c r="E1020" t="s">
        <v>896</v>
      </c>
      <c r="F1020" t="s">
        <v>33</v>
      </c>
      <c r="G1020" t="s">
        <v>1388</v>
      </c>
      <c r="H1020" s="8">
        <v>0.03</v>
      </c>
      <c r="I1020" s="2">
        <v>1.0089359999999998</v>
      </c>
      <c r="J1020" s="7" t="s">
        <v>188</v>
      </c>
    </row>
    <row r="1021" spans="1:10" ht="28.5">
      <c r="A1021" t="s">
        <v>187</v>
      </c>
      <c r="B1021" t="s">
        <v>1394</v>
      </c>
      <c r="C1021" t="s">
        <v>3287</v>
      </c>
      <c r="D1021" t="s">
        <v>3288</v>
      </c>
      <c r="E1021" t="s">
        <v>791</v>
      </c>
      <c r="F1021" t="s">
        <v>50</v>
      </c>
      <c r="G1021" t="s">
        <v>1388</v>
      </c>
      <c r="H1021" s="8">
        <v>0.01</v>
      </c>
      <c r="I1021" s="2">
        <v>0.336312</v>
      </c>
      <c r="J1021" s="7" t="s">
        <v>188</v>
      </c>
    </row>
    <row r="1022" spans="1:10" ht="28.5">
      <c r="A1022" t="s">
        <v>187</v>
      </c>
      <c r="B1022" t="s">
        <v>1394</v>
      </c>
      <c r="C1022" t="s">
        <v>3289</v>
      </c>
      <c r="D1022" t="s">
        <v>3290</v>
      </c>
      <c r="E1022" t="s">
        <v>614</v>
      </c>
      <c r="F1022" t="s">
        <v>50</v>
      </c>
      <c r="G1022" t="s">
        <v>1388</v>
      </c>
      <c r="H1022" s="8">
        <v>0.06</v>
      </c>
      <c r="I1022" s="2">
        <v>2.0178719999999997</v>
      </c>
      <c r="J1022" s="7" t="s">
        <v>188</v>
      </c>
    </row>
    <row r="1023" spans="1:10" ht="28.5">
      <c r="A1023" t="s">
        <v>187</v>
      </c>
      <c r="B1023" t="s">
        <v>1394</v>
      </c>
      <c r="C1023" t="s">
        <v>3291</v>
      </c>
      <c r="D1023" t="s">
        <v>3292</v>
      </c>
      <c r="E1023" t="s">
        <v>675</v>
      </c>
      <c r="F1023" t="s">
        <v>41</v>
      </c>
      <c r="G1023" t="s">
        <v>1388</v>
      </c>
      <c r="H1023" s="8">
        <v>0.05</v>
      </c>
      <c r="I1023" s="2">
        <v>1.6815600000000002</v>
      </c>
      <c r="J1023" s="7" t="s">
        <v>188</v>
      </c>
    </row>
    <row r="1024" spans="1:10" ht="28.5">
      <c r="A1024" t="s">
        <v>187</v>
      </c>
      <c r="B1024" t="s">
        <v>1394</v>
      </c>
      <c r="C1024" t="s">
        <v>3291</v>
      </c>
      <c r="D1024" t="s">
        <v>3293</v>
      </c>
      <c r="E1024" t="s">
        <v>222</v>
      </c>
      <c r="F1024" t="s">
        <v>41</v>
      </c>
      <c r="G1024" t="s">
        <v>1388</v>
      </c>
      <c r="H1024" s="8">
        <v>0.11</v>
      </c>
      <c r="I1024" s="2">
        <v>3.6994319999999998</v>
      </c>
      <c r="J1024" s="7" t="s">
        <v>188</v>
      </c>
    </row>
    <row r="1025" spans="1:10" ht="28.5">
      <c r="A1025" t="s">
        <v>187</v>
      </c>
      <c r="B1025" t="s">
        <v>1394</v>
      </c>
      <c r="C1025" t="s">
        <v>3294</v>
      </c>
      <c r="D1025" t="s">
        <v>3295</v>
      </c>
      <c r="E1025" t="s">
        <v>1202</v>
      </c>
      <c r="F1025" t="s">
        <v>38</v>
      </c>
      <c r="G1025" t="s">
        <v>1388</v>
      </c>
      <c r="H1025" s="8">
        <v>0.01</v>
      </c>
      <c r="I1025" s="2">
        <v>0.336312</v>
      </c>
      <c r="J1025" s="7" t="s">
        <v>188</v>
      </c>
    </row>
    <row r="1026" spans="1:10" ht="28.5">
      <c r="A1026" t="s">
        <v>187</v>
      </c>
      <c r="B1026" t="s">
        <v>1394</v>
      </c>
      <c r="C1026" t="s">
        <v>3296</v>
      </c>
      <c r="D1026" t="s">
        <v>3297</v>
      </c>
      <c r="E1026" t="s">
        <v>464</v>
      </c>
      <c r="F1026" t="s">
        <v>23</v>
      </c>
      <c r="G1026" t="s">
        <v>1388</v>
      </c>
      <c r="H1026" s="8">
        <v>0.08</v>
      </c>
      <c r="I1026" s="2">
        <v>2.690496</v>
      </c>
      <c r="J1026" s="7" t="s">
        <v>188</v>
      </c>
    </row>
    <row r="1027" spans="1:10" ht="28.5">
      <c r="A1027" t="s">
        <v>187</v>
      </c>
      <c r="B1027" t="s">
        <v>1394</v>
      </c>
      <c r="C1027" t="s">
        <v>3298</v>
      </c>
      <c r="D1027" t="s">
        <v>3299</v>
      </c>
      <c r="E1027" t="s">
        <v>847</v>
      </c>
      <c r="F1027" t="s">
        <v>27</v>
      </c>
      <c r="G1027" t="s">
        <v>1388</v>
      </c>
      <c r="H1027" s="8">
        <v>0.03</v>
      </c>
      <c r="I1027" s="2">
        <v>1.0089359999999998</v>
      </c>
      <c r="J1027" s="7" t="s">
        <v>188</v>
      </c>
    </row>
    <row r="1028" spans="1:10" ht="28.5">
      <c r="A1028" t="s">
        <v>187</v>
      </c>
      <c r="B1028" t="s">
        <v>1394</v>
      </c>
      <c r="C1028" t="s">
        <v>1471</v>
      </c>
      <c r="D1028" t="s">
        <v>1472</v>
      </c>
      <c r="E1028" t="s">
        <v>336</v>
      </c>
      <c r="F1028" t="s">
        <v>33</v>
      </c>
      <c r="G1028" t="s">
        <v>1388</v>
      </c>
      <c r="H1028" s="8">
        <v>0.01</v>
      </c>
      <c r="I1028" s="2">
        <v>0.336312</v>
      </c>
      <c r="J1028" s="7" t="s">
        <v>188</v>
      </c>
    </row>
    <row r="1029" spans="1:10" ht="28.5">
      <c r="A1029" t="s">
        <v>187</v>
      </c>
      <c r="B1029" t="s">
        <v>1394</v>
      </c>
      <c r="C1029" t="s">
        <v>1473</v>
      </c>
      <c r="D1029" t="s">
        <v>1474</v>
      </c>
      <c r="E1029" t="s">
        <v>138</v>
      </c>
      <c r="F1029" t="s">
        <v>33</v>
      </c>
      <c r="G1029" t="s">
        <v>1388</v>
      </c>
      <c r="H1029" s="8">
        <v>0.32</v>
      </c>
      <c r="I1029" s="2">
        <v>10.761984</v>
      </c>
      <c r="J1029" s="7" t="s">
        <v>188</v>
      </c>
    </row>
    <row r="1030" spans="1:10" ht="28.5">
      <c r="A1030" t="s">
        <v>187</v>
      </c>
      <c r="B1030" t="s">
        <v>1394</v>
      </c>
      <c r="C1030" t="s">
        <v>3247</v>
      </c>
      <c r="D1030" t="s">
        <v>3300</v>
      </c>
      <c r="E1030" t="s">
        <v>1138</v>
      </c>
      <c r="F1030" t="s">
        <v>23</v>
      </c>
      <c r="G1030" t="s">
        <v>1388</v>
      </c>
      <c r="H1030" s="8">
        <v>0.01</v>
      </c>
      <c r="I1030" s="2">
        <v>0.336312</v>
      </c>
      <c r="J1030" s="7" t="s">
        <v>188</v>
      </c>
    </row>
    <row r="1031" spans="1:10" ht="28.5">
      <c r="A1031" t="s">
        <v>187</v>
      </c>
      <c r="B1031" t="s">
        <v>1394</v>
      </c>
      <c r="C1031" t="s">
        <v>3301</v>
      </c>
      <c r="D1031" t="s">
        <v>3302</v>
      </c>
      <c r="E1031" t="s">
        <v>766</v>
      </c>
      <c r="F1031" t="s">
        <v>50</v>
      </c>
      <c r="G1031" t="s">
        <v>1388</v>
      </c>
      <c r="H1031" s="8">
        <v>0.04</v>
      </c>
      <c r="I1031" s="2">
        <v>1.345248</v>
      </c>
      <c r="J1031" s="7" t="s">
        <v>188</v>
      </c>
    </row>
    <row r="1032" spans="1:10" ht="28.5">
      <c r="A1032" t="s">
        <v>187</v>
      </c>
      <c r="B1032" t="s">
        <v>1394</v>
      </c>
      <c r="C1032" t="s">
        <v>3303</v>
      </c>
      <c r="D1032" t="s">
        <v>3304</v>
      </c>
      <c r="E1032" t="s">
        <v>604</v>
      </c>
      <c r="F1032" t="s">
        <v>50</v>
      </c>
      <c r="G1032" t="s">
        <v>1388</v>
      </c>
      <c r="H1032" s="8">
        <v>0.06</v>
      </c>
      <c r="I1032" s="2">
        <v>2.0178719999999997</v>
      </c>
      <c r="J1032" s="7" t="s">
        <v>188</v>
      </c>
    </row>
    <row r="1033" spans="1:10" ht="28.5">
      <c r="A1033" t="s">
        <v>187</v>
      </c>
      <c r="B1033" t="s">
        <v>1394</v>
      </c>
      <c r="C1033" t="s">
        <v>3305</v>
      </c>
      <c r="D1033" t="s">
        <v>3306</v>
      </c>
      <c r="E1033" t="s">
        <v>1339</v>
      </c>
      <c r="F1033" t="s">
        <v>50</v>
      </c>
      <c r="G1033" t="s">
        <v>1388</v>
      </c>
      <c r="H1033" s="8">
        <v>0</v>
      </c>
      <c r="I1033" s="2">
        <v>0</v>
      </c>
      <c r="J1033" s="7" t="s">
        <v>188</v>
      </c>
    </row>
    <row r="1034" spans="1:10" ht="28.5">
      <c r="A1034" t="s">
        <v>187</v>
      </c>
      <c r="B1034" t="s">
        <v>1394</v>
      </c>
      <c r="C1034" t="s">
        <v>3307</v>
      </c>
      <c r="D1034" t="s">
        <v>3308</v>
      </c>
      <c r="E1034" t="s">
        <v>621</v>
      </c>
      <c r="F1034" t="s">
        <v>27</v>
      </c>
      <c r="G1034" t="s">
        <v>1388</v>
      </c>
      <c r="H1034" s="8">
        <v>0.02</v>
      </c>
      <c r="I1034" s="2">
        <v>0.672624</v>
      </c>
      <c r="J1034" s="7" t="s">
        <v>188</v>
      </c>
    </row>
    <row r="1035" spans="1:10" ht="28.5">
      <c r="A1035" t="s">
        <v>187</v>
      </c>
      <c r="B1035" t="s">
        <v>1394</v>
      </c>
      <c r="C1035" t="s">
        <v>3309</v>
      </c>
      <c r="D1035" t="s">
        <v>3310</v>
      </c>
      <c r="E1035" t="s">
        <v>1112</v>
      </c>
      <c r="F1035" t="s">
        <v>50</v>
      </c>
      <c r="G1035" t="s">
        <v>1388</v>
      </c>
      <c r="H1035" s="8">
        <v>0.02</v>
      </c>
      <c r="I1035" s="2">
        <v>0.672624</v>
      </c>
      <c r="J1035" s="7" t="s">
        <v>188</v>
      </c>
    </row>
    <row r="1036" spans="1:10" ht="28.5">
      <c r="A1036" t="s">
        <v>187</v>
      </c>
      <c r="B1036" t="s">
        <v>1394</v>
      </c>
      <c r="C1036" t="s">
        <v>3311</v>
      </c>
      <c r="D1036" t="s">
        <v>3312</v>
      </c>
      <c r="E1036" t="s">
        <v>279</v>
      </c>
      <c r="F1036" t="s">
        <v>50</v>
      </c>
      <c r="G1036" t="s">
        <v>1388</v>
      </c>
      <c r="H1036" s="8">
        <v>0.17</v>
      </c>
      <c r="I1036" s="2">
        <v>5.7173040000000004</v>
      </c>
      <c r="J1036" s="7" t="s">
        <v>188</v>
      </c>
    </row>
    <row r="1037" spans="1:10" ht="28.5">
      <c r="A1037" t="s">
        <v>187</v>
      </c>
      <c r="B1037" t="s">
        <v>1394</v>
      </c>
      <c r="C1037" t="s">
        <v>1473</v>
      </c>
      <c r="D1037" t="s">
        <v>3313</v>
      </c>
      <c r="E1037" t="s">
        <v>367</v>
      </c>
      <c r="F1037" t="s">
        <v>25</v>
      </c>
      <c r="G1037" t="s">
        <v>1388</v>
      </c>
      <c r="H1037" s="8">
        <v>0.04</v>
      </c>
      <c r="I1037" s="2">
        <v>1.345248</v>
      </c>
      <c r="J1037" s="7" t="s">
        <v>188</v>
      </c>
    </row>
    <row r="1038" spans="1:10" ht="28.5">
      <c r="A1038" t="s">
        <v>187</v>
      </c>
      <c r="B1038" t="s">
        <v>1394</v>
      </c>
      <c r="C1038" t="s">
        <v>3314</v>
      </c>
      <c r="D1038" t="s">
        <v>3315</v>
      </c>
      <c r="E1038" t="s">
        <v>468</v>
      </c>
      <c r="F1038" t="s">
        <v>38</v>
      </c>
      <c r="G1038" t="s">
        <v>1388</v>
      </c>
      <c r="H1038" s="8">
        <v>0.08</v>
      </c>
      <c r="I1038" s="2">
        <v>2.690496</v>
      </c>
      <c r="J1038" s="7" t="s">
        <v>188</v>
      </c>
    </row>
    <row r="1039" spans="1:10" ht="28.5">
      <c r="A1039" t="s">
        <v>187</v>
      </c>
      <c r="B1039" t="s">
        <v>1394</v>
      </c>
      <c r="C1039" t="s">
        <v>1475</v>
      </c>
      <c r="D1039" t="s">
        <v>1476</v>
      </c>
      <c r="E1039" t="s">
        <v>136</v>
      </c>
      <c r="F1039" t="s">
        <v>23</v>
      </c>
      <c r="G1039" t="s">
        <v>1388</v>
      </c>
      <c r="H1039" s="8">
        <v>0.34</v>
      </c>
      <c r="I1039" s="2">
        <v>11.434608000000001</v>
      </c>
      <c r="J1039" s="7" t="s">
        <v>188</v>
      </c>
    </row>
    <row r="1040" spans="1:10" ht="28.5">
      <c r="A1040" t="s">
        <v>187</v>
      </c>
      <c r="B1040" t="s">
        <v>1394</v>
      </c>
      <c r="C1040" t="s">
        <v>3316</v>
      </c>
      <c r="D1040" t="s">
        <v>3317</v>
      </c>
      <c r="E1040" t="s">
        <v>466</v>
      </c>
      <c r="F1040" t="s">
        <v>38</v>
      </c>
      <c r="G1040" t="s">
        <v>1388</v>
      </c>
      <c r="H1040" s="8">
        <v>0.08</v>
      </c>
      <c r="I1040" s="2">
        <v>2.690496</v>
      </c>
      <c r="J1040" s="7" t="s">
        <v>188</v>
      </c>
    </row>
    <row r="1041" spans="1:10" ht="28.5">
      <c r="A1041" t="s">
        <v>187</v>
      </c>
      <c r="B1041" t="s">
        <v>1394</v>
      </c>
      <c r="C1041" t="s">
        <v>3318</v>
      </c>
      <c r="D1041" t="s">
        <v>3319</v>
      </c>
      <c r="E1041" t="s">
        <v>457</v>
      </c>
      <c r="F1041" t="s">
        <v>33</v>
      </c>
      <c r="G1041" t="s">
        <v>1388</v>
      </c>
      <c r="H1041" s="8">
        <v>0.03</v>
      </c>
      <c r="I1041" s="2">
        <v>1.0089359999999998</v>
      </c>
      <c r="J1041" s="7" t="s">
        <v>188</v>
      </c>
    </row>
    <row r="1042" spans="1:10" ht="28.5">
      <c r="A1042" t="s">
        <v>187</v>
      </c>
      <c r="B1042" t="s">
        <v>1394</v>
      </c>
      <c r="C1042" t="s">
        <v>3320</v>
      </c>
      <c r="D1042" t="s">
        <v>3321</v>
      </c>
      <c r="E1042" t="s">
        <v>1137</v>
      </c>
      <c r="F1042" t="s">
        <v>41</v>
      </c>
      <c r="G1042" t="s">
        <v>1388</v>
      </c>
      <c r="H1042" s="8">
        <v>0.01</v>
      </c>
      <c r="I1042" s="2">
        <v>0.336312</v>
      </c>
      <c r="J1042" s="7" t="s">
        <v>188</v>
      </c>
    </row>
    <row r="1043" spans="1:10" ht="28.5">
      <c r="A1043" t="s">
        <v>187</v>
      </c>
      <c r="B1043" t="s">
        <v>1394</v>
      </c>
      <c r="C1043" t="s">
        <v>3322</v>
      </c>
      <c r="D1043" t="s">
        <v>3323</v>
      </c>
      <c r="E1043" t="s">
        <v>217</v>
      </c>
      <c r="F1043" t="s">
        <v>50</v>
      </c>
      <c r="G1043" t="s">
        <v>1388</v>
      </c>
      <c r="H1043" s="8">
        <v>0.28999999999999998</v>
      </c>
      <c r="I1043" s="2">
        <v>9.7530479999999997</v>
      </c>
      <c r="J1043" s="7" t="s">
        <v>188</v>
      </c>
    </row>
    <row r="1044" spans="1:10" ht="28.5">
      <c r="A1044" t="s">
        <v>187</v>
      </c>
      <c r="B1044" t="s">
        <v>1394</v>
      </c>
      <c r="C1044" t="s">
        <v>3324</v>
      </c>
      <c r="D1044" t="s">
        <v>3325</v>
      </c>
      <c r="E1044" t="s">
        <v>386</v>
      </c>
      <c r="F1044" t="s">
        <v>253</v>
      </c>
      <c r="G1044" t="s">
        <v>1388</v>
      </c>
      <c r="H1044" s="8">
        <v>0.04</v>
      </c>
      <c r="I1044" s="2">
        <v>1.345248</v>
      </c>
      <c r="J1044" s="7" t="s">
        <v>188</v>
      </c>
    </row>
    <row r="1045" spans="1:10" ht="28.5">
      <c r="A1045" t="s">
        <v>187</v>
      </c>
      <c r="B1045" t="s">
        <v>1394</v>
      </c>
      <c r="C1045" t="s">
        <v>3326</v>
      </c>
      <c r="D1045" t="s">
        <v>3327</v>
      </c>
      <c r="E1045" t="s">
        <v>819</v>
      </c>
      <c r="F1045" t="s">
        <v>50</v>
      </c>
      <c r="G1045" t="s">
        <v>1388</v>
      </c>
      <c r="H1045" s="8">
        <v>0.01</v>
      </c>
      <c r="I1045" s="2">
        <v>0.336312</v>
      </c>
      <c r="J1045" s="7" t="s">
        <v>188</v>
      </c>
    </row>
    <row r="1046" spans="1:10" ht="28.5">
      <c r="A1046" t="s">
        <v>187</v>
      </c>
      <c r="B1046" t="s">
        <v>1394</v>
      </c>
      <c r="C1046" t="s">
        <v>3328</v>
      </c>
      <c r="D1046" t="s">
        <v>3329</v>
      </c>
      <c r="E1046" t="s">
        <v>1140</v>
      </c>
      <c r="F1046" t="s">
        <v>38</v>
      </c>
      <c r="G1046" t="s">
        <v>1388</v>
      </c>
      <c r="H1046" s="8">
        <v>0.01</v>
      </c>
      <c r="I1046" s="2">
        <v>0.336312</v>
      </c>
      <c r="J1046" s="7" t="s">
        <v>188</v>
      </c>
    </row>
    <row r="1047" spans="1:10" ht="28.5">
      <c r="A1047" t="s">
        <v>187</v>
      </c>
      <c r="B1047" t="s">
        <v>1394</v>
      </c>
      <c r="C1047" t="s">
        <v>3330</v>
      </c>
      <c r="D1047" t="s">
        <v>3331</v>
      </c>
      <c r="E1047" t="s">
        <v>100</v>
      </c>
      <c r="F1047" t="s">
        <v>23</v>
      </c>
      <c r="G1047" t="s">
        <v>1388</v>
      </c>
      <c r="H1047" s="8">
        <v>0.16</v>
      </c>
      <c r="I1047" s="2">
        <v>5.380992</v>
      </c>
      <c r="J1047" s="7" t="s">
        <v>188</v>
      </c>
    </row>
    <row r="1048" spans="1:10" ht="28.5">
      <c r="A1048" t="s">
        <v>187</v>
      </c>
      <c r="B1048" t="s">
        <v>1394</v>
      </c>
      <c r="C1048" t="s">
        <v>3332</v>
      </c>
      <c r="D1048" t="s">
        <v>3333</v>
      </c>
      <c r="E1048" t="s">
        <v>1073</v>
      </c>
      <c r="F1048" t="s">
        <v>50</v>
      </c>
      <c r="G1048" t="s">
        <v>1388</v>
      </c>
      <c r="H1048" s="8">
        <v>0.02</v>
      </c>
      <c r="I1048" s="2">
        <v>0.672624</v>
      </c>
      <c r="J1048" s="7" t="s">
        <v>188</v>
      </c>
    </row>
    <row r="1049" spans="1:10" ht="28.5">
      <c r="A1049" t="s">
        <v>187</v>
      </c>
      <c r="B1049" t="s">
        <v>1394</v>
      </c>
      <c r="C1049" t="s">
        <v>3334</v>
      </c>
      <c r="D1049" t="s">
        <v>3335</v>
      </c>
      <c r="E1049" t="s">
        <v>301</v>
      </c>
      <c r="F1049" t="s">
        <v>50</v>
      </c>
      <c r="G1049" t="s">
        <v>1388</v>
      </c>
      <c r="H1049" s="8">
        <v>0.15</v>
      </c>
      <c r="I1049" s="2">
        <v>5.0446799999999996</v>
      </c>
      <c r="J1049" s="7" t="s">
        <v>188</v>
      </c>
    </row>
    <row r="1050" spans="1:10" ht="28.5">
      <c r="A1050" t="s">
        <v>187</v>
      </c>
      <c r="B1050" t="s">
        <v>1394</v>
      </c>
      <c r="C1050" t="s">
        <v>3336</v>
      </c>
      <c r="D1050" t="s">
        <v>3337</v>
      </c>
      <c r="E1050" t="s">
        <v>1348</v>
      </c>
      <c r="F1050" t="s">
        <v>263</v>
      </c>
      <c r="G1050" t="s">
        <v>1388</v>
      </c>
      <c r="H1050" s="8">
        <v>0</v>
      </c>
      <c r="I1050" s="2">
        <v>0</v>
      </c>
      <c r="J1050" s="7" t="s">
        <v>188</v>
      </c>
    </row>
    <row r="1051" spans="1:10" ht="28.5">
      <c r="A1051" t="s">
        <v>187</v>
      </c>
      <c r="B1051" t="s">
        <v>1394</v>
      </c>
      <c r="C1051" t="s">
        <v>3338</v>
      </c>
      <c r="D1051" t="s">
        <v>3339</v>
      </c>
      <c r="E1051" t="s">
        <v>720</v>
      </c>
      <c r="F1051" t="s">
        <v>108</v>
      </c>
      <c r="G1051" t="s">
        <v>1388</v>
      </c>
      <c r="H1051" s="8">
        <v>0.01</v>
      </c>
      <c r="I1051" s="2">
        <v>0.336312</v>
      </c>
      <c r="J1051" s="7" t="s">
        <v>188</v>
      </c>
    </row>
    <row r="1052" spans="1:10" ht="28.5">
      <c r="A1052" t="s">
        <v>187</v>
      </c>
      <c r="B1052" t="s">
        <v>1394</v>
      </c>
      <c r="C1052" t="s">
        <v>1477</v>
      </c>
      <c r="D1052" t="s">
        <v>1478</v>
      </c>
      <c r="E1052" t="s">
        <v>173</v>
      </c>
      <c r="F1052" t="s">
        <v>25</v>
      </c>
      <c r="G1052" t="s">
        <v>1388</v>
      </c>
      <c r="H1052" s="8">
        <v>0.15</v>
      </c>
      <c r="I1052" s="2">
        <v>5.0446799999999996</v>
      </c>
      <c r="J1052" s="7" t="s">
        <v>188</v>
      </c>
    </row>
    <row r="1053" spans="1:10" ht="28.5">
      <c r="A1053" t="s">
        <v>187</v>
      </c>
      <c r="B1053" t="s">
        <v>1394</v>
      </c>
      <c r="C1053" t="s">
        <v>3340</v>
      </c>
      <c r="D1053" t="s">
        <v>3341</v>
      </c>
      <c r="E1053" t="s">
        <v>1373</v>
      </c>
      <c r="F1053" t="s">
        <v>108</v>
      </c>
      <c r="G1053" t="s">
        <v>1388</v>
      </c>
      <c r="H1053" s="8">
        <v>0</v>
      </c>
      <c r="I1053" s="2">
        <v>0</v>
      </c>
      <c r="J1053" s="7" t="s">
        <v>188</v>
      </c>
    </row>
    <row r="1054" spans="1:10" ht="28.5">
      <c r="A1054" t="s">
        <v>187</v>
      </c>
      <c r="B1054" t="s">
        <v>1394</v>
      </c>
      <c r="C1054" t="s">
        <v>3342</v>
      </c>
      <c r="D1054" t="s">
        <v>3343</v>
      </c>
      <c r="E1054" t="s">
        <v>905</v>
      </c>
      <c r="F1054" t="s">
        <v>23</v>
      </c>
      <c r="G1054" t="s">
        <v>1388</v>
      </c>
      <c r="H1054" s="8">
        <v>0.03</v>
      </c>
      <c r="I1054" s="2">
        <v>1.0089359999999998</v>
      </c>
      <c r="J1054" s="7" t="s">
        <v>188</v>
      </c>
    </row>
    <row r="1055" spans="1:10" ht="28.5">
      <c r="A1055" t="s">
        <v>187</v>
      </c>
      <c r="B1055" t="s">
        <v>1394</v>
      </c>
      <c r="C1055" t="s">
        <v>3344</v>
      </c>
      <c r="D1055" t="s">
        <v>3345</v>
      </c>
      <c r="E1055" t="s">
        <v>1119</v>
      </c>
      <c r="F1055" t="s">
        <v>25</v>
      </c>
      <c r="G1055" t="s">
        <v>1388</v>
      </c>
      <c r="H1055" s="8">
        <v>0.02</v>
      </c>
      <c r="I1055" s="2">
        <v>0.672624</v>
      </c>
      <c r="J1055" s="7" t="s">
        <v>188</v>
      </c>
    </row>
    <row r="1056" spans="1:10" ht="28.5">
      <c r="A1056" t="s">
        <v>187</v>
      </c>
      <c r="B1056" t="s">
        <v>1394</v>
      </c>
      <c r="C1056" t="s">
        <v>3346</v>
      </c>
      <c r="D1056" t="s">
        <v>3347</v>
      </c>
      <c r="E1056" t="s">
        <v>837</v>
      </c>
      <c r="F1056" t="s">
        <v>33</v>
      </c>
      <c r="G1056" t="s">
        <v>1388</v>
      </c>
      <c r="H1056" s="8">
        <v>0.03</v>
      </c>
      <c r="I1056" s="2">
        <v>1.0089359999999998</v>
      </c>
      <c r="J1056" s="7" t="s">
        <v>188</v>
      </c>
    </row>
    <row r="1057" spans="1:10" ht="28.5">
      <c r="A1057" t="s">
        <v>187</v>
      </c>
      <c r="B1057" t="s">
        <v>1394</v>
      </c>
      <c r="C1057" t="s">
        <v>3348</v>
      </c>
      <c r="D1057" t="s">
        <v>3349</v>
      </c>
      <c r="E1057" t="s">
        <v>1358</v>
      </c>
      <c r="F1057" t="s">
        <v>38</v>
      </c>
      <c r="G1057" t="s">
        <v>1388</v>
      </c>
      <c r="H1057" s="8">
        <v>0</v>
      </c>
      <c r="I1057" s="2">
        <v>0</v>
      </c>
      <c r="J1057" s="7" t="s">
        <v>188</v>
      </c>
    </row>
    <row r="1058" spans="1:10" ht="28.5">
      <c r="A1058" t="s">
        <v>187</v>
      </c>
      <c r="B1058" t="s">
        <v>1394</v>
      </c>
      <c r="C1058" t="s">
        <v>3350</v>
      </c>
      <c r="D1058" t="s">
        <v>3351</v>
      </c>
      <c r="E1058" t="s">
        <v>735</v>
      </c>
      <c r="F1058" t="s">
        <v>50</v>
      </c>
      <c r="G1058" t="s">
        <v>1388</v>
      </c>
      <c r="H1058" s="8">
        <v>0.04</v>
      </c>
      <c r="I1058" s="2">
        <v>1.345248</v>
      </c>
      <c r="J1058" s="7" t="s">
        <v>188</v>
      </c>
    </row>
    <row r="1059" spans="1:10" ht="28.5">
      <c r="A1059" t="s">
        <v>187</v>
      </c>
      <c r="B1059" t="s">
        <v>1394</v>
      </c>
      <c r="C1059" t="s">
        <v>1741</v>
      </c>
      <c r="D1059" t="s">
        <v>3352</v>
      </c>
      <c r="E1059" t="s">
        <v>200</v>
      </c>
      <c r="F1059" t="s">
        <v>33</v>
      </c>
      <c r="G1059" t="s">
        <v>1388</v>
      </c>
      <c r="H1059" s="8">
        <v>0.11</v>
      </c>
      <c r="I1059" s="2">
        <v>3.6994319999999998</v>
      </c>
      <c r="J1059" s="7" t="s">
        <v>188</v>
      </c>
    </row>
    <row r="1060" spans="1:10" ht="28.5">
      <c r="A1060" t="s">
        <v>187</v>
      </c>
      <c r="B1060" t="s">
        <v>1394</v>
      </c>
      <c r="C1060" t="s">
        <v>3353</v>
      </c>
      <c r="D1060" t="s">
        <v>3354</v>
      </c>
      <c r="E1060" t="s">
        <v>1291</v>
      </c>
      <c r="F1060" t="s">
        <v>38</v>
      </c>
      <c r="G1060" t="s">
        <v>1388</v>
      </c>
      <c r="H1060" s="8">
        <v>0.01</v>
      </c>
      <c r="I1060" s="2">
        <v>0.336312</v>
      </c>
      <c r="J1060" s="7" t="s">
        <v>188</v>
      </c>
    </row>
    <row r="1061" spans="1:10" ht="28.5">
      <c r="A1061" t="s">
        <v>187</v>
      </c>
      <c r="B1061" t="s">
        <v>1394</v>
      </c>
      <c r="C1061" t="s">
        <v>3355</v>
      </c>
      <c r="D1061" t="s">
        <v>3356</v>
      </c>
      <c r="E1061" t="s">
        <v>699</v>
      </c>
      <c r="F1061" t="s">
        <v>124</v>
      </c>
      <c r="G1061" t="s">
        <v>1388</v>
      </c>
      <c r="H1061" s="8">
        <v>0.02</v>
      </c>
      <c r="I1061" s="2">
        <v>0.672624</v>
      </c>
      <c r="J1061" s="7" t="s">
        <v>188</v>
      </c>
    </row>
    <row r="1062" spans="1:10" ht="28.5">
      <c r="A1062" t="s">
        <v>187</v>
      </c>
      <c r="B1062" t="s">
        <v>1394</v>
      </c>
      <c r="C1062" t="s">
        <v>47</v>
      </c>
      <c r="D1062" t="s">
        <v>47</v>
      </c>
      <c r="E1062" t="s">
        <v>47</v>
      </c>
      <c r="F1062" t="s">
        <v>25</v>
      </c>
      <c r="G1062" t="s">
        <v>1388</v>
      </c>
      <c r="H1062" s="8">
        <v>0.18</v>
      </c>
      <c r="I1062" s="2">
        <v>6.0536159999999999</v>
      </c>
      <c r="J1062" s="7" t="s">
        <v>188</v>
      </c>
    </row>
    <row r="1063" spans="1:10" ht="28.5">
      <c r="A1063" t="s">
        <v>187</v>
      </c>
      <c r="B1063" t="s">
        <v>1394</v>
      </c>
      <c r="C1063" t="s">
        <v>47</v>
      </c>
      <c r="D1063" t="s">
        <v>3357</v>
      </c>
      <c r="E1063" t="s">
        <v>1292</v>
      </c>
      <c r="F1063" t="s">
        <v>108</v>
      </c>
      <c r="G1063" t="s">
        <v>1388</v>
      </c>
      <c r="H1063" s="8">
        <v>0.01</v>
      </c>
      <c r="I1063" s="2">
        <v>0.336312</v>
      </c>
      <c r="J1063" s="7" t="s">
        <v>188</v>
      </c>
    </row>
    <row r="1064" spans="1:10" ht="28.5">
      <c r="A1064" t="s">
        <v>187</v>
      </c>
      <c r="B1064" t="s">
        <v>1394</v>
      </c>
      <c r="C1064" t="s">
        <v>3358</v>
      </c>
      <c r="D1064" t="s">
        <v>3359</v>
      </c>
      <c r="E1064" t="s">
        <v>1280</v>
      </c>
      <c r="F1064" t="s">
        <v>33</v>
      </c>
      <c r="G1064" t="s">
        <v>1388</v>
      </c>
      <c r="H1064" s="8">
        <v>0.01</v>
      </c>
      <c r="I1064" s="2">
        <v>0.336312</v>
      </c>
      <c r="J1064" s="7" t="s">
        <v>188</v>
      </c>
    </row>
    <row r="1065" spans="1:10" ht="28.5">
      <c r="A1065" t="s">
        <v>187</v>
      </c>
      <c r="B1065" t="s">
        <v>1394</v>
      </c>
      <c r="C1065" t="s">
        <v>3360</v>
      </c>
      <c r="D1065" t="s">
        <v>3361</v>
      </c>
      <c r="E1065" t="s">
        <v>1319</v>
      </c>
      <c r="F1065" t="s">
        <v>33</v>
      </c>
      <c r="G1065" t="s">
        <v>1388</v>
      </c>
      <c r="H1065" s="8">
        <v>0.01</v>
      </c>
      <c r="I1065" s="2">
        <v>0.336312</v>
      </c>
      <c r="J1065" s="7" t="s">
        <v>188</v>
      </c>
    </row>
    <row r="1066" spans="1:10" ht="28.5">
      <c r="A1066" t="s">
        <v>187</v>
      </c>
      <c r="B1066" t="s">
        <v>1394</v>
      </c>
      <c r="C1066" t="s">
        <v>3362</v>
      </c>
      <c r="D1066" t="s">
        <v>3363</v>
      </c>
      <c r="E1066" t="s">
        <v>1020</v>
      </c>
      <c r="F1066" t="s">
        <v>263</v>
      </c>
      <c r="G1066" t="s">
        <v>1388</v>
      </c>
      <c r="H1066" s="8">
        <v>0.02</v>
      </c>
      <c r="I1066" s="2">
        <v>0.672624</v>
      </c>
      <c r="J1066" s="7" t="s">
        <v>188</v>
      </c>
    </row>
    <row r="1067" spans="1:10" ht="28.5">
      <c r="A1067" t="s">
        <v>187</v>
      </c>
      <c r="B1067" t="s">
        <v>1394</v>
      </c>
      <c r="C1067" t="s">
        <v>3364</v>
      </c>
      <c r="D1067" t="s">
        <v>3365</v>
      </c>
      <c r="E1067" t="s">
        <v>947</v>
      </c>
      <c r="F1067" t="s">
        <v>23</v>
      </c>
      <c r="G1067" t="s">
        <v>1388</v>
      </c>
      <c r="H1067" s="8">
        <v>0.01</v>
      </c>
      <c r="I1067" s="2">
        <v>0.336312</v>
      </c>
      <c r="J1067" s="7" t="s">
        <v>188</v>
      </c>
    </row>
    <row r="1068" spans="1:10" ht="28.5">
      <c r="A1068" t="s">
        <v>187</v>
      </c>
      <c r="B1068" t="s">
        <v>1394</v>
      </c>
      <c r="C1068" t="s">
        <v>3366</v>
      </c>
      <c r="D1068" t="s">
        <v>3367</v>
      </c>
      <c r="E1068" t="s">
        <v>1079</v>
      </c>
      <c r="F1068" t="s">
        <v>263</v>
      </c>
      <c r="G1068" t="s">
        <v>1388</v>
      </c>
      <c r="H1068" s="8">
        <v>0.02</v>
      </c>
      <c r="I1068" s="2">
        <v>0.672624</v>
      </c>
      <c r="J1068" s="7" t="s">
        <v>188</v>
      </c>
    </row>
    <row r="1069" spans="1:10" ht="28.5">
      <c r="A1069" t="s">
        <v>187</v>
      </c>
      <c r="B1069" t="s">
        <v>1394</v>
      </c>
      <c r="C1069" t="s">
        <v>3368</v>
      </c>
      <c r="D1069" t="s">
        <v>3369</v>
      </c>
      <c r="E1069" t="s">
        <v>1306</v>
      </c>
      <c r="F1069" t="s">
        <v>50</v>
      </c>
      <c r="G1069" t="s">
        <v>1388</v>
      </c>
      <c r="H1069" s="8">
        <v>0.01</v>
      </c>
      <c r="I1069" s="2">
        <v>0.336312</v>
      </c>
      <c r="J1069" s="7" t="s">
        <v>188</v>
      </c>
    </row>
    <row r="1070" spans="1:10" ht="28.5">
      <c r="A1070" t="s">
        <v>187</v>
      </c>
      <c r="B1070" t="s">
        <v>1394</v>
      </c>
      <c r="C1070" t="s">
        <v>3370</v>
      </c>
      <c r="D1070" t="s">
        <v>3371</v>
      </c>
      <c r="E1070" t="s">
        <v>1170</v>
      </c>
      <c r="F1070" t="s">
        <v>50</v>
      </c>
      <c r="G1070" t="s">
        <v>1388</v>
      </c>
      <c r="H1070" s="8">
        <v>0.01</v>
      </c>
      <c r="I1070" s="2">
        <v>0.336312</v>
      </c>
      <c r="J1070" s="7" t="s">
        <v>188</v>
      </c>
    </row>
    <row r="1071" spans="1:10" ht="28.5">
      <c r="A1071" t="s">
        <v>187</v>
      </c>
      <c r="B1071" t="s">
        <v>1394</v>
      </c>
      <c r="C1071" t="s">
        <v>3372</v>
      </c>
      <c r="D1071" t="s">
        <v>3373</v>
      </c>
      <c r="E1071" t="s">
        <v>270</v>
      </c>
      <c r="F1071" t="s">
        <v>50</v>
      </c>
      <c r="G1071" t="s">
        <v>1388</v>
      </c>
      <c r="H1071" s="8">
        <v>0.18</v>
      </c>
      <c r="I1071" s="2">
        <v>6.0536159999999999</v>
      </c>
      <c r="J1071" s="7" t="s">
        <v>188</v>
      </c>
    </row>
    <row r="1072" spans="1:10" ht="28.5">
      <c r="A1072" t="s">
        <v>187</v>
      </c>
      <c r="B1072" t="s">
        <v>1394</v>
      </c>
      <c r="C1072" t="s">
        <v>3374</v>
      </c>
      <c r="D1072" t="s">
        <v>3375</v>
      </c>
      <c r="E1072" t="s">
        <v>1322</v>
      </c>
      <c r="F1072" t="s">
        <v>23</v>
      </c>
      <c r="G1072" t="s">
        <v>1388</v>
      </c>
      <c r="H1072" s="8">
        <v>0.01</v>
      </c>
      <c r="I1072" s="2">
        <v>0.336312</v>
      </c>
      <c r="J1072" s="7" t="s">
        <v>188</v>
      </c>
    </row>
    <row r="1073" spans="1:10" ht="28.5">
      <c r="A1073" t="s">
        <v>187</v>
      </c>
      <c r="B1073" t="s">
        <v>1394</v>
      </c>
      <c r="C1073" t="s">
        <v>3376</v>
      </c>
      <c r="D1073" t="s">
        <v>3377</v>
      </c>
      <c r="E1073" t="s">
        <v>1316</v>
      </c>
      <c r="F1073" t="s">
        <v>27</v>
      </c>
      <c r="G1073" t="s">
        <v>1388</v>
      </c>
      <c r="H1073" s="8">
        <v>0.01</v>
      </c>
      <c r="I1073" s="2">
        <v>0.336312</v>
      </c>
      <c r="J1073" s="7" t="s">
        <v>188</v>
      </c>
    </row>
    <row r="1074" spans="1:10" ht="28.5">
      <c r="A1074" t="s">
        <v>187</v>
      </c>
      <c r="B1074" t="s">
        <v>1394</v>
      </c>
      <c r="C1074" t="s">
        <v>3378</v>
      </c>
      <c r="D1074" t="s">
        <v>3379</v>
      </c>
      <c r="E1074" t="s">
        <v>563</v>
      </c>
      <c r="F1074" t="s">
        <v>25</v>
      </c>
      <c r="G1074" t="s">
        <v>1388</v>
      </c>
      <c r="H1074" s="8">
        <v>0.01</v>
      </c>
      <c r="I1074" s="2">
        <v>0.336312</v>
      </c>
      <c r="J1074" s="7" t="s">
        <v>188</v>
      </c>
    </row>
    <row r="1075" spans="1:10" ht="28.5">
      <c r="A1075" t="s">
        <v>187</v>
      </c>
      <c r="B1075" t="s">
        <v>1394</v>
      </c>
      <c r="C1075" t="s">
        <v>3380</v>
      </c>
      <c r="D1075" t="s">
        <v>3381</v>
      </c>
      <c r="E1075" t="s">
        <v>681</v>
      </c>
      <c r="F1075" t="s">
        <v>38</v>
      </c>
      <c r="G1075" t="s">
        <v>1388</v>
      </c>
      <c r="H1075" s="8">
        <v>0.05</v>
      </c>
      <c r="I1075" s="2">
        <v>1.6815600000000002</v>
      </c>
      <c r="J1075" s="7" t="s">
        <v>188</v>
      </c>
    </row>
    <row r="1076" spans="1:10" ht="28.5">
      <c r="A1076" t="s">
        <v>187</v>
      </c>
      <c r="B1076" t="s">
        <v>1394</v>
      </c>
      <c r="C1076" t="s">
        <v>3382</v>
      </c>
      <c r="D1076" t="s">
        <v>3383</v>
      </c>
      <c r="E1076" t="s">
        <v>269</v>
      </c>
      <c r="F1076" t="s">
        <v>25</v>
      </c>
      <c r="G1076" t="s">
        <v>1388</v>
      </c>
      <c r="H1076" s="8">
        <v>0.18</v>
      </c>
      <c r="I1076" s="2">
        <v>6.0536159999999999</v>
      </c>
      <c r="J1076" s="7" t="s">
        <v>188</v>
      </c>
    </row>
    <row r="1077" spans="1:10" ht="28.5">
      <c r="A1077" t="s">
        <v>187</v>
      </c>
      <c r="B1077" t="s">
        <v>1394</v>
      </c>
      <c r="C1077" t="s">
        <v>3384</v>
      </c>
      <c r="D1077" t="s">
        <v>3385</v>
      </c>
      <c r="E1077" t="s">
        <v>1053</v>
      </c>
      <c r="F1077" t="s">
        <v>50</v>
      </c>
      <c r="G1077" t="s">
        <v>1388</v>
      </c>
      <c r="H1077" s="8">
        <v>0.02</v>
      </c>
      <c r="I1077" s="2">
        <v>0.672624</v>
      </c>
      <c r="J1077" s="7" t="s">
        <v>188</v>
      </c>
    </row>
    <row r="1078" spans="1:10" ht="28.5">
      <c r="A1078" t="s">
        <v>187</v>
      </c>
      <c r="B1078" t="s">
        <v>1394</v>
      </c>
      <c r="C1078" t="s">
        <v>3386</v>
      </c>
      <c r="D1078" t="s">
        <v>3387</v>
      </c>
      <c r="E1078" t="s">
        <v>811</v>
      </c>
      <c r="F1078" t="s">
        <v>50</v>
      </c>
      <c r="G1078" t="s">
        <v>1388</v>
      </c>
      <c r="H1078" s="8">
        <v>0.01</v>
      </c>
      <c r="I1078" s="2">
        <v>0.336312</v>
      </c>
      <c r="J1078" s="7" t="s">
        <v>188</v>
      </c>
    </row>
    <row r="1079" spans="1:10" ht="28.5">
      <c r="A1079" t="s">
        <v>187</v>
      </c>
      <c r="B1079" t="s">
        <v>1394</v>
      </c>
      <c r="C1079" t="s">
        <v>3388</v>
      </c>
      <c r="D1079" t="s">
        <v>3389</v>
      </c>
      <c r="E1079" t="s">
        <v>1115</v>
      </c>
      <c r="F1079" t="s">
        <v>263</v>
      </c>
      <c r="G1079" t="s">
        <v>1388</v>
      </c>
      <c r="H1079" s="8">
        <v>0.02</v>
      </c>
      <c r="I1079" s="2">
        <v>0.672624</v>
      </c>
      <c r="J1079" s="7" t="s">
        <v>188</v>
      </c>
    </row>
    <row r="1080" spans="1:10" ht="28.5">
      <c r="A1080" t="s">
        <v>187</v>
      </c>
      <c r="B1080" t="s">
        <v>1394</v>
      </c>
      <c r="C1080" t="s">
        <v>3390</v>
      </c>
      <c r="D1080" t="s">
        <v>3391</v>
      </c>
      <c r="E1080" t="s">
        <v>1331</v>
      </c>
      <c r="F1080" t="s">
        <v>50</v>
      </c>
      <c r="G1080" t="s">
        <v>1388</v>
      </c>
      <c r="H1080" s="8">
        <v>0.01</v>
      </c>
      <c r="I1080" s="2">
        <v>0.336312</v>
      </c>
      <c r="J1080" s="7" t="s">
        <v>188</v>
      </c>
    </row>
    <row r="1081" spans="1:10" ht="28.5">
      <c r="A1081" t="s">
        <v>187</v>
      </c>
      <c r="B1081" t="s">
        <v>1394</v>
      </c>
      <c r="C1081" t="s">
        <v>3348</v>
      </c>
      <c r="D1081" t="s">
        <v>3392</v>
      </c>
      <c r="E1081" t="s">
        <v>636</v>
      </c>
      <c r="F1081" t="s">
        <v>38</v>
      </c>
      <c r="G1081" t="s">
        <v>1388</v>
      </c>
      <c r="H1081" s="8">
        <v>0.01</v>
      </c>
      <c r="I1081" s="2">
        <v>0.336312</v>
      </c>
      <c r="J1081" s="7" t="s">
        <v>188</v>
      </c>
    </row>
    <row r="1082" spans="1:10" ht="28.5">
      <c r="A1082" t="s">
        <v>187</v>
      </c>
      <c r="B1082" t="s">
        <v>1394</v>
      </c>
      <c r="C1082" t="s">
        <v>3393</v>
      </c>
      <c r="D1082" t="s">
        <v>3394</v>
      </c>
      <c r="E1082" t="s">
        <v>1335</v>
      </c>
      <c r="F1082" t="s">
        <v>253</v>
      </c>
      <c r="G1082" t="s">
        <v>1388</v>
      </c>
      <c r="H1082" s="8">
        <v>0</v>
      </c>
      <c r="I1082" s="2">
        <v>0</v>
      </c>
      <c r="J1082" s="7" t="s">
        <v>188</v>
      </c>
    </row>
    <row r="1083" spans="1:10" ht="28.5">
      <c r="A1083" t="s">
        <v>187</v>
      </c>
      <c r="B1083" t="s">
        <v>1394</v>
      </c>
      <c r="C1083" t="s">
        <v>3395</v>
      </c>
      <c r="D1083" t="s">
        <v>3396</v>
      </c>
      <c r="E1083" t="s">
        <v>577</v>
      </c>
      <c r="F1083" t="s">
        <v>253</v>
      </c>
      <c r="G1083" t="s">
        <v>1388</v>
      </c>
      <c r="H1083" s="8">
        <v>0.06</v>
      </c>
      <c r="I1083" s="2">
        <v>2.0178719999999997</v>
      </c>
      <c r="J1083" s="7" t="s">
        <v>188</v>
      </c>
    </row>
    <row r="1084" spans="1:10" ht="28.5">
      <c r="A1084" t="s">
        <v>187</v>
      </c>
      <c r="B1084" t="s">
        <v>1394</v>
      </c>
      <c r="C1084" t="s">
        <v>3397</v>
      </c>
      <c r="D1084" t="s">
        <v>3398</v>
      </c>
      <c r="E1084" t="s">
        <v>355</v>
      </c>
      <c r="F1084" t="s">
        <v>25</v>
      </c>
      <c r="G1084" t="s">
        <v>1388</v>
      </c>
      <c r="H1084" s="8">
        <v>0.12</v>
      </c>
      <c r="I1084" s="2">
        <v>4.0357439999999993</v>
      </c>
      <c r="J1084" s="7" t="s">
        <v>188</v>
      </c>
    </row>
    <row r="1085" spans="1:10" ht="28.5">
      <c r="A1085" t="s">
        <v>187</v>
      </c>
      <c r="B1085" t="s">
        <v>1394</v>
      </c>
      <c r="C1085" t="s">
        <v>3399</v>
      </c>
      <c r="D1085" t="s">
        <v>3400</v>
      </c>
      <c r="E1085" t="s">
        <v>453</v>
      </c>
      <c r="F1085" t="s">
        <v>108</v>
      </c>
      <c r="G1085" t="s">
        <v>1388</v>
      </c>
      <c r="H1085" s="8">
        <v>0.02</v>
      </c>
      <c r="I1085" s="2">
        <v>0.672624</v>
      </c>
      <c r="J1085" s="7" t="s">
        <v>188</v>
      </c>
    </row>
    <row r="1086" spans="1:10" ht="28.5">
      <c r="A1086" t="s">
        <v>187</v>
      </c>
      <c r="B1086" t="s">
        <v>1394</v>
      </c>
      <c r="C1086" t="s">
        <v>3401</v>
      </c>
      <c r="D1086" t="s">
        <v>3402</v>
      </c>
      <c r="E1086" t="s">
        <v>1195</v>
      </c>
      <c r="F1086" t="s">
        <v>253</v>
      </c>
      <c r="G1086" t="s">
        <v>1388</v>
      </c>
      <c r="H1086" s="8">
        <v>0.01</v>
      </c>
      <c r="I1086" s="2">
        <v>0.336312</v>
      </c>
      <c r="J1086" s="7" t="s">
        <v>188</v>
      </c>
    </row>
    <row r="1087" spans="1:10" ht="28.5">
      <c r="A1087" t="s">
        <v>187</v>
      </c>
      <c r="B1087" t="s">
        <v>1394</v>
      </c>
      <c r="C1087" t="s">
        <v>3403</v>
      </c>
      <c r="D1087" t="s">
        <v>3404</v>
      </c>
      <c r="E1087" t="s">
        <v>1251</v>
      </c>
      <c r="F1087" t="s">
        <v>50</v>
      </c>
      <c r="G1087" t="s">
        <v>1388</v>
      </c>
      <c r="H1087" s="8">
        <v>0.01</v>
      </c>
      <c r="I1087" s="2">
        <v>0.336312</v>
      </c>
      <c r="J1087" s="7" t="s">
        <v>188</v>
      </c>
    </row>
    <row r="1088" spans="1:10" ht="28.5">
      <c r="A1088" t="s">
        <v>187</v>
      </c>
      <c r="B1088" t="s">
        <v>1394</v>
      </c>
      <c r="C1088" t="s">
        <v>3405</v>
      </c>
      <c r="D1088" t="s">
        <v>3406</v>
      </c>
      <c r="E1088" t="s">
        <v>1039</v>
      </c>
      <c r="F1088" t="s">
        <v>50</v>
      </c>
      <c r="G1088" t="s">
        <v>1388</v>
      </c>
      <c r="H1088" s="8">
        <v>0.02</v>
      </c>
      <c r="I1088" s="2">
        <v>0.672624</v>
      </c>
      <c r="J1088" s="7" t="s">
        <v>188</v>
      </c>
    </row>
    <row r="1089" spans="1:10" ht="28.5">
      <c r="A1089" t="s">
        <v>187</v>
      </c>
      <c r="B1089" t="s">
        <v>1394</v>
      </c>
      <c r="C1089" t="s">
        <v>3407</v>
      </c>
      <c r="D1089" t="s">
        <v>3408</v>
      </c>
      <c r="E1089" t="s">
        <v>1144</v>
      </c>
      <c r="F1089" t="s">
        <v>38</v>
      </c>
      <c r="G1089" t="s">
        <v>1388</v>
      </c>
      <c r="H1089" s="8">
        <v>0.01</v>
      </c>
      <c r="I1089" s="2">
        <v>0.336312</v>
      </c>
      <c r="J1089" s="7" t="s">
        <v>188</v>
      </c>
    </row>
    <row r="1090" spans="1:10" ht="28.5">
      <c r="A1090" t="s">
        <v>187</v>
      </c>
      <c r="B1090" t="s">
        <v>1394</v>
      </c>
      <c r="C1090" t="s">
        <v>1483</v>
      </c>
      <c r="D1090" t="s">
        <v>1484</v>
      </c>
      <c r="E1090" t="s">
        <v>140</v>
      </c>
      <c r="F1090" t="s">
        <v>124</v>
      </c>
      <c r="G1090" t="s">
        <v>1388</v>
      </c>
      <c r="H1090" s="8">
        <v>0.27</v>
      </c>
      <c r="I1090" s="2">
        <v>9.0804240000000007</v>
      </c>
      <c r="J1090" s="7" t="s">
        <v>188</v>
      </c>
    </row>
    <row r="1091" spans="1:10" ht="28.5">
      <c r="A1091" t="s">
        <v>187</v>
      </c>
      <c r="B1091" t="s">
        <v>1394</v>
      </c>
      <c r="C1091" t="s">
        <v>3409</v>
      </c>
      <c r="D1091" t="s">
        <v>3410</v>
      </c>
      <c r="E1091" t="s">
        <v>443</v>
      </c>
      <c r="F1091" t="s">
        <v>41</v>
      </c>
      <c r="G1091" t="s">
        <v>1388</v>
      </c>
      <c r="H1091" s="8">
        <v>0.09</v>
      </c>
      <c r="I1091" s="2">
        <v>3.0268079999999999</v>
      </c>
      <c r="J1091" s="7" t="s">
        <v>188</v>
      </c>
    </row>
    <row r="1092" spans="1:10" ht="28.5">
      <c r="A1092" t="s">
        <v>187</v>
      </c>
      <c r="B1092" t="s">
        <v>1394</v>
      </c>
      <c r="C1092" t="s">
        <v>3411</v>
      </c>
      <c r="D1092" t="s">
        <v>3412</v>
      </c>
      <c r="E1092" t="s">
        <v>1275</v>
      </c>
      <c r="F1092" t="s">
        <v>38</v>
      </c>
      <c r="G1092" t="s">
        <v>1388</v>
      </c>
      <c r="H1092" s="8">
        <v>0.01</v>
      </c>
      <c r="I1092" s="2">
        <v>0.336312</v>
      </c>
      <c r="J1092" s="7" t="s">
        <v>188</v>
      </c>
    </row>
    <row r="1093" spans="1:10" ht="28.5">
      <c r="A1093" t="s">
        <v>187</v>
      </c>
      <c r="B1093" t="s">
        <v>1394</v>
      </c>
      <c r="C1093" t="s">
        <v>3413</v>
      </c>
      <c r="D1093" t="s">
        <v>3414</v>
      </c>
      <c r="E1093" t="s">
        <v>1255</v>
      </c>
      <c r="F1093" t="s">
        <v>50</v>
      </c>
      <c r="G1093" t="s">
        <v>1388</v>
      </c>
      <c r="H1093" s="8">
        <v>0.01</v>
      </c>
      <c r="I1093" s="2">
        <v>0.336312</v>
      </c>
      <c r="J1093" s="7" t="s">
        <v>188</v>
      </c>
    </row>
    <row r="1094" spans="1:10" ht="28.5">
      <c r="A1094" t="s">
        <v>187</v>
      </c>
      <c r="B1094" t="s">
        <v>1394</v>
      </c>
      <c r="C1094" t="s">
        <v>3415</v>
      </c>
      <c r="D1094" t="s">
        <v>3416</v>
      </c>
      <c r="E1094" t="s">
        <v>465</v>
      </c>
      <c r="F1094" t="s">
        <v>41</v>
      </c>
      <c r="G1094" t="s">
        <v>1388</v>
      </c>
      <c r="H1094" s="8">
        <v>0.08</v>
      </c>
      <c r="I1094" s="2">
        <v>2.690496</v>
      </c>
      <c r="J1094" s="7" t="s">
        <v>188</v>
      </c>
    </row>
    <row r="1095" spans="1:10" ht="28.5">
      <c r="A1095" t="s">
        <v>187</v>
      </c>
      <c r="B1095" t="s">
        <v>1394</v>
      </c>
      <c r="C1095" t="s">
        <v>3417</v>
      </c>
      <c r="D1095" t="s">
        <v>3418</v>
      </c>
      <c r="E1095" t="s">
        <v>700</v>
      </c>
      <c r="F1095" t="s">
        <v>33</v>
      </c>
      <c r="G1095" t="s">
        <v>1388</v>
      </c>
      <c r="H1095" s="8">
        <v>0.02</v>
      </c>
      <c r="I1095" s="2">
        <v>0.672624</v>
      </c>
      <c r="J1095" s="7" t="s">
        <v>188</v>
      </c>
    </row>
    <row r="1096" spans="1:10" ht="28.5">
      <c r="A1096" t="s">
        <v>187</v>
      </c>
      <c r="B1096" t="s">
        <v>1394</v>
      </c>
      <c r="C1096" t="s">
        <v>3419</v>
      </c>
      <c r="D1096" t="s">
        <v>3420</v>
      </c>
      <c r="E1096" t="s">
        <v>1250</v>
      </c>
      <c r="F1096" t="s">
        <v>108</v>
      </c>
      <c r="G1096" t="s">
        <v>1388</v>
      </c>
      <c r="H1096" s="8">
        <v>0.01</v>
      </c>
      <c r="I1096" s="2">
        <v>0.336312</v>
      </c>
      <c r="J1096" s="7" t="s">
        <v>188</v>
      </c>
    </row>
    <row r="1097" spans="1:10" ht="28.5">
      <c r="A1097" t="s">
        <v>187</v>
      </c>
      <c r="B1097" t="s">
        <v>1394</v>
      </c>
      <c r="C1097" t="s">
        <v>3421</v>
      </c>
      <c r="D1097" t="s">
        <v>3422</v>
      </c>
      <c r="E1097" t="s">
        <v>282</v>
      </c>
      <c r="F1097" t="s">
        <v>25</v>
      </c>
      <c r="G1097" t="s">
        <v>1388</v>
      </c>
      <c r="H1097" s="8">
        <v>0.17</v>
      </c>
      <c r="I1097" s="2">
        <v>5.7173040000000004</v>
      </c>
      <c r="J1097" s="7" t="s">
        <v>188</v>
      </c>
    </row>
    <row r="1098" spans="1:10" ht="28.5">
      <c r="A1098" t="s">
        <v>187</v>
      </c>
      <c r="B1098" t="s">
        <v>1394</v>
      </c>
      <c r="C1098" t="s">
        <v>3423</v>
      </c>
      <c r="D1098" t="s">
        <v>3424</v>
      </c>
      <c r="E1098" t="s">
        <v>310</v>
      </c>
      <c r="F1098" t="s">
        <v>50</v>
      </c>
      <c r="G1098" t="s">
        <v>1388</v>
      </c>
      <c r="H1098" s="8">
        <v>0.14000000000000001</v>
      </c>
      <c r="I1098" s="2">
        <v>4.7083680000000001</v>
      </c>
      <c r="J1098" s="7" t="s">
        <v>188</v>
      </c>
    </row>
    <row r="1099" spans="1:10" ht="28.5">
      <c r="A1099" t="s">
        <v>187</v>
      </c>
      <c r="B1099" t="s">
        <v>1394</v>
      </c>
      <c r="C1099" t="s">
        <v>3425</v>
      </c>
      <c r="D1099" t="s">
        <v>3426</v>
      </c>
      <c r="E1099" t="s">
        <v>818</v>
      </c>
      <c r="F1099" t="s">
        <v>33</v>
      </c>
      <c r="G1099" t="s">
        <v>1388</v>
      </c>
      <c r="H1099" s="8">
        <v>0.02</v>
      </c>
      <c r="I1099" s="2">
        <v>0.672624</v>
      </c>
      <c r="J1099" s="7" t="s">
        <v>188</v>
      </c>
    </row>
    <row r="1100" spans="1:10" ht="28.5">
      <c r="A1100" t="s">
        <v>187</v>
      </c>
      <c r="B1100" t="s">
        <v>1394</v>
      </c>
      <c r="C1100" t="s">
        <v>3427</v>
      </c>
      <c r="D1100" t="s">
        <v>3428</v>
      </c>
      <c r="E1100" t="s">
        <v>225</v>
      </c>
      <c r="F1100" t="s">
        <v>50</v>
      </c>
      <c r="G1100" t="s">
        <v>1388</v>
      </c>
      <c r="H1100" s="8">
        <v>0.25</v>
      </c>
      <c r="I1100" s="2">
        <v>8.4077999999999999</v>
      </c>
      <c r="J1100" s="7" t="s">
        <v>188</v>
      </c>
    </row>
    <row r="1101" spans="1:10" ht="28.5">
      <c r="A1101" t="s">
        <v>187</v>
      </c>
      <c r="B1101" t="s">
        <v>1394</v>
      </c>
      <c r="C1101" t="s">
        <v>3429</v>
      </c>
      <c r="D1101" t="s">
        <v>3430</v>
      </c>
      <c r="E1101" t="s">
        <v>1228</v>
      </c>
      <c r="F1101" t="s">
        <v>33</v>
      </c>
      <c r="G1101" t="s">
        <v>1388</v>
      </c>
      <c r="H1101" s="8">
        <v>0.01</v>
      </c>
      <c r="I1101" s="2">
        <v>0.336312</v>
      </c>
      <c r="J1101" s="7" t="s">
        <v>188</v>
      </c>
    </row>
    <row r="1102" spans="1:10" ht="28.5">
      <c r="A1102" t="s">
        <v>187</v>
      </c>
      <c r="B1102" t="s">
        <v>1394</v>
      </c>
      <c r="C1102" t="s">
        <v>3431</v>
      </c>
      <c r="D1102" t="s">
        <v>3432</v>
      </c>
      <c r="E1102" t="s">
        <v>848</v>
      </c>
      <c r="F1102" t="s">
        <v>41</v>
      </c>
      <c r="G1102" t="s">
        <v>1388</v>
      </c>
      <c r="H1102" s="8">
        <v>0.03</v>
      </c>
      <c r="I1102" s="2">
        <v>1.0089359999999998</v>
      </c>
      <c r="J1102" s="7" t="s">
        <v>188</v>
      </c>
    </row>
    <row r="1103" spans="1:10" ht="28.5">
      <c r="A1103" t="s">
        <v>187</v>
      </c>
      <c r="B1103" t="s">
        <v>1394</v>
      </c>
      <c r="C1103" t="s">
        <v>3433</v>
      </c>
      <c r="D1103" t="s">
        <v>3434</v>
      </c>
      <c r="E1103" t="s">
        <v>262</v>
      </c>
      <c r="F1103" t="s">
        <v>263</v>
      </c>
      <c r="G1103" t="s">
        <v>1388</v>
      </c>
      <c r="H1103" s="8">
        <v>0.08</v>
      </c>
      <c r="I1103" s="2">
        <v>2.690496</v>
      </c>
      <c r="J1103" s="7" t="s">
        <v>188</v>
      </c>
    </row>
    <row r="1104" spans="1:10" ht="28.5">
      <c r="A1104" t="s">
        <v>187</v>
      </c>
      <c r="B1104" t="s">
        <v>1394</v>
      </c>
      <c r="C1104" t="s">
        <v>3435</v>
      </c>
      <c r="D1104" t="s">
        <v>3436</v>
      </c>
      <c r="E1104" t="s">
        <v>794</v>
      </c>
      <c r="F1104" t="s">
        <v>50</v>
      </c>
      <c r="G1104" t="s">
        <v>1388</v>
      </c>
      <c r="H1104" s="8">
        <v>0.01</v>
      </c>
      <c r="I1104" s="2">
        <v>0.336312</v>
      </c>
      <c r="J1104" s="7" t="s">
        <v>188</v>
      </c>
    </row>
    <row r="1105" spans="1:10" ht="28.5">
      <c r="A1105" t="s">
        <v>187</v>
      </c>
      <c r="B1105" t="s">
        <v>1394</v>
      </c>
      <c r="C1105" t="s">
        <v>3437</v>
      </c>
      <c r="D1105" t="s">
        <v>3438</v>
      </c>
      <c r="E1105" t="s">
        <v>1193</v>
      </c>
      <c r="F1105" t="s">
        <v>23</v>
      </c>
      <c r="G1105" t="s">
        <v>1388</v>
      </c>
      <c r="H1105" s="8">
        <v>0.01</v>
      </c>
      <c r="I1105" s="2">
        <v>0.336312</v>
      </c>
      <c r="J1105" s="7" t="s">
        <v>188</v>
      </c>
    </row>
    <row r="1106" spans="1:10" ht="28.5">
      <c r="A1106" t="s">
        <v>187</v>
      </c>
      <c r="B1106" t="s">
        <v>1394</v>
      </c>
      <c r="C1106" t="s">
        <v>3439</v>
      </c>
      <c r="D1106" t="s">
        <v>3440</v>
      </c>
      <c r="E1106" t="s">
        <v>1093</v>
      </c>
      <c r="F1106" t="s">
        <v>50</v>
      </c>
      <c r="G1106" t="s">
        <v>1388</v>
      </c>
      <c r="H1106" s="8">
        <v>0.02</v>
      </c>
      <c r="I1106" s="2">
        <v>0.672624</v>
      </c>
      <c r="J1106" s="7" t="s">
        <v>188</v>
      </c>
    </row>
    <row r="1107" spans="1:10" ht="28.5">
      <c r="A1107" t="s">
        <v>187</v>
      </c>
      <c r="B1107" t="s">
        <v>1394</v>
      </c>
      <c r="C1107" t="s">
        <v>3441</v>
      </c>
      <c r="D1107" t="s">
        <v>3442</v>
      </c>
      <c r="E1107" t="s">
        <v>887</v>
      </c>
      <c r="F1107" t="s">
        <v>27</v>
      </c>
      <c r="G1107" t="s">
        <v>1388</v>
      </c>
      <c r="H1107" s="8">
        <v>0.03</v>
      </c>
      <c r="I1107" s="2">
        <v>1.0089359999999998</v>
      </c>
      <c r="J1107" s="7" t="s">
        <v>188</v>
      </c>
    </row>
    <row r="1108" spans="1:10" ht="28.5">
      <c r="A1108" t="s">
        <v>187</v>
      </c>
      <c r="B1108" t="s">
        <v>1394</v>
      </c>
      <c r="C1108" t="s">
        <v>3443</v>
      </c>
      <c r="D1108" t="s">
        <v>3444</v>
      </c>
      <c r="E1108" t="s">
        <v>800</v>
      </c>
      <c r="F1108" t="s">
        <v>263</v>
      </c>
      <c r="G1108" t="s">
        <v>1388</v>
      </c>
      <c r="H1108" s="8">
        <v>0.01</v>
      </c>
      <c r="I1108" s="2">
        <v>0.336312</v>
      </c>
      <c r="J1108" s="7" t="s">
        <v>188</v>
      </c>
    </row>
    <row r="1109" spans="1:10" ht="28.5">
      <c r="A1109" t="s">
        <v>187</v>
      </c>
      <c r="B1109" t="s">
        <v>1394</v>
      </c>
      <c r="C1109" t="s">
        <v>3445</v>
      </c>
      <c r="D1109" t="s">
        <v>3446</v>
      </c>
      <c r="E1109" t="s">
        <v>1123</v>
      </c>
      <c r="F1109" t="s">
        <v>50</v>
      </c>
      <c r="G1109" t="s">
        <v>1388</v>
      </c>
      <c r="H1109" s="8">
        <v>0</v>
      </c>
      <c r="I1109" s="2">
        <v>0</v>
      </c>
      <c r="J1109" s="7" t="s">
        <v>188</v>
      </c>
    </row>
    <row r="1110" spans="1:10" ht="28.5">
      <c r="A1110" t="s">
        <v>187</v>
      </c>
      <c r="B1110" t="s">
        <v>1394</v>
      </c>
      <c r="C1110" t="s">
        <v>3447</v>
      </c>
      <c r="D1110" t="s">
        <v>3448</v>
      </c>
      <c r="E1110" t="s">
        <v>781</v>
      </c>
      <c r="F1110" t="s">
        <v>23</v>
      </c>
      <c r="G1110" t="s">
        <v>1388</v>
      </c>
      <c r="H1110" s="8">
        <v>0.04</v>
      </c>
      <c r="I1110" s="2">
        <v>1.345248</v>
      </c>
      <c r="J1110" s="7" t="s">
        <v>188</v>
      </c>
    </row>
    <row r="1111" spans="1:10" ht="28.5">
      <c r="A1111" t="s">
        <v>187</v>
      </c>
      <c r="B1111" t="s">
        <v>1394</v>
      </c>
      <c r="C1111" t="s">
        <v>3449</v>
      </c>
      <c r="D1111" t="s">
        <v>3450</v>
      </c>
      <c r="E1111" t="s">
        <v>809</v>
      </c>
      <c r="F1111" t="s">
        <v>50</v>
      </c>
      <c r="G1111" t="s">
        <v>1388</v>
      </c>
      <c r="H1111" s="8">
        <v>0.01</v>
      </c>
      <c r="I1111" s="2">
        <v>0.336312</v>
      </c>
      <c r="J1111" s="7" t="s">
        <v>188</v>
      </c>
    </row>
    <row r="1112" spans="1:10" ht="28.5">
      <c r="A1112" t="s">
        <v>187</v>
      </c>
      <c r="B1112" t="s">
        <v>1394</v>
      </c>
      <c r="C1112" t="s">
        <v>3451</v>
      </c>
      <c r="D1112" t="s">
        <v>3451</v>
      </c>
      <c r="E1112" t="s">
        <v>793</v>
      </c>
      <c r="F1112" t="s">
        <v>50</v>
      </c>
      <c r="G1112" t="s">
        <v>1388</v>
      </c>
      <c r="H1112" s="8">
        <v>0.01</v>
      </c>
      <c r="I1112" s="2">
        <v>0.336312</v>
      </c>
      <c r="J1112" s="7" t="s">
        <v>188</v>
      </c>
    </row>
    <row r="1113" spans="1:10" ht="28.5">
      <c r="A1113" t="s">
        <v>187</v>
      </c>
      <c r="B1113" t="s">
        <v>1394</v>
      </c>
      <c r="C1113" t="s">
        <v>3452</v>
      </c>
      <c r="D1113" t="s">
        <v>3453</v>
      </c>
      <c r="E1113" t="s">
        <v>483</v>
      </c>
      <c r="F1113" t="s">
        <v>124</v>
      </c>
      <c r="G1113" t="s">
        <v>1388</v>
      </c>
      <c r="H1113" s="8">
        <v>0.08</v>
      </c>
      <c r="I1113" s="2">
        <v>2.690496</v>
      </c>
      <c r="J1113" s="7" t="s">
        <v>188</v>
      </c>
    </row>
    <row r="1114" spans="1:10" ht="28.5">
      <c r="A1114" t="s">
        <v>187</v>
      </c>
      <c r="B1114" t="s">
        <v>1394</v>
      </c>
      <c r="C1114" t="s">
        <v>3454</v>
      </c>
      <c r="D1114" t="s">
        <v>3455</v>
      </c>
      <c r="E1114" t="s">
        <v>918</v>
      </c>
      <c r="F1114" t="s">
        <v>50</v>
      </c>
      <c r="G1114" t="s">
        <v>1388</v>
      </c>
      <c r="H1114" s="8">
        <v>0.03</v>
      </c>
      <c r="I1114" s="2">
        <v>1.0089359999999998</v>
      </c>
      <c r="J1114" s="7" t="s">
        <v>188</v>
      </c>
    </row>
    <row r="1115" spans="1:10" ht="28.5">
      <c r="A1115" t="s">
        <v>187</v>
      </c>
      <c r="B1115" t="s">
        <v>1394</v>
      </c>
      <c r="C1115" t="s">
        <v>3456</v>
      </c>
      <c r="D1115" t="s">
        <v>3457</v>
      </c>
      <c r="E1115" t="s">
        <v>933</v>
      </c>
      <c r="F1115" t="s">
        <v>33</v>
      </c>
      <c r="G1115" t="s">
        <v>1388</v>
      </c>
      <c r="H1115" s="8">
        <v>0.01</v>
      </c>
      <c r="I1115" s="2">
        <v>0.336312</v>
      </c>
      <c r="J1115" s="7" t="s">
        <v>188</v>
      </c>
    </row>
    <row r="1116" spans="1:10" ht="28.5">
      <c r="A1116" t="s">
        <v>187</v>
      </c>
      <c r="B1116" t="s">
        <v>1394</v>
      </c>
      <c r="C1116" t="s">
        <v>3458</v>
      </c>
      <c r="D1116" t="s">
        <v>3459</v>
      </c>
      <c r="E1116" t="s">
        <v>1168</v>
      </c>
      <c r="F1116" t="s">
        <v>50</v>
      </c>
      <c r="G1116" t="s">
        <v>1388</v>
      </c>
      <c r="H1116" s="8">
        <v>0.01</v>
      </c>
      <c r="I1116" s="2">
        <v>0.336312</v>
      </c>
      <c r="J1116" s="7" t="s">
        <v>188</v>
      </c>
    </row>
    <row r="1117" spans="1:10" ht="28.5">
      <c r="A1117" t="s">
        <v>187</v>
      </c>
      <c r="B1117" t="s">
        <v>1394</v>
      </c>
      <c r="C1117" t="s">
        <v>3460</v>
      </c>
      <c r="D1117" t="s">
        <v>3461</v>
      </c>
      <c r="E1117" t="s">
        <v>555</v>
      </c>
      <c r="F1117" t="s">
        <v>41</v>
      </c>
      <c r="G1117" t="s">
        <v>1388</v>
      </c>
      <c r="H1117" s="8">
        <v>0.02</v>
      </c>
      <c r="I1117" s="2">
        <v>0.672624</v>
      </c>
      <c r="J1117" s="7" t="s">
        <v>188</v>
      </c>
    </row>
    <row r="1118" spans="1:10" ht="28.5">
      <c r="A1118" t="s">
        <v>187</v>
      </c>
      <c r="B1118" t="s">
        <v>1394</v>
      </c>
      <c r="C1118" t="s">
        <v>3462</v>
      </c>
      <c r="D1118" t="s">
        <v>3463</v>
      </c>
      <c r="E1118" t="s">
        <v>1151</v>
      </c>
      <c r="F1118" t="s">
        <v>253</v>
      </c>
      <c r="G1118" t="s">
        <v>1388</v>
      </c>
      <c r="H1118" s="8">
        <v>0.01</v>
      </c>
      <c r="I1118" s="2">
        <v>0.336312</v>
      </c>
      <c r="J1118" s="7" t="s">
        <v>188</v>
      </c>
    </row>
    <row r="1119" spans="1:10" ht="28.5">
      <c r="A1119" t="s">
        <v>187</v>
      </c>
      <c r="B1119" t="s">
        <v>1394</v>
      </c>
      <c r="C1119" t="s">
        <v>3464</v>
      </c>
      <c r="D1119" t="s">
        <v>3465</v>
      </c>
      <c r="E1119" t="s">
        <v>989</v>
      </c>
      <c r="F1119" t="s">
        <v>50</v>
      </c>
      <c r="G1119" t="s">
        <v>1388</v>
      </c>
      <c r="H1119" s="8">
        <v>0.02</v>
      </c>
      <c r="I1119" s="2">
        <v>0.672624</v>
      </c>
      <c r="J1119" s="7" t="s">
        <v>188</v>
      </c>
    </row>
    <row r="1120" spans="1:10" ht="28.5">
      <c r="A1120" t="s">
        <v>187</v>
      </c>
      <c r="B1120" t="s">
        <v>1394</v>
      </c>
      <c r="C1120" t="s">
        <v>3466</v>
      </c>
      <c r="D1120" t="s">
        <v>3467</v>
      </c>
      <c r="E1120" t="s">
        <v>399</v>
      </c>
      <c r="F1120" t="s">
        <v>25</v>
      </c>
      <c r="G1120" t="s">
        <v>1388</v>
      </c>
      <c r="H1120" s="8">
        <v>0.1</v>
      </c>
      <c r="I1120" s="2">
        <v>3.3631200000000003</v>
      </c>
      <c r="J1120" s="7" t="s">
        <v>188</v>
      </c>
    </row>
    <row r="1121" spans="1:10" ht="28.5">
      <c r="A1121" t="s">
        <v>187</v>
      </c>
      <c r="B1121" t="s">
        <v>1394</v>
      </c>
      <c r="C1121" t="s">
        <v>3468</v>
      </c>
      <c r="D1121" t="s">
        <v>3469</v>
      </c>
      <c r="E1121" t="s">
        <v>267</v>
      </c>
      <c r="F1121" t="s">
        <v>23</v>
      </c>
      <c r="G1121" t="s">
        <v>1388</v>
      </c>
      <c r="H1121" s="8">
        <v>7.0000000000000007E-2</v>
      </c>
      <c r="I1121" s="2">
        <v>2.3541840000000001</v>
      </c>
      <c r="J1121" s="7" t="s">
        <v>188</v>
      </c>
    </row>
    <row r="1122" spans="1:10" ht="28.5">
      <c r="A1122" t="s">
        <v>187</v>
      </c>
      <c r="B1122" t="s">
        <v>1394</v>
      </c>
      <c r="C1122" t="s">
        <v>3460</v>
      </c>
      <c r="D1122" t="s">
        <v>3470</v>
      </c>
      <c r="E1122" t="s">
        <v>970</v>
      </c>
      <c r="F1122" t="s">
        <v>38</v>
      </c>
      <c r="G1122" t="s">
        <v>1388</v>
      </c>
      <c r="H1122" s="8">
        <v>0.01</v>
      </c>
      <c r="I1122" s="2">
        <v>0.336312</v>
      </c>
      <c r="J1122" s="7" t="s">
        <v>188</v>
      </c>
    </row>
    <row r="1123" spans="1:10" ht="28.5">
      <c r="A1123" t="s">
        <v>187</v>
      </c>
      <c r="B1123" t="s">
        <v>1394</v>
      </c>
      <c r="C1123" t="s">
        <v>3471</v>
      </c>
      <c r="D1123" t="s">
        <v>3472</v>
      </c>
      <c r="E1123" t="s">
        <v>1027</v>
      </c>
      <c r="F1123" t="s">
        <v>23</v>
      </c>
      <c r="G1123" t="s">
        <v>1388</v>
      </c>
      <c r="H1123" s="8">
        <v>0.02</v>
      </c>
      <c r="I1123" s="2">
        <v>0.672624</v>
      </c>
      <c r="J1123" s="7" t="s">
        <v>188</v>
      </c>
    </row>
    <row r="1124" spans="1:10" ht="28.5">
      <c r="A1124" t="s">
        <v>187</v>
      </c>
      <c r="B1124" t="s">
        <v>1394</v>
      </c>
      <c r="C1124" t="s">
        <v>3473</v>
      </c>
      <c r="D1124" t="s">
        <v>3474</v>
      </c>
      <c r="E1124" t="s">
        <v>1338</v>
      </c>
      <c r="F1124" t="s">
        <v>23</v>
      </c>
      <c r="G1124" t="s">
        <v>1388</v>
      </c>
      <c r="H1124" s="8">
        <v>0</v>
      </c>
      <c r="I1124" s="2">
        <v>0</v>
      </c>
      <c r="J1124" s="7" t="s">
        <v>188</v>
      </c>
    </row>
    <row r="1125" spans="1:10" ht="28.5">
      <c r="A1125" t="s">
        <v>187</v>
      </c>
      <c r="B1125" t="s">
        <v>1394</v>
      </c>
      <c r="C1125" t="s">
        <v>3475</v>
      </c>
      <c r="D1125" t="s">
        <v>3476</v>
      </c>
      <c r="E1125" t="s">
        <v>748</v>
      </c>
      <c r="F1125" t="s">
        <v>27</v>
      </c>
      <c r="G1125" t="s">
        <v>1388</v>
      </c>
      <c r="H1125" s="8">
        <v>0.04</v>
      </c>
      <c r="I1125" s="2">
        <v>1.345248</v>
      </c>
      <c r="J1125" s="7" t="s">
        <v>188</v>
      </c>
    </row>
    <row r="1126" spans="1:10" ht="28.5">
      <c r="A1126" t="s">
        <v>187</v>
      </c>
      <c r="B1126" t="s">
        <v>1394</v>
      </c>
      <c r="C1126" t="s">
        <v>3477</v>
      </c>
      <c r="D1126" t="s">
        <v>3478</v>
      </c>
      <c r="E1126" t="s">
        <v>298</v>
      </c>
      <c r="F1126" t="s">
        <v>27</v>
      </c>
      <c r="G1126" t="s">
        <v>1388</v>
      </c>
      <c r="H1126" s="8">
        <v>0.15</v>
      </c>
      <c r="I1126" s="2">
        <v>5.0446799999999996</v>
      </c>
      <c r="J1126" s="7" t="s">
        <v>188</v>
      </c>
    </row>
    <row r="1127" spans="1:10" ht="28.5">
      <c r="A1127" t="s">
        <v>187</v>
      </c>
      <c r="B1127" t="s">
        <v>1394</v>
      </c>
      <c r="C1127" t="s">
        <v>3479</v>
      </c>
      <c r="D1127" t="s">
        <v>3480</v>
      </c>
      <c r="E1127" t="s">
        <v>459</v>
      </c>
      <c r="F1127" t="s">
        <v>23</v>
      </c>
      <c r="G1127" t="s">
        <v>1388</v>
      </c>
      <c r="H1127" s="8">
        <v>0.04</v>
      </c>
      <c r="I1127" s="2">
        <v>1.345248</v>
      </c>
      <c r="J1127" s="7" t="s">
        <v>188</v>
      </c>
    </row>
    <row r="1128" spans="1:10" ht="28.5">
      <c r="A1128" t="s">
        <v>187</v>
      </c>
      <c r="B1128" t="s">
        <v>1394</v>
      </c>
      <c r="C1128" t="s">
        <v>3425</v>
      </c>
      <c r="D1128" t="s">
        <v>3481</v>
      </c>
      <c r="E1128" t="s">
        <v>950</v>
      </c>
      <c r="F1128" t="s">
        <v>33</v>
      </c>
      <c r="G1128" t="s">
        <v>1388</v>
      </c>
      <c r="H1128" s="8">
        <v>0.01</v>
      </c>
      <c r="I1128" s="2">
        <v>0.336312</v>
      </c>
      <c r="J1128" s="7" t="s">
        <v>188</v>
      </c>
    </row>
    <row r="1129" spans="1:10" ht="28.5">
      <c r="A1129" t="s">
        <v>187</v>
      </c>
      <c r="B1129" t="s">
        <v>1394</v>
      </c>
      <c r="C1129" t="s">
        <v>3482</v>
      </c>
      <c r="D1129" t="s">
        <v>3483</v>
      </c>
      <c r="E1129" t="s">
        <v>1179</v>
      </c>
      <c r="F1129" t="s">
        <v>33</v>
      </c>
      <c r="G1129" t="s">
        <v>1388</v>
      </c>
      <c r="H1129" s="8">
        <v>0.01</v>
      </c>
      <c r="I1129" s="2">
        <v>0.336312</v>
      </c>
      <c r="J1129" s="7" t="s">
        <v>188</v>
      </c>
    </row>
    <row r="1130" spans="1:10" ht="28.5">
      <c r="A1130" t="s">
        <v>187</v>
      </c>
      <c r="B1130" t="s">
        <v>1394</v>
      </c>
      <c r="C1130" t="s">
        <v>3484</v>
      </c>
      <c r="D1130" t="s">
        <v>3485</v>
      </c>
      <c r="E1130" t="s">
        <v>313</v>
      </c>
      <c r="F1130" t="s">
        <v>38</v>
      </c>
      <c r="G1130" t="s">
        <v>1388</v>
      </c>
      <c r="H1130" s="8">
        <v>0.14000000000000001</v>
      </c>
      <c r="I1130" s="2">
        <v>4.7083680000000001</v>
      </c>
      <c r="J1130" s="7" t="s">
        <v>188</v>
      </c>
    </row>
    <row r="1131" spans="1:10" ht="28.5">
      <c r="A1131" t="s">
        <v>187</v>
      </c>
      <c r="B1131" t="s">
        <v>1394</v>
      </c>
      <c r="C1131" t="s">
        <v>3486</v>
      </c>
      <c r="D1131" t="s">
        <v>3487</v>
      </c>
      <c r="E1131" t="s">
        <v>712</v>
      </c>
      <c r="F1131" t="s">
        <v>41</v>
      </c>
      <c r="G1131" t="s">
        <v>1388</v>
      </c>
      <c r="H1131" s="8">
        <v>0.01</v>
      </c>
      <c r="I1131" s="2">
        <v>0.336312</v>
      </c>
      <c r="J1131" s="7" t="s">
        <v>188</v>
      </c>
    </row>
    <row r="1132" spans="1:10" ht="28.5">
      <c r="A1132" t="s">
        <v>187</v>
      </c>
      <c r="B1132" t="s">
        <v>1394</v>
      </c>
      <c r="C1132" t="s">
        <v>3488</v>
      </c>
      <c r="D1132" t="s">
        <v>3489</v>
      </c>
      <c r="E1132" t="s">
        <v>354</v>
      </c>
      <c r="F1132" t="s">
        <v>253</v>
      </c>
      <c r="G1132" t="s">
        <v>1388</v>
      </c>
      <c r="H1132" s="8">
        <v>0.12</v>
      </c>
      <c r="I1132" s="2">
        <v>4.0357439999999993</v>
      </c>
      <c r="J1132" s="7" t="s">
        <v>188</v>
      </c>
    </row>
    <row r="1133" spans="1:10" ht="28.5">
      <c r="A1133" t="s">
        <v>187</v>
      </c>
      <c r="B1133" t="s">
        <v>1394</v>
      </c>
      <c r="C1133" t="s">
        <v>3490</v>
      </c>
      <c r="D1133" t="s">
        <v>3491</v>
      </c>
      <c r="E1133" t="s">
        <v>493</v>
      </c>
      <c r="F1133" t="s">
        <v>27</v>
      </c>
      <c r="G1133" t="s">
        <v>1388</v>
      </c>
      <c r="H1133" s="8">
        <v>0.08</v>
      </c>
      <c r="I1133" s="2">
        <v>2.690496</v>
      </c>
      <c r="J1133" s="7" t="s">
        <v>188</v>
      </c>
    </row>
    <row r="1134" spans="1:10" ht="28.5">
      <c r="A1134" t="s">
        <v>187</v>
      </c>
      <c r="B1134" t="s">
        <v>1394</v>
      </c>
      <c r="C1134" t="s">
        <v>3492</v>
      </c>
      <c r="D1134" t="s">
        <v>3493</v>
      </c>
      <c r="E1134" t="s">
        <v>1308</v>
      </c>
      <c r="F1134" t="s">
        <v>50</v>
      </c>
      <c r="G1134" t="s">
        <v>1388</v>
      </c>
      <c r="H1134" s="8">
        <v>0.01</v>
      </c>
      <c r="I1134" s="2">
        <v>0.336312</v>
      </c>
      <c r="J1134" s="7" t="s">
        <v>188</v>
      </c>
    </row>
    <row r="1135" spans="1:10" ht="28.5">
      <c r="A1135" t="s">
        <v>187</v>
      </c>
      <c r="B1135" t="s">
        <v>1394</v>
      </c>
      <c r="C1135" t="s">
        <v>3494</v>
      </c>
      <c r="D1135" t="s">
        <v>3495</v>
      </c>
      <c r="E1135" t="s">
        <v>475</v>
      </c>
      <c r="F1135" t="s">
        <v>27</v>
      </c>
      <c r="G1135" t="s">
        <v>1388</v>
      </c>
      <c r="H1135" s="8">
        <v>0.08</v>
      </c>
      <c r="I1135" s="2">
        <v>2.690496</v>
      </c>
      <c r="J1135" s="7" t="s">
        <v>188</v>
      </c>
    </row>
    <row r="1136" spans="1:10" ht="28.5">
      <c r="A1136" t="s">
        <v>187</v>
      </c>
      <c r="B1136" t="s">
        <v>1394</v>
      </c>
      <c r="C1136" t="s">
        <v>3496</v>
      </c>
      <c r="D1136" t="s">
        <v>3497</v>
      </c>
      <c r="E1136" t="s">
        <v>567</v>
      </c>
      <c r="F1136" t="s">
        <v>50</v>
      </c>
      <c r="G1136" t="s">
        <v>1388</v>
      </c>
      <c r="H1136" s="8">
        <v>0.02</v>
      </c>
      <c r="I1136" s="2">
        <v>0.672624</v>
      </c>
      <c r="J1136" s="7" t="s">
        <v>188</v>
      </c>
    </row>
    <row r="1137" spans="1:10" ht="28.5">
      <c r="A1137" t="s">
        <v>187</v>
      </c>
      <c r="B1137" t="s">
        <v>1394</v>
      </c>
      <c r="C1137" t="s">
        <v>3498</v>
      </c>
      <c r="D1137" t="s">
        <v>3499</v>
      </c>
      <c r="E1137" t="s">
        <v>452</v>
      </c>
      <c r="F1137" t="s">
        <v>253</v>
      </c>
      <c r="G1137" t="s">
        <v>1388</v>
      </c>
      <c r="H1137" s="8">
        <v>0.04</v>
      </c>
      <c r="I1137" s="2">
        <v>1.345248</v>
      </c>
      <c r="J1137" s="7" t="s">
        <v>188</v>
      </c>
    </row>
    <row r="1138" spans="1:10" ht="28.5">
      <c r="A1138" t="s">
        <v>187</v>
      </c>
      <c r="B1138" t="s">
        <v>1394</v>
      </c>
      <c r="C1138" t="s">
        <v>3500</v>
      </c>
      <c r="D1138" t="s">
        <v>3501</v>
      </c>
      <c r="E1138" t="s">
        <v>327</v>
      </c>
      <c r="F1138" t="s">
        <v>23</v>
      </c>
      <c r="G1138" t="s">
        <v>1388</v>
      </c>
      <c r="H1138" s="8">
        <v>0.06</v>
      </c>
      <c r="I1138" s="2">
        <v>2.0178719999999997</v>
      </c>
      <c r="J1138" s="7" t="s">
        <v>188</v>
      </c>
    </row>
    <row r="1139" spans="1:10" ht="28.5">
      <c r="A1139" t="s">
        <v>187</v>
      </c>
      <c r="B1139" t="s">
        <v>1394</v>
      </c>
      <c r="C1139" t="s">
        <v>3502</v>
      </c>
      <c r="D1139" t="s">
        <v>3503</v>
      </c>
      <c r="E1139" t="s">
        <v>1285</v>
      </c>
      <c r="F1139" t="s">
        <v>23</v>
      </c>
      <c r="G1139" t="s">
        <v>1388</v>
      </c>
      <c r="H1139" s="8">
        <v>0.01</v>
      </c>
      <c r="I1139" s="2">
        <v>0.336312</v>
      </c>
      <c r="J1139" s="7" t="s">
        <v>188</v>
      </c>
    </row>
    <row r="1140" spans="1:10" ht="28.5">
      <c r="A1140" t="s">
        <v>187</v>
      </c>
      <c r="B1140" t="s">
        <v>1394</v>
      </c>
      <c r="C1140" t="s">
        <v>3504</v>
      </c>
      <c r="D1140" t="s">
        <v>3505</v>
      </c>
      <c r="E1140" t="s">
        <v>1264</v>
      </c>
      <c r="F1140" t="s">
        <v>50</v>
      </c>
      <c r="G1140" t="s">
        <v>1388</v>
      </c>
      <c r="H1140" s="8">
        <v>0.01</v>
      </c>
      <c r="I1140" s="2">
        <v>0.336312</v>
      </c>
      <c r="J1140" s="7" t="s">
        <v>188</v>
      </c>
    </row>
    <row r="1141" spans="1:10" ht="28.5">
      <c r="A1141" t="s">
        <v>187</v>
      </c>
      <c r="B1141" t="s">
        <v>1394</v>
      </c>
      <c r="C1141" t="s">
        <v>3506</v>
      </c>
      <c r="D1141" t="s">
        <v>3507</v>
      </c>
      <c r="E1141" t="s">
        <v>316</v>
      </c>
      <c r="F1141" t="s">
        <v>38</v>
      </c>
      <c r="G1141" t="s">
        <v>1388</v>
      </c>
      <c r="H1141" s="8">
        <v>0.14000000000000001</v>
      </c>
      <c r="I1141" s="2">
        <v>4.7083680000000001</v>
      </c>
      <c r="J1141" s="7" t="s">
        <v>188</v>
      </c>
    </row>
    <row r="1142" spans="1:10" ht="28.5">
      <c r="A1142" t="s">
        <v>187</v>
      </c>
      <c r="B1142" t="s">
        <v>1394</v>
      </c>
      <c r="C1142" t="s">
        <v>3508</v>
      </c>
      <c r="D1142" t="s">
        <v>3509</v>
      </c>
      <c r="E1142" t="s">
        <v>393</v>
      </c>
      <c r="F1142" t="s">
        <v>23</v>
      </c>
      <c r="G1142" t="s">
        <v>1388</v>
      </c>
      <c r="H1142" s="8">
        <v>0.06</v>
      </c>
      <c r="I1142" s="2">
        <v>2.0178719999999997</v>
      </c>
      <c r="J1142" s="7" t="s">
        <v>188</v>
      </c>
    </row>
    <row r="1143" spans="1:10" ht="28.5">
      <c r="A1143" t="s">
        <v>187</v>
      </c>
      <c r="B1143" t="s">
        <v>1394</v>
      </c>
      <c r="C1143" t="s">
        <v>3510</v>
      </c>
      <c r="D1143" t="s">
        <v>3511</v>
      </c>
      <c r="E1143" t="s">
        <v>758</v>
      </c>
      <c r="F1143" t="s">
        <v>41</v>
      </c>
      <c r="G1143" t="s">
        <v>1388</v>
      </c>
      <c r="H1143" s="8">
        <v>0.04</v>
      </c>
      <c r="I1143" s="2">
        <v>1.345248</v>
      </c>
      <c r="J1143" s="7" t="s">
        <v>188</v>
      </c>
    </row>
    <row r="1144" spans="1:10" ht="28.5">
      <c r="A1144" t="s">
        <v>187</v>
      </c>
      <c r="B1144" t="s">
        <v>1394</v>
      </c>
      <c r="C1144" t="s">
        <v>3512</v>
      </c>
      <c r="D1144" t="s">
        <v>3513</v>
      </c>
      <c r="E1144" t="s">
        <v>417</v>
      </c>
      <c r="F1144" t="s">
        <v>38</v>
      </c>
      <c r="G1144" t="s">
        <v>1388</v>
      </c>
      <c r="H1144" s="8">
        <v>0.01</v>
      </c>
      <c r="I1144" s="2">
        <v>0.336312</v>
      </c>
      <c r="J1144" s="7" t="s">
        <v>188</v>
      </c>
    </row>
    <row r="1145" spans="1:10" ht="28.5">
      <c r="A1145" t="s">
        <v>187</v>
      </c>
      <c r="B1145" t="s">
        <v>1394</v>
      </c>
      <c r="C1145" t="s">
        <v>3514</v>
      </c>
      <c r="D1145" t="s">
        <v>3515</v>
      </c>
      <c r="E1145" t="s">
        <v>992</v>
      </c>
      <c r="F1145" t="s">
        <v>33</v>
      </c>
      <c r="G1145" t="s">
        <v>1388</v>
      </c>
      <c r="H1145" s="8">
        <v>0.02</v>
      </c>
      <c r="I1145" s="2">
        <v>0.672624</v>
      </c>
      <c r="J1145" s="7" t="s">
        <v>188</v>
      </c>
    </row>
    <row r="1146" spans="1:10" ht="28.5">
      <c r="A1146" t="s">
        <v>187</v>
      </c>
      <c r="B1146" t="s">
        <v>1394</v>
      </c>
      <c r="C1146" t="s">
        <v>3516</v>
      </c>
      <c r="D1146" t="s">
        <v>3517</v>
      </c>
      <c r="E1146" t="s">
        <v>245</v>
      </c>
      <c r="F1146" t="s">
        <v>25</v>
      </c>
      <c r="G1146" t="s">
        <v>1388</v>
      </c>
      <c r="H1146" s="8">
        <v>0.05</v>
      </c>
      <c r="I1146" s="2">
        <v>1.6815600000000002</v>
      </c>
      <c r="J1146" s="7" t="s">
        <v>188</v>
      </c>
    </row>
    <row r="1147" spans="1:10" ht="28.5">
      <c r="A1147" t="s">
        <v>187</v>
      </c>
      <c r="B1147" t="s">
        <v>1394</v>
      </c>
      <c r="C1147" t="s">
        <v>3518</v>
      </c>
      <c r="D1147" t="s">
        <v>3519</v>
      </c>
      <c r="E1147" t="s">
        <v>1297</v>
      </c>
      <c r="F1147" t="s">
        <v>263</v>
      </c>
      <c r="G1147" t="s">
        <v>1388</v>
      </c>
      <c r="H1147" s="8">
        <v>0.01</v>
      </c>
      <c r="I1147" s="2">
        <v>0.336312</v>
      </c>
      <c r="J1147" s="7" t="s">
        <v>188</v>
      </c>
    </row>
    <row r="1148" spans="1:10" ht="28.5">
      <c r="A1148" t="s">
        <v>187</v>
      </c>
      <c r="B1148" t="s">
        <v>1394</v>
      </c>
      <c r="C1148" t="s">
        <v>3520</v>
      </c>
      <c r="D1148" t="s">
        <v>3521</v>
      </c>
      <c r="E1148" t="s">
        <v>941</v>
      </c>
      <c r="F1148" t="s">
        <v>41</v>
      </c>
      <c r="G1148" t="s">
        <v>1388</v>
      </c>
      <c r="H1148" s="8">
        <v>0.01</v>
      </c>
      <c r="I1148" s="2">
        <v>0.336312</v>
      </c>
      <c r="J1148" s="7" t="s">
        <v>188</v>
      </c>
    </row>
    <row r="1149" spans="1:10" ht="28.5">
      <c r="A1149" t="s">
        <v>187</v>
      </c>
      <c r="B1149" t="s">
        <v>1394</v>
      </c>
      <c r="C1149" t="s">
        <v>3522</v>
      </c>
      <c r="D1149" t="s">
        <v>3523</v>
      </c>
      <c r="E1149" t="s">
        <v>340</v>
      </c>
      <c r="F1149" t="s">
        <v>25</v>
      </c>
      <c r="G1149" t="s">
        <v>1388</v>
      </c>
      <c r="H1149" s="8">
        <v>0.03</v>
      </c>
      <c r="I1149" s="2">
        <v>1.0089359999999998</v>
      </c>
      <c r="J1149" s="7" t="s">
        <v>188</v>
      </c>
    </row>
    <row r="1150" spans="1:10" ht="28.5">
      <c r="A1150" t="s">
        <v>187</v>
      </c>
      <c r="B1150" t="s">
        <v>1394</v>
      </c>
      <c r="C1150" t="s">
        <v>3524</v>
      </c>
      <c r="D1150" t="s">
        <v>3525</v>
      </c>
      <c r="E1150" t="s">
        <v>1139</v>
      </c>
      <c r="F1150" t="s">
        <v>33</v>
      </c>
      <c r="G1150" t="s">
        <v>1388</v>
      </c>
      <c r="H1150" s="8">
        <v>0.01</v>
      </c>
      <c r="I1150" s="2">
        <v>0.336312</v>
      </c>
      <c r="J1150" s="7" t="s">
        <v>188</v>
      </c>
    </row>
    <row r="1151" spans="1:10" ht="28.5">
      <c r="A1151" t="s">
        <v>187</v>
      </c>
      <c r="B1151" t="s">
        <v>1394</v>
      </c>
      <c r="C1151" t="s">
        <v>3526</v>
      </c>
      <c r="D1151" t="s">
        <v>3527</v>
      </c>
      <c r="E1151" t="s">
        <v>112</v>
      </c>
      <c r="F1151" t="s">
        <v>33</v>
      </c>
      <c r="G1151" t="s">
        <v>1388</v>
      </c>
      <c r="H1151" s="8">
        <v>0.12</v>
      </c>
      <c r="I1151" s="2">
        <v>4.0357439999999993</v>
      </c>
      <c r="J1151" s="7" t="s">
        <v>188</v>
      </c>
    </row>
    <row r="1152" spans="1:10" ht="28.5">
      <c r="A1152" t="s">
        <v>187</v>
      </c>
      <c r="B1152" t="s">
        <v>1394</v>
      </c>
      <c r="C1152" t="s">
        <v>3528</v>
      </c>
      <c r="D1152" t="s">
        <v>3529</v>
      </c>
      <c r="E1152" t="s">
        <v>626</v>
      </c>
      <c r="F1152" t="s">
        <v>38</v>
      </c>
      <c r="G1152" t="s">
        <v>1388</v>
      </c>
      <c r="H1152" s="8">
        <v>0.01</v>
      </c>
      <c r="I1152" s="2">
        <v>0.336312</v>
      </c>
      <c r="J1152" s="7" t="s">
        <v>188</v>
      </c>
    </row>
    <row r="1153" spans="1:10" ht="28.5">
      <c r="A1153" t="s">
        <v>187</v>
      </c>
      <c r="B1153" t="s">
        <v>1394</v>
      </c>
      <c r="C1153" t="s">
        <v>3530</v>
      </c>
      <c r="D1153" t="s">
        <v>3531</v>
      </c>
      <c r="E1153" t="s">
        <v>244</v>
      </c>
      <c r="F1153" t="s">
        <v>50</v>
      </c>
      <c r="G1153" t="s">
        <v>1388</v>
      </c>
      <c r="H1153" s="8">
        <v>0.05</v>
      </c>
      <c r="I1153" s="2">
        <v>1.6815600000000002</v>
      </c>
      <c r="J1153" s="7" t="s">
        <v>188</v>
      </c>
    </row>
    <row r="1154" spans="1:10" ht="28.5">
      <c r="A1154" t="s">
        <v>187</v>
      </c>
      <c r="B1154" t="s">
        <v>1394</v>
      </c>
      <c r="C1154" t="s">
        <v>3532</v>
      </c>
      <c r="D1154" t="s">
        <v>3533</v>
      </c>
      <c r="E1154" t="s">
        <v>686</v>
      </c>
      <c r="F1154" t="s">
        <v>38</v>
      </c>
      <c r="G1154" t="s">
        <v>1388</v>
      </c>
      <c r="H1154" s="8">
        <v>0.05</v>
      </c>
      <c r="I1154" s="2">
        <v>1.6815600000000002</v>
      </c>
      <c r="J1154" s="7" t="s">
        <v>188</v>
      </c>
    </row>
    <row r="1155" spans="1:10" ht="28.5">
      <c r="A1155" t="s">
        <v>187</v>
      </c>
      <c r="B1155" t="s">
        <v>1394</v>
      </c>
      <c r="C1155" t="s">
        <v>3534</v>
      </c>
      <c r="D1155" t="s">
        <v>3535</v>
      </c>
      <c r="E1155" t="s">
        <v>790</v>
      </c>
      <c r="F1155" t="s">
        <v>41</v>
      </c>
      <c r="G1155" t="s">
        <v>1388</v>
      </c>
      <c r="H1155" s="8">
        <v>0.01</v>
      </c>
      <c r="I1155" s="2">
        <v>0.336312</v>
      </c>
      <c r="J1155" s="7" t="s">
        <v>188</v>
      </c>
    </row>
    <row r="1156" spans="1:10" ht="28.5">
      <c r="A1156" t="s">
        <v>187</v>
      </c>
      <c r="B1156" t="s">
        <v>1394</v>
      </c>
      <c r="C1156" t="s">
        <v>3536</v>
      </c>
      <c r="D1156" t="s">
        <v>3537</v>
      </c>
      <c r="E1156" t="s">
        <v>202</v>
      </c>
      <c r="F1156" t="s">
        <v>23</v>
      </c>
      <c r="G1156" t="s">
        <v>1388</v>
      </c>
      <c r="H1156" s="8">
        <v>0.18</v>
      </c>
      <c r="I1156" s="2">
        <v>6.0536159999999999</v>
      </c>
      <c r="J1156" s="7" t="s">
        <v>188</v>
      </c>
    </row>
    <row r="1157" spans="1:10" ht="28.5">
      <c r="A1157" t="s">
        <v>187</v>
      </c>
      <c r="B1157" t="s">
        <v>1394</v>
      </c>
      <c r="C1157" t="s">
        <v>3538</v>
      </c>
      <c r="D1157" t="s">
        <v>3539</v>
      </c>
      <c r="E1157" t="s">
        <v>562</v>
      </c>
      <c r="F1157" t="s">
        <v>23</v>
      </c>
      <c r="G1157" t="s">
        <v>1388</v>
      </c>
      <c r="H1157" s="8">
        <v>0.03</v>
      </c>
      <c r="I1157" s="2">
        <v>1.0089359999999998</v>
      </c>
      <c r="J1157" s="7" t="s">
        <v>188</v>
      </c>
    </row>
    <row r="1158" spans="1:10" ht="28.5">
      <c r="A1158" t="s">
        <v>187</v>
      </c>
      <c r="B1158" t="s">
        <v>1394</v>
      </c>
      <c r="C1158" t="s">
        <v>3540</v>
      </c>
      <c r="D1158" t="s">
        <v>3541</v>
      </c>
      <c r="E1158" t="s">
        <v>1082</v>
      </c>
      <c r="F1158" t="s">
        <v>263</v>
      </c>
      <c r="G1158" t="s">
        <v>1388</v>
      </c>
      <c r="H1158" s="8">
        <v>0.02</v>
      </c>
      <c r="I1158" s="2">
        <v>0.672624</v>
      </c>
      <c r="J1158" s="7" t="s">
        <v>188</v>
      </c>
    </row>
    <row r="1159" spans="1:10" ht="28.5">
      <c r="A1159" t="s">
        <v>187</v>
      </c>
      <c r="B1159" t="s">
        <v>1394</v>
      </c>
      <c r="C1159" t="s">
        <v>3542</v>
      </c>
      <c r="D1159" t="s">
        <v>3543</v>
      </c>
      <c r="E1159" t="s">
        <v>1106</v>
      </c>
      <c r="F1159" t="s">
        <v>263</v>
      </c>
      <c r="G1159" t="s">
        <v>1388</v>
      </c>
      <c r="H1159" s="8">
        <v>0.02</v>
      </c>
      <c r="I1159" s="2">
        <v>0.672624</v>
      </c>
      <c r="J1159" s="7" t="s">
        <v>188</v>
      </c>
    </row>
    <row r="1160" spans="1:10" ht="28.5">
      <c r="A1160" t="s">
        <v>187</v>
      </c>
      <c r="B1160" t="s">
        <v>1394</v>
      </c>
      <c r="C1160" t="s">
        <v>3544</v>
      </c>
      <c r="D1160" t="s">
        <v>3545</v>
      </c>
      <c r="E1160" t="s">
        <v>366</v>
      </c>
      <c r="F1160" t="s">
        <v>263</v>
      </c>
      <c r="G1160" t="s">
        <v>1388</v>
      </c>
      <c r="H1160" s="8">
        <v>0.03</v>
      </c>
      <c r="I1160" s="2">
        <v>1.0089359999999998</v>
      </c>
      <c r="J1160" s="7" t="s">
        <v>188</v>
      </c>
    </row>
    <row r="1161" spans="1:10" ht="28.5">
      <c r="A1161" t="s">
        <v>187</v>
      </c>
      <c r="B1161" t="s">
        <v>1394</v>
      </c>
      <c r="C1161" t="s">
        <v>3546</v>
      </c>
      <c r="D1161" t="s">
        <v>3547</v>
      </c>
      <c r="E1161" t="s">
        <v>680</v>
      </c>
      <c r="F1161" t="s">
        <v>23</v>
      </c>
      <c r="G1161" t="s">
        <v>1388</v>
      </c>
      <c r="H1161" s="8">
        <v>0.05</v>
      </c>
      <c r="I1161" s="2">
        <v>1.6815600000000002</v>
      </c>
      <c r="J1161" s="7" t="s">
        <v>188</v>
      </c>
    </row>
    <row r="1162" spans="1:10" ht="28.5">
      <c r="A1162" t="s">
        <v>187</v>
      </c>
      <c r="B1162" t="s">
        <v>1394</v>
      </c>
      <c r="C1162" t="s">
        <v>3548</v>
      </c>
      <c r="D1162" t="s">
        <v>3549</v>
      </c>
      <c r="E1162" t="s">
        <v>852</v>
      </c>
      <c r="F1162" t="s">
        <v>50</v>
      </c>
      <c r="G1162" t="s">
        <v>1388</v>
      </c>
      <c r="H1162" s="8">
        <v>0.03</v>
      </c>
      <c r="I1162" s="2">
        <v>1.0089359999999998</v>
      </c>
      <c r="J1162" s="7" t="s">
        <v>188</v>
      </c>
    </row>
    <row r="1163" spans="1:10" ht="28.5">
      <c r="A1163" t="s">
        <v>187</v>
      </c>
      <c r="B1163" t="s">
        <v>1394</v>
      </c>
      <c r="C1163" t="s">
        <v>3372</v>
      </c>
      <c r="D1163" t="s">
        <v>3550</v>
      </c>
      <c r="E1163" t="s">
        <v>477</v>
      </c>
      <c r="F1163" t="s">
        <v>124</v>
      </c>
      <c r="G1163" t="s">
        <v>1388</v>
      </c>
      <c r="H1163" s="8">
        <v>0.08</v>
      </c>
      <c r="I1163" s="2">
        <v>2.690496</v>
      </c>
      <c r="J1163" s="7" t="s">
        <v>188</v>
      </c>
    </row>
    <row r="1164" spans="1:10" ht="28.5">
      <c r="A1164" t="s">
        <v>187</v>
      </c>
      <c r="B1164" t="s">
        <v>1394</v>
      </c>
      <c r="C1164" t="s">
        <v>3551</v>
      </c>
      <c r="D1164" t="s">
        <v>3552</v>
      </c>
      <c r="E1164" t="s">
        <v>1096</v>
      </c>
      <c r="F1164" t="s">
        <v>23</v>
      </c>
      <c r="G1164" t="s">
        <v>1388</v>
      </c>
      <c r="H1164" s="8">
        <v>0.02</v>
      </c>
      <c r="I1164" s="2">
        <v>0.672624</v>
      </c>
      <c r="J1164" s="7" t="s">
        <v>188</v>
      </c>
    </row>
    <row r="1165" spans="1:10" ht="28.5">
      <c r="A1165" t="s">
        <v>187</v>
      </c>
      <c r="B1165" t="s">
        <v>1394</v>
      </c>
      <c r="C1165" t="s">
        <v>3553</v>
      </c>
      <c r="D1165" t="s">
        <v>3554</v>
      </c>
      <c r="E1165" t="s">
        <v>1135</v>
      </c>
      <c r="F1165" t="s">
        <v>108</v>
      </c>
      <c r="G1165" t="s">
        <v>1388</v>
      </c>
      <c r="H1165" s="8">
        <v>0</v>
      </c>
      <c r="I1165" s="2">
        <v>0</v>
      </c>
      <c r="J1165" s="7" t="s">
        <v>188</v>
      </c>
    </row>
    <row r="1166" spans="1:10" ht="28.5">
      <c r="A1166" t="s">
        <v>187</v>
      </c>
      <c r="B1166" t="s">
        <v>1394</v>
      </c>
      <c r="C1166" t="s">
        <v>3555</v>
      </c>
      <c r="D1166" t="s">
        <v>3556</v>
      </c>
      <c r="E1166" t="s">
        <v>625</v>
      </c>
      <c r="F1166" t="s">
        <v>25</v>
      </c>
      <c r="G1166" t="s">
        <v>1388</v>
      </c>
      <c r="H1166" s="8">
        <v>0.01</v>
      </c>
      <c r="I1166" s="2">
        <v>0.336312</v>
      </c>
      <c r="J1166" s="7" t="s">
        <v>188</v>
      </c>
    </row>
    <row r="1167" spans="1:10" ht="28.5">
      <c r="A1167" t="s">
        <v>187</v>
      </c>
      <c r="B1167" t="s">
        <v>1394</v>
      </c>
      <c r="C1167" t="s">
        <v>3557</v>
      </c>
      <c r="D1167" t="s">
        <v>3558</v>
      </c>
      <c r="E1167" t="s">
        <v>448</v>
      </c>
      <c r="F1167" t="s">
        <v>38</v>
      </c>
      <c r="G1167" t="s">
        <v>1388</v>
      </c>
      <c r="H1167" s="8">
        <v>0.02</v>
      </c>
      <c r="I1167" s="2">
        <v>0.672624</v>
      </c>
      <c r="J1167" s="7" t="s">
        <v>188</v>
      </c>
    </row>
    <row r="1168" spans="1:10" ht="28.5">
      <c r="A1168" t="s">
        <v>187</v>
      </c>
      <c r="B1168" t="s">
        <v>1394</v>
      </c>
      <c r="C1168" t="s">
        <v>3559</v>
      </c>
      <c r="D1168" t="s">
        <v>3560</v>
      </c>
      <c r="E1168" t="s">
        <v>1127</v>
      </c>
      <c r="F1168" t="s">
        <v>41</v>
      </c>
      <c r="G1168" t="s">
        <v>1388</v>
      </c>
      <c r="H1168" s="8">
        <v>0.01</v>
      </c>
      <c r="I1168" s="2">
        <v>0.336312</v>
      </c>
      <c r="J1168" s="7" t="s">
        <v>188</v>
      </c>
    </row>
    <row r="1169" spans="1:10" ht="28.5">
      <c r="A1169" t="s">
        <v>187</v>
      </c>
      <c r="B1169" t="s">
        <v>1394</v>
      </c>
      <c r="C1169" t="s">
        <v>3561</v>
      </c>
      <c r="D1169" t="s">
        <v>3562</v>
      </c>
      <c r="E1169" t="s">
        <v>725</v>
      </c>
      <c r="F1169" t="s">
        <v>23</v>
      </c>
      <c r="G1169" t="s">
        <v>1388</v>
      </c>
      <c r="H1169" s="8">
        <v>0.02</v>
      </c>
      <c r="I1169" s="2">
        <v>0.672624</v>
      </c>
      <c r="J1169" s="7" t="s">
        <v>188</v>
      </c>
    </row>
    <row r="1170" spans="1:10" ht="28.5">
      <c r="A1170" t="s">
        <v>187</v>
      </c>
      <c r="B1170" t="s">
        <v>1394</v>
      </c>
      <c r="C1170" t="s">
        <v>3563</v>
      </c>
      <c r="D1170" t="s">
        <v>3564</v>
      </c>
      <c r="E1170" t="s">
        <v>554</v>
      </c>
      <c r="F1170" t="s">
        <v>23</v>
      </c>
      <c r="G1170" t="s">
        <v>1388</v>
      </c>
      <c r="H1170" s="8">
        <v>0.04</v>
      </c>
      <c r="I1170" s="2">
        <v>1.345248</v>
      </c>
      <c r="J1170" s="7" t="s">
        <v>188</v>
      </c>
    </row>
    <row r="1171" spans="1:10" ht="28.5">
      <c r="A1171" t="s">
        <v>187</v>
      </c>
      <c r="B1171" t="s">
        <v>1394</v>
      </c>
      <c r="C1171" t="s">
        <v>3565</v>
      </c>
      <c r="D1171" t="s">
        <v>3566</v>
      </c>
      <c r="E1171" t="s">
        <v>1242</v>
      </c>
      <c r="F1171" t="s">
        <v>33</v>
      </c>
      <c r="G1171" t="s">
        <v>1388</v>
      </c>
      <c r="H1171" s="8">
        <v>0.01</v>
      </c>
      <c r="I1171" s="2">
        <v>0.336312</v>
      </c>
      <c r="J1171" s="7" t="s">
        <v>188</v>
      </c>
    </row>
    <row r="1172" spans="1:10" ht="28.5">
      <c r="A1172" t="s">
        <v>187</v>
      </c>
      <c r="B1172" t="s">
        <v>1394</v>
      </c>
      <c r="C1172" t="s">
        <v>3567</v>
      </c>
      <c r="D1172" t="s">
        <v>3568</v>
      </c>
      <c r="E1172" t="s">
        <v>942</v>
      </c>
      <c r="F1172" t="s">
        <v>50</v>
      </c>
      <c r="G1172" t="s">
        <v>1388</v>
      </c>
      <c r="H1172" s="8">
        <v>0</v>
      </c>
      <c r="I1172" s="2">
        <v>0</v>
      </c>
      <c r="J1172" s="7" t="s">
        <v>188</v>
      </c>
    </row>
    <row r="1173" spans="1:10" ht="28.5">
      <c r="A1173" t="s">
        <v>187</v>
      </c>
      <c r="B1173" t="s">
        <v>1394</v>
      </c>
      <c r="C1173" t="s">
        <v>3569</v>
      </c>
      <c r="D1173" t="s">
        <v>3570</v>
      </c>
      <c r="E1173" t="s">
        <v>785</v>
      </c>
      <c r="F1173" t="s">
        <v>23</v>
      </c>
      <c r="G1173" t="s">
        <v>1388</v>
      </c>
      <c r="H1173" s="8">
        <v>0.04</v>
      </c>
      <c r="I1173" s="2">
        <v>1.345248</v>
      </c>
      <c r="J1173" s="7" t="s">
        <v>188</v>
      </c>
    </row>
    <row r="1174" spans="1:10" ht="28.5">
      <c r="A1174" t="s">
        <v>187</v>
      </c>
      <c r="B1174" t="s">
        <v>1394</v>
      </c>
      <c r="C1174" t="s">
        <v>3571</v>
      </c>
      <c r="D1174" t="s">
        <v>3572</v>
      </c>
      <c r="E1174" t="s">
        <v>1111</v>
      </c>
      <c r="F1174" t="s">
        <v>263</v>
      </c>
      <c r="G1174" t="s">
        <v>1388</v>
      </c>
      <c r="H1174" s="8">
        <v>0.02</v>
      </c>
      <c r="I1174" s="2">
        <v>0.672624</v>
      </c>
      <c r="J1174" s="7" t="s">
        <v>188</v>
      </c>
    </row>
    <row r="1175" spans="1:10" ht="28.5">
      <c r="A1175" t="s">
        <v>187</v>
      </c>
      <c r="B1175" t="s">
        <v>1394</v>
      </c>
      <c r="C1175" t="s">
        <v>3573</v>
      </c>
      <c r="D1175" t="s">
        <v>3574</v>
      </c>
      <c r="E1175" t="s">
        <v>650</v>
      </c>
      <c r="F1175" t="s">
        <v>23</v>
      </c>
      <c r="G1175" t="s">
        <v>1388</v>
      </c>
      <c r="H1175" s="8">
        <v>0.05</v>
      </c>
      <c r="I1175" s="2">
        <v>1.6815600000000002</v>
      </c>
      <c r="J1175" s="7" t="s">
        <v>188</v>
      </c>
    </row>
    <row r="1176" spans="1:10" ht="28.5">
      <c r="A1176" t="s">
        <v>187</v>
      </c>
      <c r="B1176" t="s">
        <v>1394</v>
      </c>
      <c r="C1176" t="s">
        <v>3575</v>
      </c>
      <c r="D1176" t="s">
        <v>3576</v>
      </c>
      <c r="E1176" t="s">
        <v>1043</v>
      </c>
      <c r="F1176" t="s">
        <v>27</v>
      </c>
      <c r="G1176" t="s">
        <v>1388</v>
      </c>
      <c r="H1176" s="8">
        <v>0.02</v>
      </c>
      <c r="I1176" s="2">
        <v>0.672624</v>
      </c>
      <c r="J1176" s="7" t="s">
        <v>188</v>
      </c>
    </row>
    <row r="1177" spans="1:10" ht="28.5">
      <c r="A1177" t="s">
        <v>187</v>
      </c>
      <c r="B1177" t="s">
        <v>1394</v>
      </c>
      <c r="C1177" t="s">
        <v>3577</v>
      </c>
      <c r="D1177" t="s">
        <v>3578</v>
      </c>
      <c r="E1177" t="s">
        <v>953</v>
      </c>
      <c r="F1177" t="s">
        <v>41</v>
      </c>
      <c r="G1177" t="s">
        <v>1388</v>
      </c>
      <c r="H1177" s="8">
        <v>0.01</v>
      </c>
      <c r="I1177" s="2">
        <v>0.336312</v>
      </c>
      <c r="J1177" s="7" t="s">
        <v>188</v>
      </c>
    </row>
    <row r="1178" spans="1:10" ht="28.5">
      <c r="A1178" t="s">
        <v>187</v>
      </c>
      <c r="B1178" t="s">
        <v>1394</v>
      </c>
      <c r="C1178" t="s">
        <v>3579</v>
      </c>
      <c r="D1178" t="s">
        <v>3580</v>
      </c>
      <c r="E1178" t="s">
        <v>1152</v>
      </c>
      <c r="F1178" t="s">
        <v>41</v>
      </c>
      <c r="G1178" t="s">
        <v>1388</v>
      </c>
      <c r="H1178" s="8">
        <v>0.01</v>
      </c>
      <c r="I1178" s="2">
        <v>0.336312</v>
      </c>
      <c r="J1178" s="7" t="s">
        <v>188</v>
      </c>
    </row>
    <row r="1179" spans="1:10" ht="28.5">
      <c r="A1179" t="s">
        <v>187</v>
      </c>
      <c r="B1179" t="s">
        <v>1394</v>
      </c>
      <c r="C1179" t="s">
        <v>3581</v>
      </c>
      <c r="D1179" t="s">
        <v>3582</v>
      </c>
      <c r="E1179" t="s">
        <v>549</v>
      </c>
      <c r="F1179" t="s">
        <v>23</v>
      </c>
      <c r="G1179" t="s">
        <v>1388</v>
      </c>
      <c r="H1179" s="8">
        <v>0.03</v>
      </c>
      <c r="I1179" s="2">
        <v>1.0089359999999998</v>
      </c>
      <c r="J1179" s="7" t="s">
        <v>188</v>
      </c>
    </row>
    <row r="1180" spans="1:10" ht="28.5">
      <c r="A1180" t="s">
        <v>187</v>
      </c>
      <c r="B1180" t="s">
        <v>1394</v>
      </c>
      <c r="C1180" t="s">
        <v>3583</v>
      </c>
      <c r="D1180" t="s">
        <v>3584</v>
      </c>
      <c r="E1180" t="s">
        <v>167</v>
      </c>
      <c r="F1180" t="s">
        <v>25</v>
      </c>
      <c r="G1180" t="s">
        <v>1388</v>
      </c>
      <c r="H1180" s="8">
        <v>0.09</v>
      </c>
      <c r="I1180" s="2">
        <v>3.0268079999999999</v>
      </c>
      <c r="J1180" s="7" t="s">
        <v>188</v>
      </c>
    </row>
    <row r="1181" spans="1:10" ht="28.5">
      <c r="A1181" t="s">
        <v>187</v>
      </c>
      <c r="B1181" t="s">
        <v>1394</v>
      </c>
      <c r="C1181" t="s">
        <v>3585</v>
      </c>
      <c r="D1181" t="s">
        <v>3586</v>
      </c>
      <c r="E1181" t="s">
        <v>688</v>
      </c>
      <c r="F1181" t="s">
        <v>108</v>
      </c>
      <c r="G1181" t="s">
        <v>1388</v>
      </c>
      <c r="H1181" s="8">
        <v>0.05</v>
      </c>
      <c r="I1181" s="2">
        <v>1.6815600000000002</v>
      </c>
      <c r="J1181" s="7" t="s">
        <v>188</v>
      </c>
    </row>
    <row r="1182" spans="1:10" ht="28.5">
      <c r="A1182" t="s">
        <v>187</v>
      </c>
      <c r="B1182" t="s">
        <v>1394</v>
      </c>
      <c r="C1182" t="s">
        <v>3587</v>
      </c>
      <c r="D1182" t="s">
        <v>3588</v>
      </c>
      <c r="E1182" t="s">
        <v>381</v>
      </c>
      <c r="F1182" t="s">
        <v>27</v>
      </c>
      <c r="G1182" t="s">
        <v>1388</v>
      </c>
      <c r="H1182" s="8">
        <v>0.11</v>
      </c>
      <c r="I1182" s="2">
        <v>3.6994319999999998</v>
      </c>
      <c r="J1182" s="7" t="s">
        <v>188</v>
      </c>
    </row>
    <row r="1183" spans="1:10" ht="28.5">
      <c r="A1183" t="s">
        <v>187</v>
      </c>
      <c r="B1183" t="s">
        <v>1394</v>
      </c>
      <c r="C1183" t="s">
        <v>3589</v>
      </c>
      <c r="D1183" t="s">
        <v>3590</v>
      </c>
      <c r="E1183" t="s">
        <v>929</v>
      </c>
      <c r="F1183" t="s">
        <v>23</v>
      </c>
      <c r="G1183" t="s">
        <v>1388</v>
      </c>
      <c r="H1183" s="8">
        <v>0.03</v>
      </c>
      <c r="I1183" s="2">
        <v>1.0089359999999998</v>
      </c>
      <c r="J1183" s="7" t="s">
        <v>188</v>
      </c>
    </row>
    <row r="1184" spans="1:10" ht="28.5">
      <c r="A1184" t="s">
        <v>187</v>
      </c>
      <c r="B1184" t="s">
        <v>1394</v>
      </c>
      <c r="C1184" t="s">
        <v>3591</v>
      </c>
      <c r="D1184" t="s">
        <v>3592</v>
      </c>
      <c r="E1184" t="s">
        <v>1099</v>
      </c>
      <c r="F1184" t="s">
        <v>23</v>
      </c>
      <c r="G1184" t="s">
        <v>1388</v>
      </c>
      <c r="H1184" s="8">
        <v>0.02</v>
      </c>
      <c r="I1184" s="2">
        <v>0.672624</v>
      </c>
      <c r="J1184" s="7" t="s">
        <v>188</v>
      </c>
    </row>
    <row r="1185" spans="1:10" ht="28.5">
      <c r="A1185" t="s">
        <v>187</v>
      </c>
      <c r="B1185" t="s">
        <v>1394</v>
      </c>
      <c r="C1185" t="s">
        <v>3593</v>
      </c>
      <c r="D1185" t="s">
        <v>3594</v>
      </c>
      <c r="E1185" t="s">
        <v>789</v>
      </c>
      <c r="F1185" t="s">
        <v>50</v>
      </c>
      <c r="G1185" t="s">
        <v>1388</v>
      </c>
      <c r="H1185" s="8">
        <v>0.01</v>
      </c>
      <c r="I1185" s="2">
        <v>0.336312</v>
      </c>
      <c r="J1185" s="7" t="s">
        <v>188</v>
      </c>
    </row>
    <row r="1186" spans="1:10" ht="28.5">
      <c r="A1186" t="s">
        <v>187</v>
      </c>
      <c r="B1186" t="s">
        <v>1394</v>
      </c>
      <c r="C1186" t="s">
        <v>3595</v>
      </c>
      <c r="D1186" t="s">
        <v>3596</v>
      </c>
      <c r="E1186" t="s">
        <v>677</v>
      </c>
      <c r="F1186" t="s">
        <v>27</v>
      </c>
      <c r="G1186" t="s">
        <v>1388</v>
      </c>
      <c r="H1186" s="8">
        <v>0.05</v>
      </c>
      <c r="I1186" s="2">
        <v>1.6815600000000002</v>
      </c>
      <c r="J1186" s="7" t="s">
        <v>188</v>
      </c>
    </row>
    <row r="1187" spans="1:10" ht="28.5">
      <c r="A1187" t="s">
        <v>187</v>
      </c>
      <c r="B1187" t="s">
        <v>1394</v>
      </c>
      <c r="C1187" t="s">
        <v>3597</v>
      </c>
      <c r="D1187" t="s">
        <v>3598</v>
      </c>
      <c r="E1187" t="s">
        <v>338</v>
      </c>
      <c r="F1187" t="s">
        <v>33</v>
      </c>
      <c r="G1187" t="s">
        <v>1388</v>
      </c>
      <c r="H1187" s="8">
        <v>0.05</v>
      </c>
      <c r="I1187" s="2">
        <v>1.6815600000000002</v>
      </c>
      <c r="J1187" s="7" t="s">
        <v>188</v>
      </c>
    </row>
    <row r="1188" spans="1:10" ht="28.5">
      <c r="A1188" t="s">
        <v>187</v>
      </c>
      <c r="B1188" t="s">
        <v>1394</v>
      </c>
      <c r="C1188" t="s">
        <v>3599</v>
      </c>
      <c r="D1188" t="s">
        <v>3600</v>
      </c>
      <c r="E1188" t="s">
        <v>1257</v>
      </c>
      <c r="F1188" t="s">
        <v>23</v>
      </c>
      <c r="G1188" t="s">
        <v>1388</v>
      </c>
      <c r="H1188" s="8">
        <v>0.01</v>
      </c>
      <c r="I1188" s="2">
        <v>0.336312</v>
      </c>
      <c r="J1188" s="7" t="s">
        <v>188</v>
      </c>
    </row>
    <row r="1189" spans="1:10" ht="28.5">
      <c r="A1189" t="s">
        <v>187</v>
      </c>
      <c r="B1189" t="s">
        <v>1394</v>
      </c>
      <c r="C1189" t="s">
        <v>3601</v>
      </c>
      <c r="D1189" t="s">
        <v>3602</v>
      </c>
      <c r="E1189" t="s">
        <v>855</v>
      </c>
      <c r="F1189" t="s">
        <v>38</v>
      </c>
      <c r="G1189" t="s">
        <v>1388</v>
      </c>
      <c r="H1189" s="8">
        <v>0.03</v>
      </c>
      <c r="I1189" s="2">
        <v>1.0089359999999998</v>
      </c>
      <c r="J1189" s="7" t="s">
        <v>188</v>
      </c>
    </row>
    <row r="1190" spans="1:10" ht="28.5">
      <c r="A1190" t="s">
        <v>187</v>
      </c>
      <c r="B1190" t="s">
        <v>1394</v>
      </c>
      <c r="C1190" t="s">
        <v>3603</v>
      </c>
      <c r="D1190" t="s">
        <v>3604</v>
      </c>
      <c r="E1190" t="s">
        <v>582</v>
      </c>
      <c r="F1190" t="s">
        <v>124</v>
      </c>
      <c r="G1190" t="s">
        <v>1388</v>
      </c>
      <c r="H1190" s="8">
        <v>0.06</v>
      </c>
      <c r="I1190" s="2">
        <v>2.0178719999999997</v>
      </c>
      <c r="J1190" s="7" t="s">
        <v>188</v>
      </c>
    </row>
    <row r="1191" spans="1:10" ht="28.5">
      <c r="A1191" t="s">
        <v>187</v>
      </c>
      <c r="B1191" t="s">
        <v>1394</v>
      </c>
      <c r="C1191" t="s">
        <v>3605</v>
      </c>
      <c r="D1191" t="s">
        <v>3606</v>
      </c>
      <c r="E1191" t="s">
        <v>532</v>
      </c>
      <c r="F1191" t="s">
        <v>108</v>
      </c>
      <c r="G1191" t="s">
        <v>1388</v>
      </c>
      <c r="H1191" s="8">
        <v>7.0000000000000007E-2</v>
      </c>
      <c r="I1191" s="2">
        <v>2.3541840000000001</v>
      </c>
      <c r="J1191" s="7" t="s">
        <v>188</v>
      </c>
    </row>
    <row r="1192" spans="1:10" ht="28.5">
      <c r="A1192" t="s">
        <v>187</v>
      </c>
      <c r="B1192" t="s">
        <v>1394</v>
      </c>
      <c r="C1192" t="s">
        <v>3607</v>
      </c>
      <c r="D1192" t="s">
        <v>3608</v>
      </c>
      <c r="E1192" t="s">
        <v>479</v>
      </c>
      <c r="F1192" t="s">
        <v>124</v>
      </c>
      <c r="G1192" t="s">
        <v>1388</v>
      </c>
      <c r="H1192" s="8">
        <v>0.08</v>
      </c>
      <c r="I1192" s="2">
        <v>2.690496</v>
      </c>
      <c r="J1192" s="7" t="s">
        <v>188</v>
      </c>
    </row>
    <row r="1193" spans="1:10" ht="28.5">
      <c r="A1193" t="s">
        <v>187</v>
      </c>
      <c r="B1193" t="s">
        <v>1394</v>
      </c>
      <c r="C1193" t="s">
        <v>3609</v>
      </c>
      <c r="D1193" t="s">
        <v>3610</v>
      </c>
      <c r="E1193" t="s">
        <v>285</v>
      </c>
      <c r="F1193" t="s">
        <v>25</v>
      </c>
      <c r="G1193" t="s">
        <v>1388</v>
      </c>
      <c r="H1193" s="8">
        <v>0.04</v>
      </c>
      <c r="I1193" s="2">
        <v>1.345248</v>
      </c>
      <c r="J1193" s="7" t="s">
        <v>188</v>
      </c>
    </row>
    <row r="1194" spans="1:10" ht="28.5">
      <c r="A1194" t="s">
        <v>187</v>
      </c>
      <c r="B1194" t="s">
        <v>1394</v>
      </c>
      <c r="C1194" t="s">
        <v>3611</v>
      </c>
      <c r="D1194" t="s">
        <v>3612</v>
      </c>
      <c r="E1194" t="s">
        <v>534</v>
      </c>
      <c r="F1194" t="s">
        <v>25</v>
      </c>
      <c r="G1194" t="s">
        <v>1388</v>
      </c>
      <c r="H1194" s="8">
        <v>7.0000000000000007E-2</v>
      </c>
      <c r="I1194" s="2">
        <v>2.3541840000000001</v>
      </c>
      <c r="J1194" s="7" t="s">
        <v>188</v>
      </c>
    </row>
    <row r="1195" spans="1:10" ht="28.5">
      <c r="A1195" t="s">
        <v>187</v>
      </c>
      <c r="B1195" t="s">
        <v>1394</v>
      </c>
      <c r="C1195" t="s">
        <v>3613</v>
      </c>
      <c r="D1195" t="s">
        <v>3614</v>
      </c>
      <c r="E1195" t="s">
        <v>860</v>
      </c>
      <c r="F1195" t="s">
        <v>124</v>
      </c>
      <c r="G1195" t="s">
        <v>1388</v>
      </c>
      <c r="H1195" s="8">
        <v>0.03</v>
      </c>
      <c r="I1195" s="2">
        <v>1.0089359999999998</v>
      </c>
      <c r="J1195" s="7" t="s">
        <v>188</v>
      </c>
    </row>
    <row r="1196" spans="1:10" ht="28.5">
      <c r="A1196" t="s">
        <v>187</v>
      </c>
      <c r="B1196" t="s">
        <v>1394</v>
      </c>
      <c r="C1196" t="s">
        <v>3615</v>
      </c>
      <c r="D1196" t="s">
        <v>3616</v>
      </c>
      <c r="E1196" t="s">
        <v>892</v>
      </c>
      <c r="F1196" t="s">
        <v>50</v>
      </c>
      <c r="G1196" t="s">
        <v>1388</v>
      </c>
      <c r="H1196" s="8">
        <v>0.03</v>
      </c>
      <c r="I1196" s="2">
        <v>1.0089359999999998</v>
      </c>
      <c r="J1196" s="7" t="s">
        <v>188</v>
      </c>
    </row>
    <row r="1197" spans="1:10" ht="28.5">
      <c r="A1197" t="s">
        <v>187</v>
      </c>
      <c r="B1197" t="s">
        <v>1394</v>
      </c>
      <c r="C1197" t="s">
        <v>3617</v>
      </c>
      <c r="D1197" t="s">
        <v>3618</v>
      </c>
      <c r="E1197" t="s">
        <v>912</v>
      </c>
      <c r="F1197" t="s">
        <v>41</v>
      </c>
      <c r="G1197" t="s">
        <v>1388</v>
      </c>
      <c r="H1197" s="8">
        <v>0.03</v>
      </c>
      <c r="I1197" s="2">
        <v>1.0089359999999998</v>
      </c>
      <c r="J1197" s="7" t="s">
        <v>188</v>
      </c>
    </row>
    <row r="1198" spans="1:10" ht="28.5">
      <c r="A1198" t="s">
        <v>187</v>
      </c>
      <c r="B1198" t="s">
        <v>1394</v>
      </c>
      <c r="C1198" t="s">
        <v>3619</v>
      </c>
      <c r="D1198" t="s">
        <v>3620</v>
      </c>
      <c r="E1198" t="s">
        <v>1200</v>
      </c>
      <c r="F1198" t="s">
        <v>27</v>
      </c>
      <c r="G1198" t="s">
        <v>1388</v>
      </c>
      <c r="H1198" s="8">
        <v>0.01</v>
      </c>
      <c r="I1198" s="2">
        <v>0.336312</v>
      </c>
      <c r="J1198" s="7" t="s">
        <v>188</v>
      </c>
    </row>
    <row r="1199" spans="1:10" ht="28.5">
      <c r="A1199" t="s">
        <v>187</v>
      </c>
      <c r="B1199" t="s">
        <v>1394</v>
      </c>
      <c r="C1199" t="s">
        <v>3621</v>
      </c>
      <c r="D1199" t="s">
        <v>3622</v>
      </c>
      <c r="E1199" t="s">
        <v>701</v>
      </c>
      <c r="F1199" t="s">
        <v>27</v>
      </c>
      <c r="G1199" t="s">
        <v>1388</v>
      </c>
      <c r="H1199" s="8">
        <v>0.01</v>
      </c>
      <c r="I1199" s="2">
        <v>0.336312</v>
      </c>
      <c r="J1199" s="7" t="s">
        <v>188</v>
      </c>
    </row>
    <row r="1200" spans="1:10" ht="28.5">
      <c r="A1200" t="s">
        <v>187</v>
      </c>
      <c r="B1200" t="s">
        <v>1394</v>
      </c>
      <c r="C1200" t="s">
        <v>3623</v>
      </c>
      <c r="D1200" t="s">
        <v>3624</v>
      </c>
      <c r="E1200" t="s">
        <v>414</v>
      </c>
      <c r="F1200" t="s">
        <v>25</v>
      </c>
      <c r="G1200" t="s">
        <v>1388</v>
      </c>
      <c r="H1200" s="8">
        <v>0.03</v>
      </c>
      <c r="I1200" s="2">
        <v>1.0089359999999998</v>
      </c>
      <c r="J1200" s="7" t="s">
        <v>188</v>
      </c>
    </row>
    <row r="1201" spans="1:10" ht="28.5">
      <c r="A1201" t="s">
        <v>187</v>
      </c>
      <c r="B1201" t="s">
        <v>1394</v>
      </c>
      <c r="C1201" t="s">
        <v>3625</v>
      </c>
      <c r="D1201" t="s">
        <v>3626</v>
      </c>
      <c r="E1201" t="s">
        <v>566</v>
      </c>
      <c r="F1201" t="s">
        <v>27</v>
      </c>
      <c r="G1201" t="s">
        <v>1388</v>
      </c>
      <c r="H1201" s="8">
        <v>0.02</v>
      </c>
      <c r="I1201" s="2">
        <v>0.672624</v>
      </c>
      <c r="J1201" s="7" t="s">
        <v>188</v>
      </c>
    </row>
    <row r="1202" spans="1:10" ht="28.5">
      <c r="A1202" t="s">
        <v>187</v>
      </c>
      <c r="B1202" t="s">
        <v>1394</v>
      </c>
      <c r="C1202" t="s">
        <v>3611</v>
      </c>
      <c r="D1202" t="s">
        <v>3627</v>
      </c>
      <c r="E1202" t="s">
        <v>1243</v>
      </c>
      <c r="F1202" t="s">
        <v>27</v>
      </c>
      <c r="G1202" t="s">
        <v>1388</v>
      </c>
      <c r="H1202" s="8">
        <v>0.01</v>
      </c>
      <c r="I1202" s="2">
        <v>0.336312</v>
      </c>
      <c r="J1202" s="7" t="s">
        <v>188</v>
      </c>
    </row>
    <row r="1203" spans="1:10" ht="28.5">
      <c r="A1203" t="s">
        <v>187</v>
      </c>
      <c r="B1203" t="s">
        <v>1394</v>
      </c>
      <c r="C1203" t="s">
        <v>3628</v>
      </c>
      <c r="D1203" t="s">
        <v>3629</v>
      </c>
      <c r="E1203" t="s">
        <v>1199</v>
      </c>
      <c r="F1203" t="s">
        <v>27</v>
      </c>
      <c r="G1203" t="s">
        <v>1388</v>
      </c>
      <c r="H1203" s="8">
        <v>0.01</v>
      </c>
      <c r="I1203" s="2">
        <v>0.336312</v>
      </c>
      <c r="J1203" s="7" t="s">
        <v>188</v>
      </c>
    </row>
    <row r="1204" spans="1:10" ht="28.5">
      <c r="A1204" t="s">
        <v>187</v>
      </c>
      <c r="B1204" t="s">
        <v>1394</v>
      </c>
      <c r="C1204" t="s">
        <v>3630</v>
      </c>
      <c r="D1204" t="s">
        <v>3631</v>
      </c>
      <c r="E1204" t="s">
        <v>1149</v>
      </c>
      <c r="F1204" t="s">
        <v>27</v>
      </c>
      <c r="G1204" t="s">
        <v>1388</v>
      </c>
      <c r="H1204" s="8">
        <v>0.01</v>
      </c>
      <c r="I1204" s="2">
        <v>0.336312</v>
      </c>
      <c r="J1204" s="7" t="s">
        <v>188</v>
      </c>
    </row>
    <row r="1205" spans="1:10" ht="28.5">
      <c r="A1205" t="s">
        <v>187</v>
      </c>
      <c r="B1205" t="s">
        <v>1394</v>
      </c>
      <c r="C1205" t="s">
        <v>1688</v>
      </c>
      <c r="D1205" t="s">
        <v>3632</v>
      </c>
      <c r="E1205" t="s">
        <v>1347</v>
      </c>
      <c r="F1205" t="s">
        <v>27</v>
      </c>
      <c r="G1205" t="s">
        <v>1388</v>
      </c>
      <c r="H1205" s="8">
        <v>0</v>
      </c>
      <c r="I1205" s="2">
        <v>0</v>
      </c>
      <c r="J1205" s="7" t="s">
        <v>188</v>
      </c>
    </row>
    <row r="1206" spans="1:10" ht="28.5">
      <c r="A1206" t="s">
        <v>187</v>
      </c>
      <c r="B1206" t="s">
        <v>1394</v>
      </c>
      <c r="C1206" t="s">
        <v>3633</v>
      </c>
      <c r="D1206" t="s">
        <v>3634</v>
      </c>
      <c r="E1206" t="s">
        <v>1184</v>
      </c>
      <c r="F1206" t="s">
        <v>124</v>
      </c>
      <c r="G1206" t="s">
        <v>1388</v>
      </c>
      <c r="H1206" s="8">
        <v>0.01</v>
      </c>
      <c r="I1206" s="2">
        <v>0.336312</v>
      </c>
      <c r="J1206" s="7" t="s">
        <v>188</v>
      </c>
    </row>
    <row r="1207" spans="1:10" ht="28.5">
      <c r="A1207" t="s">
        <v>187</v>
      </c>
      <c r="B1207" t="s">
        <v>1394</v>
      </c>
      <c r="C1207" t="s">
        <v>3635</v>
      </c>
      <c r="D1207" t="s">
        <v>3636</v>
      </c>
      <c r="E1207" t="s">
        <v>605</v>
      </c>
      <c r="F1207" t="s">
        <v>25</v>
      </c>
      <c r="G1207" t="s">
        <v>1388</v>
      </c>
      <c r="H1207" s="8">
        <v>0.06</v>
      </c>
      <c r="I1207" s="2">
        <v>2.0178719999999997</v>
      </c>
      <c r="J1207" s="7" t="s">
        <v>188</v>
      </c>
    </row>
    <row r="1208" spans="1:10" ht="28.5">
      <c r="A1208" t="s">
        <v>187</v>
      </c>
      <c r="B1208" t="s">
        <v>1394</v>
      </c>
      <c r="C1208" t="s">
        <v>3637</v>
      </c>
      <c r="D1208" t="s">
        <v>3638</v>
      </c>
      <c r="E1208" t="s">
        <v>1105</v>
      </c>
      <c r="F1208" t="s">
        <v>253</v>
      </c>
      <c r="G1208" t="s">
        <v>1388</v>
      </c>
      <c r="H1208" s="8">
        <v>0.02</v>
      </c>
      <c r="I1208" s="2">
        <v>0.672624</v>
      </c>
      <c r="J1208" s="7" t="s">
        <v>188</v>
      </c>
    </row>
    <row r="1209" spans="1:10" ht="28.5">
      <c r="A1209" t="s">
        <v>187</v>
      </c>
      <c r="B1209" t="s">
        <v>1394</v>
      </c>
      <c r="C1209" t="s">
        <v>3639</v>
      </c>
      <c r="D1209" t="s">
        <v>3640</v>
      </c>
      <c r="E1209" t="s">
        <v>1046</v>
      </c>
      <c r="F1209" t="s">
        <v>33</v>
      </c>
      <c r="G1209" t="s">
        <v>1388</v>
      </c>
      <c r="H1209" s="8">
        <v>0.02</v>
      </c>
      <c r="I1209" s="2">
        <v>0.672624</v>
      </c>
      <c r="J1209" s="7" t="s">
        <v>188</v>
      </c>
    </row>
    <row r="1210" spans="1:10" ht="28.5">
      <c r="A1210" t="s">
        <v>187</v>
      </c>
      <c r="B1210" t="s">
        <v>1394</v>
      </c>
      <c r="C1210" t="s">
        <v>3641</v>
      </c>
      <c r="D1210" t="s">
        <v>3642</v>
      </c>
      <c r="E1210" t="s">
        <v>343</v>
      </c>
      <c r="F1210" t="s">
        <v>108</v>
      </c>
      <c r="G1210" t="s">
        <v>1388</v>
      </c>
      <c r="H1210" s="8">
        <v>0.05</v>
      </c>
      <c r="I1210" s="2">
        <v>1.6815600000000002</v>
      </c>
      <c r="J1210" s="7" t="s">
        <v>188</v>
      </c>
    </row>
    <row r="1211" spans="1:10" ht="28.5">
      <c r="A1211" t="s">
        <v>187</v>
      </c>
      <c r="B1211" t="s">
        <v>1394</v>
      </c>
      <c r="C1211" t="s">
        <v>1487</v>
      </c>
      <c r="D1211" t="s">
        <v>1488</v>
      </c>
      <c r="E1211" t="s">
        <v>118</v>
      </c>
      <c r="F1211" t="s">
        <v>38</v>
      </c>
      <c r="G1211" t="s">
        <v>1388</v>
      </c>
      <c r="H1211" s="8">
        <v>1.22</v>
      </c>
      <c r="I1211" s="2">
        <v>41.030064000000003</v>
      </c>
      <c r="J1211" s="7" t="s">
        <v>188</v>
      </c>
    </row>
    <row r="1212" spans="1:10" ht="28.5">
      <c r="A1212" t="s">
        <v>187</v>
      </c>
      <c r="B1212" t="s">
        <v>1394</v>
      </c>
      <c r="C1212" t="s">
        <v>3643</v>
      </c>
      <c r="D1212" t="s">
        <v>3644</v>
      </c>
      <c r="E1212" t="s">
        <v>389</v>
      </c>
      <c r="F1212" t="s">
        <v>33</v>
      </c>
      <c r="G1212" t="s">
        <v>1388</v>
      </c>
      <c r="H1212" s="8">
        <v>0.04</v>
      </c>
      <c r="I1212" s="2">
        <v>1.345248</v>
      </c>
      <c r="J1212" s="7" t="s">
        <v>188</v>
      </c>
    </row>
    <row r="1213" spans="1:10" ht="28.5">
      <c r="A1213" t="s">
        <v>187</v>
      </c>
      <c r="B1213" t="s">
        <v>1394</v>
      </c>
      <c r="C1213" t="s">
        <v>3645</v>
      </c>
      <c r="D1213" t="s">
        <v>3646</v>
      </c>
      <c r="E1213" t="s">
        <v>147</v>
      </c>
      <c r="F1213" t="s">
        <v>25</v>
      </c>
      <c r="G1213" t="s">
        <v>1388</v>
      </c>
      <c r="H1213" s="8">
        <v>0.28999999999999998</v>
      </c>
      <c r="I1213" s="2">
        <v>9.7530479999999997</v>
      </c>
      <c r="J1213" s="7" t="s">
        <v>188</v>
      </c>
    </row>
    <row r="1214" spans="1:10" ht="28.5">
      <c r="A1214" t="s">
        <v>187</v>
      </c>
      <c r="B1214" t="s">
        <v>1394</v>
      </c>
      <c r="C1214" t="s">
        <v>3647</v>
      </c>
      <c r="D1214" t="s">
        <v>3648</v>
      </c>
      <c r="E1214" t="s">
        <v>921</v>
      </c>
      <c r="F1214" t="s">
        <v>124</v>
      </c>
      <c r="G1214" t="s">
        <v>1388</v>
      </c>
      <c r="H1214" s="8">
        <v>0.03</v>
      </c>
      <c r="I1214" s="2">
        <v>1.0089359999999998</v>
      </c>
      <c r="J1214" s="7" t="s">
        <v>188</v>
      </c>
    </row>
    <row r="1215" spans="1:10" ht="28.5">
      <c r="A1215" t="s">
        <v>187</v>
      </c>
      <c r="B1215" t="s">
        <v>1394</v>
      </c>
      <c r="C1215" t="s">
        <v>3649</v>
      </c>
      <c r="D1215" t="s">
        <v>3650</v>
      </c>
      <c r="E1215" t="s">
        <v>628</v>
      </c>
      <c r="F1215" t="s">
        <v>50</v>
      </c>
      <c r="G1215" t="s">
        <v>1388</v>
      </c>
      <c r="H1215" s="8">
        <v>0.02</v>
      </c>
      <c r="I1215" s="2">
        <v>0.672624</v>
      </c>
      <c r="J1215" s="7" t="s">
        <v>188</v>
      </c>
    </row>
    <row r="1216" spans="1:10" ht="28.5">
      <c r="A1216" t="s">
        <v>187</v>
      </c>
      <c r="B1216" t="s">
        <v>1394</v>
      </c>
      <c r="C1216" t="s">
        <v>3651</v>
      </c>
      <c r="D1216" t="s">
        <v>3652</v>
      </c>
      <c r="E1216" t="s">
        <v>1172</v>
      </c>
      <c r="F1216" t="s">
        <v>50</v>
      </c>
      <c r="G1216" t="s">
        <v>1388</v>
      </c>
      <c r="H1216" s="8">
        <v>0.01</v>
      </c>
      <c r="I1216" s="2">
        <v>0.336312</v>
      </c>
      <c r="J1216" s="7" t="s">
        <v>188</v>
      </c>
    </row>
    <row r="1217" spans="1:10" ht="28.5">
      <c r="A1217" t="s">
        <v>187</v>
      </c>
      <c r="B1217" t="s">
        <v>1394</v>
      </c>
      <c r="C1217" t="s">
        <v>3653</v>
      </c>
      <c r="D1217" t="s">
        <v>3654</v>
      </c>
      <c r="E1217" t="s">
        <v>899</v>
      </c>
      <c r="F1217" t="s">
        <v>50</v>
      </c>
      <c r="G1217" t="s">
        <v>1388</v>
      </c>
      <c r="H1217" s="8">
        <v>0.03</v>
      </c>
      <c r="I1217" s="2">
        <v>1.0089359999999998</v>
      </c>
      <c r="J1217" s="7" t="s">
        <v>188</v>
      </c>
    </row>
    <row r="1218" spans="1:10" ht="28.5">
      <c r="A1218" t="s">
        <v>187</v>
      </c>
      <c r="B1218" t="s">
        <v>1394</v>
      </c>
      <c r="C1218" t="s">
        <v>3655</v>
      </c>
      <c r="D1218" t="s">
        <v>3656</v>
      </c>
      <c r="E1218" t="s">
        <v>1208</v>
      </c>
      <c r="F1218" t="s">
        <v>38</v>
      </c>
      <c r="G1218" t="s">
        <v>1388</v>
      </c>
      <c r="H1218" s="8">
        <v>0.01</v>
      </c>
      <c r="I1218" s="2">
        <v>0.336312</v>
      </c>
      <c r="J1218" s="7" t="s">
        <v>188</v>
      </c>
    </row>
    <row r="1219" spans="1:10" ht="28.5">
      <c r="A1219" t="s">
        <v>187</v>
      </c>
      <c r="B1219" t="s">
        <v>1394</v>
      </c>
      <c r="C1219" t="s">
        <v>3657</v>
      </c>
      <c r="D1219" t="s">
        <v>3658</v>
      </c>
      <c r="E1219" t="s">
        <v>1212</v>
      </c>
      <c r="F1219" t="s">
        <v>25</v>
      </c>
      <c r="G1219" t="s">
        <v>1388</v>
      </c>
      <c r="H1219" s="8">
        <v>0.01</v>
      </c>
      <c r="I1219" s="2">
        <v>0.336312</v>
      </c>
      <c r="J1219" s="7" t="s">
        <v>188</v>
      </c>
    </row>
    <row r="1220" spans="1:10" ht="28.5">
      <c r="A1220" t="s">
        <v>187</v>
      </c>
      <c r="B1220" t="s">
        <v>1394</v>
      </c>
      <c r="C1220" t="s">
        <v>3659</v>
      </c>
      <c r="D1220" t="s">
        <v>3660</v>
      </c>
      <c r="E1220" t="s">
        <v>940</v>
      </c>
      <c r="F1220" t="s">
        <v>38</v>
      </c>
      <c r="G1220" t="s">
        <v>1388</v>
      </c>
      <c r="H1220" s="8">
        <v>0.01</v>
      </c>
      <c r="I1220" s="2">
        <v>0.336312</v>
      </c>
      <c r="J1220" s="7" t="s">
        <v>188</v>
      </c>
    </row>
    <row r="1221" spans="1:10" ht="28.5">
      <c r="A1221" t="s">
        <v>187</v>
      </c>
      <c r="B1221" t="s">
        <v>1394</v>
      </c>
      <c r="C1221" t="s">
        <v>1489</v>
      </c>
      <c r="D1221" t="s">
        <v>1490</v>
      </c>
      <c r="E1221" t="s">
        <v>158</v>
      </c>
      <c r="F1221" t="s">
        <v>33</v>
      </c>
      <c r="G1221" t="s">
        <v>1388</v>
      </c>
      <c r="H1221" s="8">
        <v>0.23</v>
      </c>
      <c r="I1221" s="2">
        <v>7.7351760000000001</v>
      </c>
      <c r="J1221" s="7" t="s">
        <v>188</v>
      </c>
    </row>
    <row r="1222" spans="1:10" ht="28.5">
      <c r="A1222" t="s">
        <v>187</v>
      </c>
      <c r="B1222" t="s">
        <v>1394</v>
      </c>
      <c r="C1222" t="s">
        <v>3661</v>
      </c>
      <c r="D1222" t="s">
        <v>3662</v>
      </c>
      <c r="E1222" t="s">
        <v>1064</v>
      </c>
      <c r="F1222" t="s">
        <v>50</v>
      </c>
      <c r="G1222" t="s">
        <v>1388</v>
      </c>
      <c r="H1222" s="8">
        <v>0.02</v>
      </c>
      <c r="I1222" s="2">
        <v>0.672624</v>
      </c>
      <c r="J1222" s="7" t="s">
        <v>188</v>
      </c>
    </row>
    <row r="1223" spans="1:10" ht="28.5">
      <c r="A1223" t="s">
        <v>187</v>
      </c>
      <c r="B1223" t="s">
        <v>1394</v>
      </c>
      <c r="C1223" t="s">
        <v>3663</v>
      </c>
      <c r="D1223" t="s">
        <v>3664</v>
      </c>
      <c r="E1223" t="s">
        <v>110</v>
      </c>
      <c r="F1223" t="s">
        <v>38</v>
      </c>
      <c r="G1223" t="s">
        <v>1388</v>
      </c>
      <c r="H1223" s="8">
        <v>0.19</v>
      </c>
      <c r="I1223" s="2">
        <v>6.3899280000000003</v>
      </c>
      <c r="J1223" s="7" t="s">
        <v>188</v>
      </c>
    </row>
    <row r="1224" spans="1:10" ht="28.5">
      <c r="A1224" t="s">
        <v>187</v>
      </c>
      <c r="B1224" t="s">
        <v>1394</v>
      </c>
      <c r="C1224" t="s">
        <v>3665</v>
      </c>
      <c r="D1224" t="s">
        <v>3666</v>
      </c>
      <c r="E1224" t="s">
        <v>1229</v>
      </c>
      <c r="F1224" t="s">
        <v>23</v>
      </c>
      <c r="G1224" t="s">
        <v>1388</v>
      </c>
      <c r="H1224" s="8">
        <v>0.01</v>
      </c>
      <c r="I1224" s="2">
        <v>0.336312</v>
      </c>
      <c r="J1224" s="7" t="s">
        <v>188</v>
      </c>
    </row>
    <row r="1225" spans="1:10" ht="28.5">
      <c r="A1225" t="s">
        <v>187</v>
      </c>
      <c r="B1225" t="s">
        <v>1394</v>
      </c>
      <c r="C1225" t="s">
        <v>3667</v>
      </c>
      <c r="D1225" t="s">
        <v>3668</v>
      </c>
      <c r="E1225" t="s">
        <v>1142</v>
      </c>
      <c r="F1225" t="s">
        <v>23</v>
      </c>
      <c r="G1225" t="s">
        <v>1388</v>
      </c>
      <c r="H1225" s="8">
        <v>0.01</v>
      </c>
      <c r="I1225" s="2">
        <v>0.336312</v>
      </c>
      <c r="J1225" s="7" t="s">
        <v>188</v>
      </c>
    </row>
    <row r="1226" spans="1:10" ht="28.5">
      <c r="A1226" t="s">
        <v>187</v>
      </c>
      <c r="B1226" t="s">
        <v>1394</v>
      </c>
      <c r="C1226" t="s">
        <v>3669</v>
      </c>
      <c r="D1226" t="s">
        <v>3670</v>
      </c>
      <c r="E1226" t="s">
        <v>1345</v>
      </c>
      <c r="F1226" t="s">
        <v>27</v>
      </c>
      <c r="G1226" t="s">
        <v>1388</v>
      </c>
      <c r="H1226" s="8">
        <v>0</v>
      </c>
      <c r="I1226" s="2">
        <v>0</v>
      </c>
      <c r="J1226" s="7" t="s">
        <v>188</v>
      </c>
    </row>
    <row r="1227" spans="1:10" ht="28.5">
      <c r="A1227" t="s">
        <v>187</v>
      </c>
      <c r="B1227" t="s">
        <v>1394</v>
      </c>
      <c r="C1227" t="s">
        <v>3671</v>
      </c>
      <c r="D1227" t="s">
        <v>3672</v>
      </c>
      <c r="E1227" t="s">
        <v>428</v>
      </c>
      <c r="F1227" t="s">
        <v>23</v>
      </c>
      <c r="G1227" t="s">
        <v>1388</v>
      </c>
      <c r="H1227" s="8">
        <v>0.09</v>
      </c>
      <c r="I1227" s="2">
        <v>3.0268079999999999</v>
      </c>
      <c r="J1227" s="7" t="s">
        <v>188</v>
      </c>
    </row>
    <row r="1228" spans="1:10" ht="28.5">
      <c r="A1228" t="s">
        <v>187</v>
      </c>
      <c r="B1228" t="s">
        <v>1394</v>
      </c>
      <c r="C1228" t="s">
        <v>3673</v>
      </c>
      <c r="D1228" t="s">
        <v>3674</v>
      </c>
      <c r="E1228" t="s">
        <v>250</v>
      </c>
      <c r="F1228" t="s">
        <v>25</v>
      </c>
      <c r="G1228" t="s">
        <v>1388</v>
      </c>
      <c r="H1228" s="8">
        <v>0.21</v>
      </c>
      <c r="I1228" s="2">
        <v>7.0625519999999993</v>
      </c>
      <c r="J1228" s="7" t="s">
        <v>188</v>
      </c>
    </row>
    <row r="1229" spans="1:10" ht="28.5">
      <c r="A1229" t="s">
        <v>187</v>
      </c>
      <c r="B1229" t="s">
        <v>1394</v>
      </c>
      <c r="C1229" t="s">
        <v>3675</v>
      </c>
      <c r="D1229" t="s">
        <v>3676</v>
      </c>
      <c r="E1229" t="s">
        <v>821</v>
      </c>
      <c r="F1229" t="s">
        <v>253</v>
      </c>
      <c r="G1229" t="s">
        <v>1388</v>
      </c>
      <c r="H1229" s="8">
        <v>0.01</v>
      </c>
      <c r="I1229" s="2">
        <v>0.336312</v>
      </c>
      <c r="J1229" s="7" t="s">
        <v>188</v>
      </c>
    </row>
    <row r="1230" spans="1:10" ht="28.5">
      <c r="A1230" t="s">
        <v>187</v>
      </c>
      <c r="B1230" t="s">
        <v>1394</v>
      </c>
      <c r="C1230" t="s">
        <v>3677</v>
      </c>
      <c r="D1230" t="s">
        <v>3678</v>
      </c>
      <c r="E1230" t="s">
        <v>807</v>
      </c>
      <c r="F1230" t="s">
        <v>50</v>
      </c>
      <c r="G1230" t="s">
        <v>1388</v>
      </c>
      <c r="H1230" s="8">
        <v>0.01</v>
      </c>
      <c r="I1230" s="2">
        <v>0.336312</v>
      </c>
      <c r="J1230" s="7" t="s">
        <v>188</v>
      </c>
    </row>
    <row r="1231" spans="1:10" ht="28.5">
      <c r="A1231" t="s">
        <v>187</v>
      </c>
      <c r="B1231" t="s">
        <v>1394</v>
      </c>
      <c r="C1231" t="s">
        <v>3679</v>
      </c>
      <c r="D1231" t="s">
        <v>3680</v>
      </c>
      <c r="E1231" t="s">
        <v>806</v>
      </c>
      <c r="F1231" t="s">
        <v>41</v>
      </c>
      <c r="G1231" t="s">
        <v>1388</v>
      </c>
      <c r="H1231" s="8">
        <v>0.01</v>
      </c>
      <c r="I1231" s="2">
        <v>0.336312</v>
      </c>
      <c r="J1231" s="7" t="s">
        <v>188</v>
      </c>
    </row>
    <row r="1232" spans="1:10" ht="28.5">
      <c r="A1232" t="s">
        <v>187</v>
      </c>
      <c r="B1232" t="s">
        <v>1394</v>
      </c>
      <c r="C1232" t="s">
        <v>3681</v>
      </c>
      <c r="D1232" t="s">
        <v>3682</v>
      </c>
      <c r="E1232" t="s">
        <v>1163</v>
      </c>
      <c r="F1232" t="s">
        <v>50</v>
      </c>
      <c r="G1232" t="s">
        <v>1388</v>
      </c>
      <c r="H1232" s="8">
        <v>0.01</v>
      </c>
      <c r="I1232" s="2">
        <v>0.336312</v>
      </c>
      <c r="J1232" s="7" t="s">
        <v>188</v>
      </c>
    </row>
    <row r="1233" spans="1:10" ht="28.5">
      <c r="A1233" t="s">
        <v>187</v>
      </c>
      <c r="B1233" t="s">
        <v>1394</v>
      </c>
      <c r="C1233" t="s">
        <v>3683</v>
      </c>
      <c r="D1233" t="s">
        <v>3684</v>
      </c>
      <c r="E1233" t="s">
        <v>233</v>
      </c>
      <c r="F1233" t="s">
        <v>23</v>
      </c>
      <c r="G1233" t="s">
        <v>1388</v>
      </c>
      <c r="H1233" s="8">
        <v>0.23</v>
      </c>
      <c r="I1233" s="2">
        <v>7.7351760000000001</v>
      </c>
      <c r="J1233" s="7" t="s">
        <v>188</v>
      </c>
    </row>
    <row r="1234" spans="1:10" ht="28.5">
      <c r="A1234" t="s">
        <v>187</v>
      </c>
      <c r="B1234" t="s">
        <v>1394</v>
      </c>
      <c r="C1234" t="s">
        <v>3685</v>
      </c>
      <c r="D1234" t="s">
        <v>3686</v>
      </c>
      <c r="E1234" t="s">
        <v>197</v>
      </c>
      <c r="F1234" t="s">
        <v>124</v>
      </c>
      <c r="G1234" t="s">
        <v>1388</v>
      </c>
      <c r="H1234" s="8">
        <v>0.18</v>
      </c>
      <c r="I1234" s="2">
        <v>6.0536159999999999</v>
      </c>
      <c r="J1234" s="7" t="s">
        <v>188</v>
      </c>
    </row>
    <row r="1235" spans="1:10" ht="28.5">
      <c r="A1235" t="s">
        <v>187</v>
      </c>
      <c r="B1235" t="s">
        <v>1394</v>
      </c>
      <c r="C1235" t="s">
        <v>3687</v>
      </c>
      <c r="D1235" t="s">
        <v>3688</v>
      </c>
      <c r="E1235" t="s">
        <v>1055</v>
      </c>
      <c r="F1235" t="s">
        <v>124</v>
      </c>
      <c r="G1235" t="s">
        <v>1388</v>
      </c>
      <c r="H1235" s="8">
        <v>0.02</v>
      </c>
      <c r="I1235" s="2">
        <v>0.672624</v>
      </c>
      <c r="J1235" s="7" t="s">
        <v>188</v>
      </c>
    </row>
    <row r="1236" spans="1:10" ht="28.5">
      <c r="A1236" t="s">
        <v>187</v>
      </c>
      <c r="B1236" t="s">
        <v>1394</v>
      </c>
      <c r="C1236" t="s">
        <v>3689</v>
      </c>
      <c r="D1236" t="s">
        <v>3690</v>
      </c>
      <c r="E1236" t="s">
        <v>878</v>
      </c>
      <c r="F1236" t="s">
        <v>25</v>
      </c>
      <c r="G1236" t="s">
        <v>1388</v>
      </c>
      <c r="H1236" s="8">
        <v>0.03</v>
      </c>
      <c r="I1236" s="2">
        <v>1.0089359999999998</v>
      </c>
      <c r="J1236" s="7" t="s">
        <v>188</v>
      </c>
    </row>
    <row r="1237" spans="1:10" ht="28.5">
      <c r="A1237" t="s">
        <v>187</v>
      </c>
      <c r="B1237" t="s">
        <v>1394</v>
      </c>
      <c r="C1237" t="s">
        <v>1491</v>
      </c>
      <c r="D1237" t="s">
        <v>1492</v>
      </c>
      <c r="E1237" t="s">
        <v>143</v>
      </c>
      <c r="F1237" t="s">
        <v>38</v>
      </c>
      <c r="G1237" t="s">
        <v>1388</v>
      </c>
      <c r="H1237" s="8">
        <v>0.18</v>
      </c>
      <c r="I1237" s="2">
        <v>6.0536159999999999</v>
      </c>
      <c r="J1237" s="7" t="s">
        <v>188</v>
      </c>
    </row>
    <row r="1238" spans="1:10" ht="28.5">
      <c r="A1238" t="s">
        <v>187</v>
      </c>
      <c r="B1238" t="s">
        <v>1394</v>
      </c>
      <c r="C1238" t="s">
        <v>3691</v>
      </c>
      <c r="D1238" t="s">
        <v>3692</v>
      </c>
      <c r="E1238" t="s">
        <v>388</v>
      </c>
      <c r="F1238" t="s">
        <v>50</v>
      </c>
      <c r="G1238" t="s">
        <v>1388</v>
      </c>
      <c r="H1238" s="8">
        <v>0.03</v>
      </c>
      <c r="I1238" s="2">
        <v>1.0089359999999998</v>
      </c>
      <c r="J1238" s="7" t="s">
        <v>188</v>
      </c>
    </row>
    <row r="1239" spans="1:10" ht="28.5">
      <c r="A1239" t="s">
        <v>187</v>
      </c>
      <c r="B1239" t="s">
        <v>1394</v>
      </c>
      <c r="C1239" t="s">
        <v>3641</v>
      </c>
      <c r="D1239" t="s">
        <v>3693</v>
      </c>
      <c r="E1239" t="s">
        <v>1087</v>
      </c>
      <c r="F1239" t="s">
        <v>38</v>
      </c>
      <c r="G1239" t="s">
        <v>1388</v>
      </c>
      <c r="H1239" s="8">
        <v>0.02</v>
      </c>
      <c r="I1239" s="2">
        <v>0.672624</v>
      </c>
      <c r="J1239" s="7" t="s">
        <v>188</v>
      </c>
    </row>
    <row r="1240" spans="1:10" ht="28.5">
      <c r="A1240" t="s">
        <v>187</v>
      </c>
      <c r="B1240" t="s">
        <v>1394</v>
      </c>
      <c r="C1240" t="s">
        <v>3694</v>
      </c>
      <c r="D1240" t="s">
        <v>3695</v>
      </c>
      <c r="E1240" t="s">
        <v>1205</v>
      </c>
      <c r="F1240" t="s">
        <v>23</v>
      </c>
      <c r="G1240" t="s">
        <v>1388</v>
      </c>
      <c r="H1240" s="8">
        <v>0.01</v>
      </c>
      <c r="I1240" s="2">
        <v>0.336312</v>
      </c>
      <c r="J1240" s="7" t="s">
        <v>188</v>
      </c>
    </row>
    <row r="1241" spans="1:10" ht="28.5">
      <c r="A1241" t="s">
        <v>187</v>
      </c>
      <c r="B1241" t="s">
        <v>1394</v>
      </c>
      <c r="C1241" t="s">
        <v>3696</v>
      </c>
      <c r="D1241" t="s">
        <v>3697</v>
      </c>
      <c r="E1241" t="s">
        <v>373</v>
      </c>
      <c r="F1241" t="s">
        <v>50</v>
      </c>
      <c r="G1241" t="s">
        <v>1388</v>
      </c>
      <c r="H1241" s="8">
        <v>0.11</v>
      </c>
      <c r="I1241" s="2">
        <v>3.6994319999999998</v>
      </c>
      <c r="J1241" s="7" t="s">
        <v>188</v>
      </c>
    </row>
    <row r="1242" spans="1:10" ht="28.5">
      <c r="A1242" t="s">
        <v>187</v>
      </c>
      <c r="B1242" t="s">
        <v>1394</v>
      </c>
      <c r="C1242" t="s">
        <v>3698</v>
      </c>
      <c r="D1242" t="s">
        <v>3699</v>
      </c>
      <c r="E1242" t="s">
        <v>517</v>
      </c>
      <c r="F1242" t="s">
        <v>50</v>
      </c>
      <c r="G1242" t="s">
        <v>1388</v>
      </c>
      <c r="H1242" s="8">
        <v>7.0000000000000007E-2</v>
      </c>
      <c r="I1242" s="2">
        <v>2.3541840000000001</v>
      </c>
      <c r="J1242" s="7" t="s">
        <v>188</v>
      </c>
    </row>
    <row r="1243" spans="1:10" ht="28.5">
      <c r="A1243" t="s">
        <v>187</v>
      </c>
      <c r="B1243" t="s">
        <v>1394</v>
      </c>
      <c r="C1243" t="s">
        <v>3700</v>
      </c>
      <c r="D1243" t="s">
        <v>3701</v>
      </c>
      <c r="E1243" t="s">
        <v>1077</v>
      </c>
      <c r="F1243" t="s">
        <v>50</v>
      </c>
      <c r="G1243" t="s">
        <v>1388</v>
      </c>
      <c r="H1243" s="8">
        <v>0.02</v>
      </c>
      <c r="I1243" s="2">
        <v>0.672624</v>
      </c>
      <c r="J1243" s="7" t="s">
        <v>188</v>
      </c>
    </row>
    <row r="1244" spans="1:10" ht="28.5">
      <c r="A1244" t="s">
        <v>187</v>
      </c>
      <c r="B1244" t="s">
        <v>1394</v>
      </c>
      <c r="C1244" t="s">
        <v>3702</v>
      </c>
      <c r="D1244" t="s">
        <v>3703</v>
      </c>
      <c r="E1244" t="s">
        <v>841</v>
      </c>
      <c r="F1244" t="s">
        <v>50</v>
      </c>
      <c r="G1244" t="s">
        <v>1388</v>
      </c>
      <c r="H1244" s="8">
        <v>0.03</v>
      </c>
      <c r="I1244" s="2">
        <v>1.0089359999999998</v>
      </c>
      <c r="J1244" s="7" t="s">
        <v>188</v>
      </c>
    </row>
    <row r="1245" spans="1:10" ht="28.5">
      <c r="A1245" t="s">
        <v>187</v>
      </c>
      <c r="B1245" t="s">
        <v>1394</v>
      </c>
      <c r="C1245" t="s">
        <v>3704</v>
      </c>
      <c r="D1245" t="s">
        <v>3705</v>
      </c>
      <c r="E1245" t="s">
        <v>473</v>
      </c>
      <c r="F1245" t="s">
        <v>23</v>
      </c>
      <c r="G1245" t="s">
        <v>1388</v>
      </c>
      <c r="H1245" s="8">
        <v>0.08</v>
      </c>
      <c r="I1245" s="2">
        <v>2.690496</v>
      </c>
      <c r="J1245" s="7" t="s">
        <v>188</v>
      </c>
    </row>
    <row r="1246" spans="1:10" ht="28.5">
      <c r="A1246" t="s">
        <v>187</v>
      </c>
      <c r="B1246" t="s">
        <v>1394</v>
      </c>
      <c r="C1246" t="s">
        <v>3706</v>
      </c>
      <c r="D1246" t="s">
        <v>3707</v>
      </c>
      <c r="E1246" t="s">
        <v>949</v>
      </c>
      <c r="F1246" t="s">
        <v>50</v>
      </c>
      <c r="G1246" t="s">
        <v>1388</v>
      </c>
      <c r="H1246" s="8">
        <v>0.01</v>
      </c>
      <c r="I1246" s="2">
        <v>0.336312</v>
      </c>
      <c r="J1246" s="7" t="s">
        <v>188</v>
      </c>
    </row>
    <row r="1247" spans="1:10" ht="28.5">
      <c r="A1247" t="s">
        <v>187</v>
      </c>
      <c r="B1247" t="s">
        <v>1394</v>
      </c>
      <c r="C1247" t="s">
        <v>3708</v>
      </c>
      <c r="D1247" t="s">
        <v>3709</v>
      </c>
      <c r="E1247" t="s">
        <v>1110</v>
      </c>
      <c r="F1247" t="s">
        <v>25</v>
      </c>
      <c r="G1247" t="s">
        <v>1388</v>
      </c>
      <c r="H1247" s="8">
        <v>0.02</v>
      </c>
      <c r="I1247" s="2">
        <v>0.672624</v>
      </c>
      <c r="J1247" s="7" t="s">
        <v>188</v>
      </c>
    </row>
    <row r="1248" spans="1:10" ht="28.5">
      <c r="A1248" t="s">
        <v>187</v>
      </c>
      <c r="B1248" t="s">
        <v>1394</v>
      </c>
      <c r="C1248" t="s">
        <v>3710</v>
      </c>
      <c r="D1248" t="s">
        <v>3711</v>
      </c>
      <c r="E1248" t="s">
        <v>283</v>
      </c>
      <c r="F1248" t="s">
        <v>23</v>
      </c>
      <c r="G1248" t="s">
        <v>1388</v>
      </c>
      <c r="H1248" s="8">
        <v>0.08</v>
      </c>
      <c r="I1248" s="2">
        <v>2.690496</v>
      </c>
      <c r="J1248" s="7" t="s">
        <v>188</v>
      </c>
    </row>
    <row r="1249" spans="1:10" ht="28.5">
      <c r="A1249" t="s">
        <v>187</v>
      </c>
      <c r="B1249" t="s">
        <v>1394</v>
      </c>
      <c r="C1249" t="s">
        <v>3712</v>
      </c>
      <c r="D1249" t="s">
        <v>3712</v>
      </c>
      <c r="E1249" t="s">
        <v>1253</v>
      </c>
      <c r="F1249" t="s">
        <v>23</v>
      </c>
      <c r="G1249" t="s">
        <v>1388</v>
      </c>
      <c r="H1249" s="8">
        <v>0.01</v>
      </c>
      <c r="I1249" s="2">
        <v>0.336312</v>
      </c>
      <c r="J1249" s="7" t="s">
        <v>188</v>
      </c>
    </row>
    <row r="1250" spans="1:10" ht="28.5">
      <c r="A1250" t="s">
        <v>187</v>
      </c>
      <c r="B1250" t="s">
        <v>1394</v>
      </c>
      <c r="C1250" t="s">
        <v>3713</v>
      </c>
      <c r="D1250" t="s">
        <v>3714</v>
      </c>
      <c r="E1250" t="s">
        <v>350</v>
      </c>
      <c r="F1250" t="s">
        <v>25</v>
      </c>
      <c r="G1250" t="s">
        <v>1388</v>
      </c>
      <c r="H1250" s="8">
        <v>0.04</v>
      </c>
      <c r="I1250" s="2">
        <v>1.345248</v>
      </c>
      <c r="J1250" s="7" t="s">
        <v>188</v>
      </c>
    </row>
    <row r="1251" spans="1:10" ht="28.5">
      <c r="A1251" t="s">
        <v>187</v>
      </c>
      <c r="B1251" t="s">
        <v>1394</v>
      </c>
      <c r="C1251" t="s">
        <v>3715</v>
      </c>
      <c r="D1251" t="s">
        <v>3716</v>
      </c>
      <c r="E1251" t="s">
        <v>1145</v>
      </c>
      <c r="F1251" t="s">
        <v>25</v>
      </c>
      <c r="G1251" t="s">
        <v>1388</v>
      </c>
      <c r="H1251" s="8">
        <v>0.01</v>
      </c>
      <c r="I1251" s="2">
        <v>0.336312</v>
      </c>
      <c r="J1251" s="7" t="s">
        <v>188</v>
      </c>
    </row>
    <row r="1252" spans="1:10" ht="28.5">
      <c r="A1252" t="s">
        <v>187</v>
      </c>
      <c r="B1252" t="s">
        <v>1394</v>
      </c>
      <c r="C1252" t="s">
        <v>3717</v>
      </c>
      <c r="D1252" t="s">
        <v>3718</v>
      </c>
      <c r="E1252" t="s">
        <v>544</v>
      </c>
      <c r="F1252" t="s">
        <v>108</v>
      </c>
      <c r="G1252" t="s">
        <v>1388</v>
      </c>
      <c r="H1252" s="8">
        <v>0.02</v>
      </c>
      <c r="I1252" s="2">
        <v>0.672624</v>
      </c>
      <c r="J1252" s="7" t="s">
        <v>188</v>
      </c>
    </row>
    <row r="1253" spans="1:10" ht="28.5">
      <c r="A1253" t="s">
        <v>187</v>
      </c>
      <c r="B1253" t="s">
        <v>1394</v>
      </c>
      <c r="C1253" t="s">
        <v>3719</v>
      </c>
      <c r="D1253" t="s">
        <v>3720</v>
      </c>
      <c r="E1253" t="s">
        <v>299</v>
      </c>
      <c r="F1253" t="s">
        <v>50</v>
      </c>
      <c r="G1253" t="s">
        <v>1388</v>
      </c>
      <c r="H1253" s="8">
        <v>0.15</v>
      </c>
      <c r="I1253" s="2">
        <v>5.0446799999999996</v>
      </c>
      <c r="J1253" s="7" t="s">
        <v>188</v>
      </c>
    </row>
    <row r="1254" spans="1:10" ht="28.5">
      <c r="A1254" t="s">
        <v>187</v>
      </c>
      <c r="B1254" t="s">
        <v>1394</v>
      </c>
      <c r="C1254" t="s">
        <v>3721</v>
      </c>
      <c r="D1254" t="s">
        <v>3722</v>
      </c>
      <c r="E1254" t="s">
        <v>264</v>
      </c>
      <c r="F1254" t="s">
        <v>23</v>
      </c>
      <c r="G1254" t="s">
        <v>1388</v>
      </c>
      <c r="H1254" s="8">
        <v>0.19</v>
      </c>
      <c r="I1254" s="2">
        <v>6.3899280000000003</v>
      </c>
      <c r="J1254" s="7" t="s">
        <v>188</v>
      </c>
    </row>
    <row r="1255" spans="1:10" ht="28.5">
      <c r="A1255" t="s">
        <v>187</v>
      </c>
      <c r="B1255" t="s">
        <v>1394</v>
      </c>
      <c r="C1255" t="s">
        <v>3723</v>
      </c>
      <c r="D1255" t="s">
        <v>3724</v>
      </c>
      <c r="E1255" t="s">
        <v>753</v>
      </c>
      <c r="F1255" t="s">
        <v>33</v>
      </c>
      <c r="G1255" t="s">
        <v>1388</v>
      </c>
      <c r="H1255" s="8">
        <v>0.04</v>
      </c>
      <c r="I1255" s="2">
        <v>1.345248</v>
      </c>
      <c r="J1255" s="7" t="s">
        <v>188</v>
      </c>
    </row>
    <row r="1256" spans="1:10" ht="28.5">
      <c r="A1256" t="s">
        <v>187</v>
      </c>
      <c r="B1256" t="s">
        <v>1394</v>
      </c>
      <c r="C1256" t="s">
        <v>3725</v>
      </c>
      <c r="D1256" t="s">
        <v>3726</v>
      </c>
      <c r="E1256" t="s">
        <v>974</v>
      </c>
      <c r="F1256" t="s">
        <v>38</v>
      </c>
      <c r="G1256" t="s">
        <v>1388</v>
      </c>
      <c r="H1256" s="8">
        <v>0.02</v>
      </c>
      <c r="I1256" s="2">
        <v>0.672624</v>
      </c>
      <c r="J1256" s="7" t="s">
        <v>188</v>
      </c>
    </row>
    <row r="1257" spans="1:10" ht="28.5">
      <c r="A1257" t="s">
        <v>187</v>
      </c>
      <c r="B1257" t="s">
        <v>1394</v>
      </c>
      <c r="C1257" t="s">
        <v>3727</v>
      </c>
      <c r="D1257" t="s">
        <v>3728</v>
      </c>
      <c r="E1257" t="s">
        <v>1085</v>
      </c>
      <c r="F1257" t="s">
        <v>263</v>
      </c>
      <c r="G1257" t="s">
        <v>1388</v>
      </c>
      <c r="H1257" s="8">
        <v>0.02</v>
      </c>
      <c r="I1257" s="2">
        <v>0.672624</v>
      </c>
      <c r="J1257" s="7" t="s">
        <v>188</v>
      </c>
    </row>
    <row r="1258" spans="1:10" ht="28.5">
      <c r="A1258" t="s">
        <v>187</v>
      </c>
      <c r="B1258" t="s">
        <v>1394</v>
      </c>
      <c r="C1258" t="s">
        <v>3729</v>
      </c>
      <c r="D1258" t="s">
        <v>3730</v>
      </c>
      <c r="E1258" t="s">
        <v>1260</v>
      </c>
      <c r="F1258" t="s">
        <v>108</v>
      </c>
      <c r="G1258" t="s">
        <v>1388</v>
      </c>
      <c r="H1258" s="8">
        <v>0.01</v>
      </c>
      <c r="I1258" s="2">
        <v>0.336312</v>
      </c>
      <c r="J1258" s="7" t="s">
        <v>188</v>
      </c>
    </row>
    <row r="1259" spans="1:10" ht="28.5">
      <c r="A1259" t="s">
        <v>187</v>
      </c>
      <c r="B1259" t="s">
        <v>1394</v>
      </c>
      <c r="C1259" t="s">
        <v>3731</v>
      </c>
      <c r="D1259" t="s">
        <v>3732</v>
      </c>
      <c r="E1259" t="s">
        <v>212</v>
      </c>
      <c r="F1259" t="s">
        <v>23</v>
      </c>
      <c r="G1259" t="s">
        <v>1388</v>
      </c>
      <c r="H1259" s="8">
        <v>0.14000000000000001</v>
      </c>
      <c r="I1259" s="2">
        <v>4.7083680000000001</v>
      </c>
      <c r="J1259" s="7" t="s">
        <v>188</v>
      </c>
    </row>
    <row r="1260" spans="1:10" ht="28.5">
      <c r="A1260" t="s">
        <v>187</v>
      </c>
      <c r="B1260" t="s">
        <v>1394</v>
      </c>
      <c r="C1260" t="s">
        <v>1493</v>
      </c>
      <c r="D1260" t="s">
        <v>1494</v>
      </c>
      <c r="E1260" t="s">
        <v>175</v>
      </c>
      <c r="F1260" t="s">
        <v>108</v>
      </c>
      <c r="G1260" t="s">
        <v>1388</v>
      </c>
      <c r="H1260" s="8">
        <v>0.15</v>
      </c>
      <c r="I1260" s="2">
        <v>5.0446799999999996</v>
      </c>
      <c r="J1260" s="7" t="s">
        <v>188</v>
      </c>
    </row>
    <row r="1261" spans="1:10" ht="28.5">
      <c r="A1261" t="s">
        <v>187</v>
      </c>
      <c r="B1261" t="s">
        <v>1394</v>
      </c>
      <c r="C1261" t="s">
        <v>3733</v>
      </c>
      <c r="D1261" t="s">
        <v>3734</v>
      </c>
      <c r="E1261" t="s">
        <v>260</v>
      </c>
      <c r="F1261" t="s">
        <v>50</v>
      </c>
      <c r="G1261" t="s">
        <v>1388</v>
      </c>
      <c r="H1261" s="8">
        <v>0.2</v>
      </c>
      <c r="I1261" s="2">
        <v>6.7262400000000007</v>
      </c>
      <c r="J1261" s="7" t="s">
        <v>188</v>
      </c>
    </row>
    <row r="1262" spans="1:10" ht="28.5">
      <c r="A1262" t="s">
        <v>187</v>
      </c>
      <c r="B1262" t="s">
        <v>1394</v>
      </c>
      <c r="C1262" t="s">
        <v>3735</v>
      </c>
      <c r="D1262" t="s">
        <v>3736</v>
      </c>
      <c r="E1262" t="s">
        <v>959</v>
      </c>
      <c r="F1262" t="s">
        <v>23</v>
      </c>
      <c r="G1262" t="s">
        <v>1388</v>
      </c>
      <c r="H1262" s="8">
        <v>0.01</v>
      </c>
      <c r="I1262" s="2">
        <v>0.336312</v>
      </c>
      <c r="J1262" s="7" t="s">
        <v>188</v>
      </c>
    </row>
    <row r="1263" spans="1:10" ht="28.5">
      <c r="A1263" t="s">
        <v>187</v>
      </c>
      <c r="B1263" t="s">
        <v>1394</v>
      </c>
      <c r="C1263" t="s">
        <v>3737</v>
      </c>
      <c r="D1263" t="s">
        <v>3738</v>
      </c>
      <c r="E1263" t="s">
        <v>692</v>
      </c>
      <c r="F1263" t="s">
        <v>50</v>
      </c>
      <c r="G1263" t="s">
        <v>1388</v>
      </c>
      <c r="H1263" s="8">
        <v>0.01</v>
      </c>
      <c r="I1263" s="2">
        <v>0.336312</v>
      </c>
      <c r="J1263" s="7" t="s">
        <v>188</v>
      </c>
    </row>
    <row r="1264" spans="1:10" ht="28.5">
      <c r="A1264" t="s">
        <v>187</v>
      </c>
      <c r="B1264" t="s">
        <v>1394</v>
      </c>
      <c r="C1264" t="s">
        <v>3739</v>
      </c>
      <c r="D1264" t="s">
        <v>3740</v>
      </c>
      <c r="E1264" t="s">
        <v>416</v>
      </c>
      <c r="F1264" t="s">
        <v>23</v>
      </c>
      <c r="G1264" t="s">
        <v>1388</v>
      </c>
      <c r="H1264" s="8">
        <v>0.05</v>
      </c>
      <c r="I1264" s="2">
        <v>1.6815600000000002</v>
      </c>
      <c r="J1264" s="7" t="s">
        <v>188</v>
      </c>
    </row>
    <row r="1265" spans="1:10" ht="28.5">
      <c r="A1265" t="s">
        <v>187</v>
      </c>
      <c r="B1265" t="s">
        <v>1394</v>
      </c>
      <c r="C1265" t="s">
        <v>3741</v>
      </c>
      <c r="D1265" t="s">
        <v>3742</v>
      </c>
      <c r="E1265" t="s">
        <v>425</v>
      </c>
      <c r="F1265" t="s">
        <v>50</v>
      </c>
      <c r="G1265" t="s">
        <v>1388</v>
      </c>
      <c r="H1265" s="8">
        <v>0.09</v>
      </c>
      <c r="I1265" s="2">
        <v>3.0268079999999999</v>
      </c>
      <c r="J1265" s="7" t="s">
        <v>188</v>
      </c>
    </row>
    <row r="1266" spans="1:10" ht="28.5">
      <c r="A1266" t="s">
        <v>187</v>
      </c>
      <c r="B1266" t="s">
        <v>1394</v>
      </c>
      <c r="C1266" t="s">
        <v>3743</v>
      </c>
      <c r="D1266" t="s">
        <v>3744</v>
      </c>
      <c r="E1266" t="s">
        <v>494</v>
      </c>
      <c r="F1266" t="s">
        <v>50</v>
      </c>
      <c r="G1266" t="s">
        <v>1388</v>
      </c>
      <c r="H1266" s="8">
        <v>0.08</v>
      </c>
      <c r="I1266" s="2">
        <v>2.690496</v>
      </c>
      <c r="J1266" s="7" t="s">
        <v>188</v>
      </c>
    </row>
    <row r="1267" spans="1:10" ht="28.5">
      <c r="A1267" t="s">
        <v>187</v>
      </c>
      <c r="B1267" t="s">
        <v>1394</v>
      </c>
      <c r="C1267" t="s">
        <v>3745</v>
      </c>
      <c r="D1267" t="s">
        <v>3746</v>
      </c>
      <c r="E1267" t="s">
        <v>927</v>
      </c>
      <c r="F1267" t="s">
        <v>33</v>
      </c>
      <c r="G1267" t="s">
        <v>1388</v>
      </c>
      <c r="H1267" s="8">
        <v>0.03</v>
      </c>
      <c r="I1267" s="2">
        <v>1.0089359999999998</v>
      </c>
      <c r="J1267" s="7" t="s">
        <v>188</v>
      </c>
    </row>
    <row r="1268" spans="1:10" ht="28.5">
      <c r="A1268" t="s">
        <v>187</v>
      </c>
      <c r="B1268" t="s">
        <v>1394</v>
      </c>
      <c r="C1268" t="s">
        <v>3747</v>
      </c>
      <c r="D1268" t="s">
        <v>3748</v>
      </c>
      <c r="E1268" t="s">
        <v>1120</v>
      </c>
      <c r="F1268" t="s">
        <v>253</v>
      </c>
      <c r="G1268" t="s">
        <v>1388</v>
      </c>
      <c r="H1268" s="8">
        <v>0.02</v>
      </c>
      <c r="I1268" s="2">
        <v>0.672624</v>
      </c>
      <c r="J1268" s="7" t="s">
        <v>188</v>
      </c>
    </row>
    <row r="1269" spans="1:10" ht="28.5">
      <c r="A1269" t="s">
        <v>187</v>
      </c>
      <c r="B1269" t="s">
        <v>1394</v>
      </c>
      <c r="C1269" t="s">
        <v>3749</v>
      </c>
      <c r="D1269" t="s">
        <v>3750</v>
      </c>
      <c r="E1269" t="s">
        <v>196</v>
      </c>
      <c r="F1269" t="s">
        <v>33</v>
      </c>
      <c r="G1269" t="s">
        <v>1388</v>
      </c>
      <c r="H1269" s="8">
        <v>0.43</v>
      </c>
      <c r="I1269" s="2">
        <v>14.461416</v>
      </c>
      <c r="J1269" s="7" t="s">
        <v>188</v>
      </c>
    </row>
    <row r="1270" spans="1:10" ht="28.5">
      <c r="A1270" t="s">
        <v>187</v>
      </c>
      <c r="B1270" t="s">
        <v>1394</v>
      </c>
      <c r="C1270" t="s">
        <v>3751</v>
      </c>
      <c r="D1270" t="s">
        <v>3752</v>
      </c>
      <c r="E1270" t="s">
        <v>926</v>
      </c>
      <c r="F1270" t="s">
        <v>27</v>
      </c>
      <c r="G1270" t="s">
        <v>1388</v>
      </c>
      <c r="H1270" s="8">
        <v>0.03</v>
      </c>
      <c r="I1270" s="2">
        <v>1.0089359999999998</v>
      </c>
      <c r="J1270" s="7" t="s">
        <v>188</v>
      </c>
    </row>
    <row r="1271" spans="1:10" ht="28.5">
      <c r="A1271" t="s">
        <v>187</v>
      </c>
      <c r="B1271" t="s">
        <v>1394</v>
      </c>
      <c r="C1271" t="s">
        <v>3753</v>
      </c>
      <c r="D1271" t="s">
        <v>3754</v>
      </c>
      <c r="E1271" t="s">
        <v>1101</v>
      </c>
      <c r="F1271" t="s">
        <v>41</v>
      </c>
      <c r="G1271" t="s">
        <v>1388</v>
      </c>
      <c r="H1271" s="8">
        <v>0.02</v>
      </c>
      <c r="I1271" s="2">
        <v>0.672624</v>
      </c>
      <c r="J1271" s="7" t="s">
        <v>188</v>
      </c>
    </row>
    <row r="1272" spans="1:10" ht="28.5">
      <c r="A1272" t="s">
        <v>187</v>
      </c>
      <c r="B1272" t="s">
        <v>1394</v>
      </c>
      <c r="C1272" t="s">
        <v>3755</v>
      </c>
      <c r="D1272" t="s">
        <v>3756</v>
      </c>
      <c r="E1272" t="s">
        <v>254</v>
      </c>
      <c r="F1272" t="s">
        <v>23</v>
      </c>
      <c r="G1272" t="s">
        <v>1388</v>
      </c>
      <c r="H1272" s="8">
        <v>0.11</v>
      </c>
      <c r="I1272" s="2">
        <v>3.6994319999999998</v>
      </c>
      <c r="J1272" s="7" t="s">
        <v>188</v>
      </c>
    </row>
    <row r="1273" spans="1:10" ht="28.5">
      <c r="A1273" t="s">
        <v>187</v>
      </c>
      <c r="B1273" t="s">
        <v>1394</v>
      </c>
      <c r="C1273" t="s">
        <v>3757</v>
      </c>
      <c r="D1273" t="s">
        <v>3758</v>
      </c>
      <c r="E1273" t="s">
        <v>382</v>
      </c>
      <c r="F1273" t="s">
        <v>124</v>
      </c>
      <c r="G1273" t="s">
        <v>1388</v>
      </c>
      <c r="H1273" s="8">
        <v>0.11</v>
      </c>
      <c r="I1273" s="2">
        <v>3.6994319999999998</v>
      </c>
      <c r="J1273" s="7" t="s">
        <v>188</v>
      </c>
    </row>
    <row r="1274" spans="1:10" ht="28.5">
      <c r="A1274" t="s">
        <v>187</v>
      </c>
      <c r="B1274" t="s">
        <v>1394</v>
      </c>
      <c r="C1274" t="s">
        <v>3759</v>
      </c>
      <c r="D1274" t="s">
        <v>3760</v>
      </c>
      <c r="E1274" t="s">
        <v>1346</v>
      </c>
      <c r="F1274" t="s">
        <v>124</v>
      </c>
      <c r="G1274" t="s">
        <v>1388</v>
      </c>
      <c r="H1274" s="8">
        <v>0</v>
      </c>
      <c r="I1274" s="2">
        <v>0</v>
      </c>
      <c r="J1274" s="7" t="s">
        <v>188</v>
      </c>
    </row>
    <row r="1275" spans="1:10" ht="28.5">
      <c r="A1275" t="s">
        <v>187</v>
      </c>
      <c r="B1275" t="s">
        <v>1394</v>
      </c>
      <c r="C1275" t="s">
        <v>3761</v>
      </c>
      <c r="D1275" t="s">
        <v>3762</v>
      </c>
      <c r="E1275" t="s">
        <v>997</v>
      </c>
      <c r="F1275" t="s">
        <v>50</v>
      </c>
      <c r="G1275" t="s">
        <v>1388</v>
      </c>
      <c r="H1275" s="8">
        <v>0.02</v>
      </c>
      <c r="I1275" s="2">
        <v>0.672624</v>
      </c>
      <c r="J1275" s="7" t="s">
        <v>188</v>
      </c>
    </row>
    <row r="1276" spans="1:10" ht="28.5">
      <c r="A1276" t="s">
        <v>187</v>
      </c>
      <c r="B1276" t="s">
        <v>1394</v>
      </c>
      <c r="C1276" t="s">
        <v>3763</v>
      </c>
      <c r="D1276" t="s">
        <v>3764</v>
      </c>
      <c r="E1276" t="s">
        <v>846</v>
      </c>
      <c r="F1276" t="s">
        <v>33</v>
      </c>
      <c r="G1276" t="s">
        <v>1388</v>
      </c>
      <c r="H1276" s="8">
        <v>0.03</v>
      </c>
      <c r="I1276" s="2">
        <v>1.0089359999999998</v>
      </c>
      <c r="J1276" s="7" t="s">
        <v>188</v>
      </c>
    </row>
    <row r="1277" spans="1:10" ht="28.5">
      <c r="A1277" t="s">
        <v>187</v>
      </c>
      <c r="B1277" t="s">
        <v>1394</v>
      </c>
      <c r="C1277" t="s">
        <v>3765</v>
      </c>
      <c r="D1277" t="s">
        <v>3766</v>
      </c>
      <c r="E1277" t="s">
        <v>673</v>
      </c>
      <c r="F1277" t="s">
        <v>263</v>
      </c>
      <c r="G1277" t="s">
        <v>1388</v>
      </c>
      <c r="H1277" s="8">
        <v>0.05</v>
      </c>
      <c r="I1277" s="2">
        <v>1.6815600000000002</v>
      </c>
      <c r="J1277" s="7" t="s">
        <v>188</v>
      </c>
    </row>
    <row r="1278" spans="1:10" ht="28.5">
      <c r="A1278" t="s">
        <v>187</v>
      </c>
      <c r="B1278" t="s">
        <v>1394</v>
      </c>
      <c r="C1278" t="s">
        <v>3767</v>
      </c>
      <c r="D1278" t="s">
        <v>3768</v>
      </c>
      <c r="E1278" t="s">
        <v>870</v>
      </c>
      <c r="F1278" t="s">
        <v>253</v>
      </c>
      <c r="G1278" t="s">
        <v>1388</v>
      </c>
      <c r="H1278" s="8">
        <v>0.03</v>
      </c>
      <c r="I1278" s="2">
        <v>1.0089359999999998</v>
      </c>
      <c r="J1278" s="7" t="s">
        <v>188</v>
      </c>
    </row>
    <row r="1279" spans="1:10" ht="28.5">
      <c r="A1279" t="s">
        <v>187</v>
      </c>
      <c r="B1279" t="s">
        <v>1394</v>
      </c>
      <c r="C1279" t="s">
        <v>3769</v>
      </c>
      <c r="D1279" t="s">
        <v>3770</v>
      </c>
      <c r="E1279" t="s">
        <v>928</v>
      </c>
      <c r="F1279" t="s">
        <v>50</v>
      </c>
      <c r="G1279" t="s">
        <v>1388</v>
      </c>
      <c r="H1279" s="8">
        <v>0.03</v>
      </c>
      <c r="I1279" s="2">
        <v>1.0089359999999998</v>
      </c>
      <c r="J1279" s="7" t="s">
        <v>188</v>
      </c>
    </row>
    <row r="1280" spans="1:10" ht="28.5">
      <c r="A1280" t="s">
        <v>187</v>
      </c>
      <c r="B1280" t="s">
        <v>1394</v>
      </c>
      <c r="C1280" t="s">
        <v>3771</v>
      </c>
      <c r="D1280" t="s">
        <v>3772</v>
      </c>
      <c r="E1280" t="s">
        <v>1318</v>
      </c>
      <c r="F1280" t="s">
        <v>253</v>
      </c>
      <c r="G1280" t="s">
        <v>1388</v>
      </c>
      <c r="H1280" s="8">
        <v>0.01</v>
      </c>
      <c r="I1280" s="2">
        <v>0.336312</v>
      </c>
      <c r="J1280" s="7" t="s">
        <v>188</v>
      </c>
    </row>
    <row r="1281" spans="1:10" ht="28.5">
      <c r="A1281" t="s">
        <v>187</v>
      </c>
      <c r="B1281" t="s">
        <v>1394</v>
      </c>
      <c r="C1281" t="s">
        <v>3773</v>
      </c>
      <c r="D1281" t="s">
        <v>3774</v>
      </c>
      <c r="E1281" t="s">
        <v>925</v>
      </c>
      <c r="F1281" t="s">
        <v>25</v>
      </c>
      <c r="G1281" t="s">
        <v>1388</v>
      </c>
      <c r="H1281" s="8">
        <v>0.03</v>
      </c>
      <c r="I1281" s="2">
        <v>1.0089359999999998</v>
      </c>
      <c r="J1281" s="7" t="s">
        <v>188</v>
      </c>
    </row>
    <row r="1282" spans="1:10" ht="28.5">
      <c r="A1282" t="s">
        <v>187</v>
      </c>
      <c r="B1282" t="s">
        <v>1394</v>
      </c>
      <c r="C1282" t="s">
        <v>3775</v>
      </c>
      <c r="D1282" t="s">
        <v>3776</v>
      </c>
      <c r="E1282" t="s">
        <v>865</v>
      </c>
      <c r="F1282" t="s">
        <v>50</v>
      </c>
      <c r="G1282" t="s">
        <v>1388</v>
      </c>
      <c r="H1282" s="8">
        <v>0.03</v>
      </c>
      <c r="I1282" s="2">
        <v>1.0089359999999998</v>
      </c>
      <c r="J1282" s="7" t="s">
        <v>188</v>
      </c>
    </row>
    <row r="1283" spans="1:10" ht="28.5">
      <c r="A1283" t="s">
        <v>187</v>
      </c>
      <c r="B1283" t="s">
        <v>1394</v>
      </c>
      <c r="C1283" t="s">
        <v>3777</v>
      </c>
      <c r="D1283" t="s">
        <v>3778</v>
      </c>
      <c r="E1283" t="s">
        <v>178</v>
      </c>
      <c r="F1283" t="s">
        <v>27</v>
      </c>
      <c r="G1283" t="s">
        <v>1388</v>
      </c>
      <c r="H1283" s="8">
        <v>0.2</v>
      </c>
      <c r="I1283" s="2">
        <v>6.7262400000000007</v>
      </c>
      <c r="J1283" s="7" t="s">
        <v>188</v>
      </c>
    </row>
    <row r="1284" spans="1:10" ht="28.5">
      <c r="A1284" t="s">
        <v>187</v>
      </c>
      <c r="B1284" t="s">
        <v>1394</v>
      </c>
      <c r="C1284" t="s">
        <v>3779</v>
      </c>
      <c r="D1284" t="s">
        <v>3780</v>
      </c>
      <c r="E1284" t="s">
        <v>329</v>
      </c>
      <c r="F1284" t="s">
        <v>33</v>
      </c>
      <c r="G1284" t="s">
        <v>1388</v>
      </c>
      <c r="H1284" s="8">
        <v>0.13</v>
      </c>
      <c r="I1284" s="2">
        <v>4.3720559999999997</v>
      </c>
      <c r="J1284" s="7" t="s">
        <v>188</v>
      </c>
    </row>
    <row r="1285" spans="1:10" ht="28.5">
      <c r="A1285" t="s">
        <v>187</v>
      </c>
      <c r="B1285" t="s">
        <v>1394</v>
      </c>
      <c r="C1285" t="s">
        <v>3781</v>
      </c>
      <c r="D1285" t="s">
        <v>3782</v>
      </c>
      <c r="E1285" t="s">
        <v>353</v>
      </c>
      <c r="F1285" t="s">
        <v>50</v>
      </c>
      <c r="G1285" t="s">
        <v>1388</v>
      </c>
      <c r="H1285" s="8">
        <v>0.12</v>
      </c>
      <c r="I1285" s="2">
        <v>4.0357439999999993</v>
      </c>
      <c r="J1285" s="7" t="s">
        <v>188</v>
      </c>
    </row>
    <row r="1286" spans="1:10" ht="28.5">
      <c r="A1286" t="s">
        <v>187</v>
      </c>
      <c r="B1286" t="s">
        <v>1394</v>
      </c>
      <c r="C1286" t="s">
        <v>3783</v>
      </c>
      <c r="D1286" t="s">
        <v>3784</v>
      </c>
      <c r="E1286" t="s">
        <v>880</v>
      </c>
      <c r="F1286" t="s">
        <v>50</v>
      </c>
      <c r="G1286" t="s">
        <v>1388</v>
      </c>
      <c r="H1286" s="8">
        <v>0.03</v>
      </c>
      <c r="I1286" s="2">
        <v>1.0089359999999998</v>
      </c>
      <c r="J1286" s="7" t="s">
        <v>188</v>
      </c>
    </row>
    <row r="1287" spans="1:10" ht="28.5">
      <c r="A1287" t="s">
        <v>187</v>
      </c>
      <c r="B1287" t="s">
        <v>1394</v>
      </c>
      <c r="C1287" t="s">
        <v>3785</v>
      </c>
      <c r="D1287" t="s">
        <v>3786</v>
      </c>
      <c r="E1287" t="s">
        <v>868</v>
      </c>
      <c r="F1287" t="s">
        <v>263</v>
      </c>
      <c r="G1287" t="s">
        <v>1388</v>
      </c>
      <c r="H1287" s="8">
        <v>0.03</v>
      </c>
      <c r="I1287" s="2">
        <v>1.0089359999999998</v>
      </c>
      <c r="J1287" s="7" t="s">
        <v>188</v>
      </c>
    </row>
    <row r="1288" spans="1:10" ht="28.5">
      <c r="A1288" t="s">
        <v>187</v>
      </c>
      <c r="B1288" t="s">
        <v>1394</v>
      </c>
      <c r="C1288" t="s">
        <v>3787</v>
      </c>
      <c r="D1288" t="s">
        <v>3788</v>
      </c>
      <c r="E1288" t="s">
        <v>1307</v>
      </c>
      <c r="F1288" t="s">
        <v>263</v>
      </c>
      <c r="G1288" t="s">
        <v>1388</v>
      </c>
      <c r="H1288" s="8">
        <v>0.01</v>
      </c>
      <c r="I1288" s="2">
        <v>0.336312</v>
      </c>
      <c r="J1288" s="7" t="s">
        <v>188</v>
      </c>
    </row>
    <row r="1289" spans="1:10" ht="28.5">
      <c r="A1289" t="s">
        <v>187</v>
      </c>
      <c r="B1289" t="s">
        <v>1394</v>
      </c>
      <c r="C1289" t="s">
        <v>2178</v>
      </c>
      <c r="D1289" t="s">
        <v>3789</v>
      </c>
      <c r="E1289" t="s">
        <v>231</v>
      </c>
      <c r="F1289" t="s">
        <v>50</v>
      </c>
      <c r="G1289" t="s">
        <v>1388</v>
      </c>
      <c r="H1289" s="8">
        <v>0.08</v>
      </c>
      <c r="I1289" s="2">
        <v>2.690496</v>
      </c>
      <c r="J1289" s="7" t="s">
        <v>188</v>
      </c>
    </row>
    <row r="1290" spans="1:10" ht="28.5">
      <c r="A1290" t="s">
        <v>187</v>
      </c>
      <c r="B1290" t="s">
        <v>1394</v>
      </c>
      <c r="C1290" t="s">
        <v>1495</v>
      </c>
      <c r="D1290" t="s">
        <v>1496</v>
      </c>
      <c r="E1290" t="s">
        <v>44</v>
      </c>
      <c r="F1290" t="s">
        <v>23</v>
      </c>
      <c r="G1290" t="s">
        <v>1388</v>
      </c>
      <c r="H1290" s="8">
        <v>0.68</v>
      </c>
      <c r="I1290" s="2">
        <v>22.869216000000002</v>
      </c>
      <c r="J1290" s="7" t="s">
        <v>188</v>
      </c>
    </row>
    <row r="1291" spans="1:10" ht="28.5">
      <c r="A1291" t="s">
        <v>187</v>
      </c>
      <c r="B1291" t="s">
        <v>1394</v>
      </c>
      <c r="C1291" t="s">
        <v>3790</v>
      </c>
      <c r="D1291" t="s">
        <v>3791</v>
      </c>
      <c r="E1291" t="s">
        <v>596</v>
      </c>
      <c r="F1291" t="s">
        <v>253</v>
      </c>
      <c r="G1291" t="s">
        <v>1388</v>
      </c>
      <c r="H1291" s="8">
        <v>0.06</v>
      </c>
      <c r="I1291" s="2">
        <v>2.0178719999999997</v>
      </c>
      <c r="J1291" s="7" t="s">
        <v>188</v>
      </c>
    </row>
    <row r="1292" spans="1:10" ht="28.5">
      <c r="A1292" t="s">
        <v>187</v>
      </c>
      <c r="B1292" t="s">
        <v>1394</v>
      </c>
      <c r="C1292" t="s">
        <v>3792</v>
      </c>
      <c r="D1292" t="s">
        <v>3793</v>
      </c>
      <c r="E1292" t="s">
        <v>242</v>
      </c>
      <c r="F1292" t="s">
        <v>27</v>
      </c>
      <c r="G1292" t="s">
        <v>1388</v>
      </c>
      <c r="H1292" s="8">
        <v>0.03</v>
      </c>
      <c r="I1292" s="2">
        <v>1.0089359999999998</v>
      </c>
      <c r="J1292" s="7" t="s">
        <v>188</v>
      </c>
    </row>
    <row r="1293" spans="1:10" ht="28.5">
      <c r="A1293" t="s">
        <v>187</v>
      </c>
      <c r="B1293" t="s">
        <v>1394</v>
      </c>
      <c r="C1293" t="s">
        <v>3794</v>
      </c>
      <c r="D1293" t="s">
        <v>3795</v>
      </c>
      <c r="E1293" t="s">
        <v>305</v>
      </c>
      <c r="F1293" t="s">
        <v>38</v>
      </c>
      <c r="G1293" t="s">
        <v>1388</v>
      </c>
      <c r="H1293" s="8">
        <v>0.02</v>
      </c>
      <c r="I1293" s="2">
        <v>0.672624</v>
      </c>
      <c r="J1293" s="7" t="s">
        <v>188</v>
      </c>
    </row>
    <row r="1294" spans="1:10" ht="28.5">
      <c r="A1294" t="s">
        <v>187</v>
      </c>
      <c r="B1294" t="s">
        <v>1394</v>
      </c>
      <c r="C1294" t="s">
        <v>3796</v>
      </c>
      <c r="D1294" t="s">
        <v>3797</v>
      </c>
      <c r="E1294" t="s">
        <v>585</v>
      </c>
      <c r="F1294" t="s">
        <v>50</v>
      </c>
      <c r="G1294" t="s">
        <v>1388</v>
      </c>
      <c r="H1294" s="8">
        <v>0.06</v>
      </c>
      <c r="I1294" s="2">
        <v>2.0178719999999997</v>
      </c>
      <c r="J1294" s="7" t="s">
        <v>188</v>
      </c>
    </row>
    <row r="1295" spans="1:10" ht="28.5">
      <c r="A1295" t="s">
        <v>187</v>
      </c>
      <c r="B1295" t="s">
        <v>1394</v>
      </c>
      <c r="C1295" t="s">
        <v>3798</v>
      </c>
      <c r="D1295" t="s">
        <v>3799</v>
      </c>
      <c r="E1295" t="s">
        <v>1037</v>
      </c>
      <c r="F1295" t="s">
        <v>263</v>
      </c>
      <c r="G1295" t="s">
        <v>1388</v>
      </c>
      <c r="H1295" s="8">
        <v>0.02</v>
      </c>
      <c r="I1295" s="2">
        <v>0.672624</v>
      </c>
      <c r="J1295" s="7" t="s">
        <v>188</v>
      </c>
    </row>
    <row r="1296" spans="1:10" ht="28.5">
      <c r="A1296" t="s">
        <v>187</v>
      </c>
      <c r="B1296" t="s">
        <v>1394</v>
      </c>
      <c r="C1296" t="s">
        <v>3800</v>
      </c>
      <c r="D1296" t="s">
        <v>3801</v>
      </c>
      <c r="E1296" t="s">
        <v>754</v>
      </c>
      <c r="F1296" t="s">
        <v>41</v>
      </c>
      <c r="G1296" t="s">
        <v>1388</v>
      </c>
      <c r="H1296" s="8">
        <v>0.04</v>
      </c>
      <c r="I1296" s="2">
        <v>1.345248</v>
      </c>
      <c r="J1296" s="7" t="s">
        <v>188</v>
      </c>
    </row>
    <row r="1297" spans="1:10" ht="28.5">
      <c r="A1297" t="s">
        <v>187</v>
      </c>
      <c r="B1297" t="s">
        <v>1394</v>
      </c>
      <c r="C1297" t="s">
        <v>3802</v>
      </c>
      <c r="D1297" t="s">
        <v>3803</v>
      </c>
      <c r="E1297" t="s">
        <v>568</v>
      </c>
      <c r="F1297" t="s">
        <v>263</v>
      </c>
      <c r="G1297" t="s">
        <v>1388</v>
      </c>
      <c r="H1297" s="8">
        <v>0.02</v>
      </c>
      <c r="I1297" s="2">
        <v>0.672624</v>
      </c>
      <c r="J1297" s="7" t="s">
        <v>188</v>
      </c>
    </row>
    <row r="1298" spans="1:10" ht="28.5">
      <c r="A1298" t="s">
        <v>187</v>
      </c>
      <c r="B1298" t="s">
        <v>1394</v>
      </c>
      <c r="C1298" t="s">
        <v>3804</v>
      </c>
      <c r="D1298" t="s">
        <v>3805</v>
      </c>
      <c r="E1298" t="s">
        <v>107</v>
      </c>
      <c r="F1298" t="s">
        <v>108</v>
      </c>
      <c r="G1298" t="s">
        <v>1388</v>
      </c>
      <c r="H1298" s="8">
        <v>0.56000000000000005</v>
      </c>
      <c r="I1298" s="2">
        <v>18.833472</v>
      </c>
      <c r="J1298" s="7" t="s">
        <v>188</v>
      </c>
    </row>
    <row r="1299" spans="1:10" ht="28.5">
      <c r="A1299" t="s">
        <v>187</v>
      </c>
      <c r="B1299" t="s">
        <v>1394</v>
      </c>
      <c r="C1299" t="s">
        <v>3806</v>
      </c>
      <c r="D1299" t="s">
        <v>3807</v>
      </c>
      <c r="E1299" t="s">
        <v>259</v>
      </c>
      <c r="F1299" t="s">
        <v>27</v>
      </c>
      <c r="G1299" t="s">
        <v>1388</v>
      </c>
      <c r="H1299" s="8">
        <v>0.2</v>
      </c>
      <c r="I1299" s="2">
        <v>6.7262400000000007</v>
      </c>
      <c r="J1299" s="7" t="s">
        <v>188</v>
      </c>
    </row>
    <row r="1300" spans="1:10" ht="28.5">
      <c r="A1300" t="s">
        <v>187</v>
      </c>
      <c r="B1300" t="s">
        <v>1394</v>
      </c>
      <c r="C1300" t="s">
        <v>3808</v>
      </c>
      <c r="D1300" t="s">
        <v>3809</v>
      </c>
      <c r="E1300" t="s">
        <v>516</v>
      </c>
      <c r="F1300" t="s">
        <v>27</v>
      </c>
      <c r="G1300" t="s">
        <v>1388</v>
      </c>
      <c r="H1300" s="8">
        <v>7.0000000000000007E-2</v>
      </c>
      <c r="I1300" s="2">
        <v>2.3541840000000001</v>
      </c>
      <c r="J1300" s="7" t="s">
        <v>188</v>
      </c>
    </row>
    <row r="1301" spans="1:10" ht="28.5">
      <c r="A1301" t="s">
        <v>187</v>
      </c>
      <c r="B1301" t="s">
        <v>1394</v>
      </c>
      <c r="C1301" t="s">
        <v>3810</v>
      </c>
      <c r="D1301" t="s">
        <v>3811</v>
      </c>
      <c r="E1301" t="s">
        <v>1062</v>
      </c>
      <c r="F1301" t="s">
        <v>50</v>
      </c>
      <c r="G1301" t="s">
        <v>1388</v>
      </c>
      <c r="H1301" s="8">
        <v>0.02</v>
      </c>
      <c r="I1301" s="2">
        <v>0.672624</v>
      </c>
      <c r="J1301" s="7" t="s">
        <v>188</v>
      </c>
    </row>
    <row r="1302" spans="1:10" ht="28.5">
      <c r="A1302" t="s">
        <v>187</v>
      </c>
      <c r="B1302" t="s">
        <v>1394</v>
      </c>
      <c r="C1302" t="s">
        <v>3812</v>
      </c>
      <c r="D1302" t="s">
        <v>3813</v>
      </c>
      <c r="E1302" t="s">
        <v>1270</v>
      </c>
      <c r="F1302" t="s">
        <v>23</v>
      </c>
      <c r="G1302" t="s">
        <v>1388</v>
      </c>
      <c r="H1302" s="8">
        <v>0.01</v>
      </c>
      <c r="I1302" s="2">
        <v>0.336312</v>
      </c>
      <c r="J1302" s="7" t="s">
        <v>188</v>
      </c>
    </row>
    <row r="1303" spans="1:10" ht="28.5">
      <c r="A1303" t="s">
        <v>187</v>
      </c>
      <c r="B1303" t="s">
        <v>1394</v>
      </c>
      <c r="C1303" t="s">
        <v>3814</v>
      </c>
      <c r="D1303" t="s">
        <v>3815</v>
      </c>
      <c r="E1303" t="s">
        <v>678</v>
      </c>
      <c r="F1303" t="s">
        <v>50</v>
      </c>
      <c r="G1303" t="s">
        <v>1388</v>
      </c>
      <c r="H1303" s="8">
        <v>0.05</v>
      </c>
      <c r="I1303" s="2">
        <v>1.6815600000000002</v>
      </c>
      <c r="J1303" s="7" t="s">
        <v>188</v>
      </c>
    </row>
    <row r="1304" spans="1:10" ht="28.5">
      <c r="A1304" t="s">
        <v>187</v>
      </c>
      <c r="B1304" t="s">
        <v>1394</v>
      </c>
      <c r="C1304" t="s">
        <v>3816</v>
      </c>
      <c r="D1304" t="s">
        <v>3817</v>
      </c>
      <c r="E1304" t="s">
        <v>101</v>
      </c>
      <c r="F1304" t="s">
        <v>50</v>
      </c>
      <c r="G1304" t="s">
        <v>1388</v>
      </c>
      <c r="H1304" s="8">
        <v>0.11</v>
      </c>
      <c r="I1304" s="2">
        <v>3.6994319999999998</v>
      </c>
      <c r="J1304" s="7" t="s">
        <v>188</v>
      </c>
    </row>
    <row r="1305" spans="1:10" ht="28.5">
      <c r="A1305" t="s">
        <v>187</v>
      </c>
      <c r="B1305" t="s">
        <v>1394</v>
      </c>
      <c r="C1305" t="s">
        <v>3818</v>
      </c>
      <c r="D1305" t="s">
        <v>3819</v>
      </c>
      <c r="E1305" t="s">
        <v>764</v>
      </c>
      <c r="F1305" t="s">
        <v>33</v>
      </c>
      <c r="G1305" t="s">
        <v>1388</v>
      </c>
      <c r="H1305" s="8">
        <v>0.04</v>
      </c>
      <c r="I1305" s="2">
        <v>1.345248</v>
      </c>
      <c r="J1305" s="7" t="s">
        <v>188</v>
      </c>
    </row>
    <row r="1306" spans="1:10" ht="28.5">
      <c r="A1306" t="s">
        <v>187</v>
      </c>
      <c r="B1306" t="s">
        <v>1394</v>
      </c>
      <c r="C1306" t="s">
        <v>3820</v>
      </c>
      <c r="D1306" t="s">
        <v>3821</v>
      </c>
      <c r="E1306" t="s">
        <v>1166</v>
      </c>
      <c r="F1306" t="s">
        <v>50</v>
      </c>
      <c r="G1306" t="s">
        <v>1388</v>
      </c>
      <c r="H1306" s="8">
        <v>0.01</v>
      </c>
      <c r="I1306" s="2">
        <v>0.336312</v>
      </c>
      <c r="J1306" s="7" t="s">
        <v>188</v>
      </c>
    </row>
    <row r="1307" spans="1:10" ht="28.5">
      <c r="A1307" t="s">
        <v>187</v>
      </c>
      <c r="B1307" t="s">
        <v>1394</v>
      </c>
      <c r="C1307" t="s">
        <v>3822</v>
      </c>
      <c r="D1307" t="s">
        <v>3823</v>
      </c>
      <c r="E1307" t="s">
        <v>775</v>
      </c>
      <c r="F1307" t="s">
        <v>253</v>
      </c>
      <c r="G1307" t="s">
        <v>1388</v>
      </c>
      <c r="H1307" s="8">
        <v>0.04</v>
      </c>
      <c r="I1307" s="2">
        <v>1.345248</v>
      </c>
      <c r="J1307" s="7" t="s">
        <v>188</v>
      </c>
    </row>
    <row r="1308" spans="1:10" ht="28.5">
      <c r="A1308" t="s">
        <v>187</v>
      </c>
      <c r="B1308" t="s">
        <v>1394</v>
      </c>
      <c r="C1308" t="s">
        <v>3824</v>
      </c>
      <c r="D1308" t="s">
        <v>3825</v>
      </c>
      <c r="E1308" t="s">
        <v>213</v>
      </c>
      <c r="F1308" t="s">
        <v>23</v>
      </c>
      <c r="G1308" t="s">
        <v>1388</v>
      </c>
      <c r="H1308" s="8">
        <v>0.3</v>
      </c>
      <c r="I1308" s="2">
        <v>10.089359999999999</v>
      </c>
      <c r="J1308" s="7" t="s">
        <v>188</v>
      </c>
    </row>
    <row r="1309" spans="1:10" ht="28.5">
      <c r="A1309" t="s">
        <v>187</v>
      </c>
      <c r="B1309" t="s">
        <v>1394</v>
      </c>
      <c r="C1309" t="s">
        <v>3826</v>
      </c>
      <c r="D1309" t="s">
        <v>3827</v>
      </c>
      <c r="E1309" t="s">
        <v>265</v>
      </c>
      <c r="F1309" t="s">
        <v>263</v>
      </c>
      <c r="G1309" t="s">
        <v>1388</v>
      </c>
      <c r="H1309" s="8">
        <v>0.19</v>
      </c>
      <c r="I1309" s="2">
        <v>6.3899280000000003</v>
      </c>
      <c r="J1309" s="7" t="s">
        <v>188</v>
      </c>
    </row>
    <row r="1310" spans="1:10" ht="28.5">
      <c r="A1310" t="s">
        <v>187</v>
      </c>
      <c r="B1310" t="s">
        <v>1394</v>
      </c>
      <c r="C1310" t="s">
        <v>3828</v>
      </c>
      <c r="D1310" t="s">
        <v>3829</v>
      </c>
      <c r="E1310" t="s">
        <v>485</v>
      </c>
      <c r="F1310" t="s">
        <v>38</v>
      </c>
      <c r="G1310" t="s">
        <v>1388</v>
      </c>
      <c r="H1310" s="8">
        <v>0.08</v>
      </c>
      <c r="I1310" s="2">
        <v>2.690496</v>
      </c>
      <c r="J1310" s="7" t="s">
        <v>188</v>
      </c>
    </row>
    <row r="1311" spans="1:10" ht="28.5">
      <c r="A1311" t="s">
        <v>187</v>
      </c>
      <c r="B1311" t="s">
        <v>1394</v>
      </c>
      <c r="C1311" t="s">
        <v>3830</v>
      </c>
      <c r="D1311" t="s">
        <v>3831</v>
      </c>
      <c r="E1311" t="s">
        <v>796</v>
      </c>
      <c r="F1311" t="s">
        <v>50</v>
      </c>
      <c r="G1311" t="s">
        <v>1388</v>
      </c>
      <c r="H1311" s="8">
        <v>0.01</v>
      </c>
      <c r="I1311" s="2">
        <v>0.336312</v>
      </c>
      <c r="J1311" s="7" t="s">
        <v>188</v>
      </c>
    </row>
    <row r="1312" spans="1:10" ht="28.5">
      <c r="A1312" t="s">
        <v>187</v>
      </c>
      <c r="B1312" t="s">
        <v>1394</v>
      </c>
      <c r="C1312" t="s">
        <v>3832</v>
      </c>
      <c r="D1312" t="s">
        <v>3833</v>
      </c>
      <c r="E1312" t="s">
        <v>888</v>
      </c>
      <c r="F1312" t="s">
        <v>33</v>
      </c>
      <c r="G1312" t="s">
        <v>1388</v>
      </c>
      <c r="H1312" s="8">
        <v>0.03</v>
      </c>
      <c r="I1312" s="2">
        <v>1.0089359999999998</v>
      </c>
      <c r="J1312" s="7" t="s">
        <v>188</v>
      </c>
    </row>
    <row r="1313" spans="1:10" ht="28.5">
      <c r="A1313" t="s">
        <v>187</v>
      </c>
      <c r="B1313" t="s">
        <v>1394</v>
      </c>
      <c r="C1313" t="s">
        <v>3834</v>
      </c>
      <c r="D1313" t="s">
        <v>3835</v>
      </c>
      <c r="E1313" t="s">
        <v>271</v>
      </c>
      <c r="F1313" t="s">
        <v>25</v>
      </c>
      <c r="G1313" t="s">
        <v>1388</v>
      </c>
      <c r="H1313" s="8">
        <v>0.18</v>
      </c>
      <c r="I1313" s="2">
        <v>6.0536159999999999</v>
      </c>
      <c r="J1313" s="7" t="s">
        <v>188</v>
      </c>
    </row>
    <row r="1314" spans="1:10" ht="28.5">
      <c r="A1314" t="s">
        <v>187</v>
      </c>
      <c r="B1314" t="s">
        <v>1394</v>
      </c>
      <c r="C1314" t="s">
        <v>3836</v>
      </c>
      <c r="D1314" t="s">
        <v>3837</v>
      </c>
      <c r="E1314" t="s">
        <v>667</v>
      </c>
      <c r="F1314" t="s">
        <v>50</v>
      </c>
      <c r="G1314" t="s">
        <v>1388</v>
      </c>
      <c r="H1314" s="8">
        <v>0.05</v>
      </c>
      <c r="I1314" s="2">
        <v>1.6815600000000002</v>
      </c>
      <c r="J1314" s="7" t="s">
        <v>188</v>
      </c>
    </row>
    <row r="1315" spans="1:10" ht="28.5">
      <c r="A1315" t="s">
        <v>187</v>
      </c>
      <c r="B1315" t="s">
        <v>1394</v>
      </c>
      <c r="C1315" t="s">
        <v>3838</v>
      </c>
      <c r="D1315" t="s">
        <v>3839</v>
      </c>
      <c r="E1315" t="s">
        <v>402</v>
      </c>
      <c r="F1315" t="s">
        <v>23</v>
      </c>
      <c r="G1315" t="s">
        <v>1388</v>
      </c>
      <c r="H1315" s="8">
        <v>0.1</v>
      </c>
      <c r="I1315" s="2">
        <v>3.3631200000000003</v>
      </c>
      <c r="J1315" s="7" t="s">
        <v>188</v>
      </c>
    </row>
    <row r="1316" spans="1:10" ht="28.5">
      <c r="A1316" t="s">
        <v>187</v>
      </c>
      <c r="B1316" t="s">
        <v>1394</v>
      </c>
      <c r="C1316" t="s">
        <v>3840</v>
      </c>
      <c r="D1316" t="s">
        <v>3841</v>
      </c>
      <c r="E1316" t="s">
        <v>1050</v>
      </c>
      <c r="F1316" t="s">
        <v>263</v>
      </c>
      <c r="G1316" t="s">
        <v>1388</v>
      </c>
      <c r="H1316" s="8">
        <v>0.02</v>
      </c>
      <c r="I1316" s="2">
        <v>0.672624</v>
      </c>
      <c r="J1316" s="7" t="s">
        <v>188</v>
      </c>
    </row>
    <row r="1317" spans="1:10" ht="28.5">
      <c r="A1317" t="s">
        <v>187</v>
      </c>
      <c r="B1317" t="s">
        <v>1394</v>
      </c>
      <c r="C1317" t="s">
        <v>3842</v>
      </c>
      <c r="D1317" t="s">
        <v>3843</v>
      </c>
      <c r="E1317" t="s">
        <v>640</v>
      </c>
      <c r="F1317" t="s">
        <v>108</v>
      </c>
      <c r="G1317" t="s">
        <v>1388</v>
      </c>
      <c r="H1317" s="8">
        <v>0.01</v>
      </c>
      <c r="I1317" s="2">
        <v>0.336312</v>
      </c>
      <c r="J1317" s="7" t="s">
        <v>188</v>
      </c>
    </row>
    <row r="1318" spans="1:10" ht="28.5">
      <c r="A1318" t="s">
        <v>187</v>
      </c>
      <c r="B1318" t="s">
        <v>1394</v>
      </c>
      <c r="C1318" t="s">
        <v>3844</v>
      </c>
      <c r="D1318" t="s">
        <v>3845</v>
      </c>
      <c r="E1318" t="s">
        <v>1133</v>
      </c>
      <c r="F1318" t="s">
        <v>263</v>
      </c>
      <c r="G1318" t="s">
        <v>1388</v>
      </c>
      <c r="H1318" s="8">
        <v>0</v>
      </c>
      <c r="I1318" s="2">
        <v>0</v>
      </c>
      <c r="J1318" s="7" t="s">
        <v>188</v>
      </c>
    </row>
    <row r="1319" spans="1:10" ht="28.5">
      <c r="A1319" t="s">
        <v>187</v>
      </c>
      <c r="B1319" t="s">
        <v>1394</v>
      </c>
      <c r="C1319" t="s">
        <v>3846</v>
      </c>
      <c r="D1319" t="s">
        <v>3847</v>
      </c>
      <c r="E1319" t="s">
        <v>661</v>
      </c>
      <c r="F1319" t="s">
        <v>41</v>
      </c>
      <c r="G1319" t="s">
        <v>1388</v>
      </c>
      <c r="H1319" s="8">
        <v>0.05</v>
      </c>
      <c r="I1319" s="2">
        <v>1.6815600000000002</v>
      </c>
      <c r="J1319" s="7" t="s">
        <v>188</v>
      </c>
    </row>
    <row r="1320" spans="1:10" ht="28.5">
      <c r="A1320" t="s">
        <v>187</v>
      </c>
      <c r="B1320" t="s">
        <v>1394</v>
      </c>
      <c r="C1320" t="s">
        <v>3848</v>
      </c>
      <c r="D1320" t="s">
        <v>3849</v>
      </c>
      <c r="E1320" t="s">
        <v>930</v>
      </c>
      <c r="F1320" t="s">
        <v>124</v>
      </c>
      <c r="G1320" t="s">
        <v>1388</v>
      </c>
      <c r="H1320" s="8">
        <v>0.01</v>
      </c>
      <c r="I1320" s="2">
        <v>0.336312</v>
      </c>
      <c r="J1320" s="7" t="s">
        <v>188</v>
      </c>
    </row>
    <row r="1321" spans="1:10" ht="28.5">
      <c r="A1321" t="s">
        <v>187</v>
      </c>
      <c r="B1321" t="s">
        <v>1394</v>
      </c>
      <c r="C1321" t="s">
        <v>3850</v>
      </c>
      <c r="D1321" t="s">
        <v>3851</v>
      </c>
      <c r="E1321" t="s">
        <v>397</v>
      </c>
      <c r="F1321" t="s">
        <v>124</v>
      </c>
      <c r="G1321" t="s">
        <v>1388</v>
      </c>
      <c r="H1321" s="8">
        <v>0.1</v>
      </c>
      <c r="I1321" s="2">
        <v>3.3631200000000003</v>
      </c>
      <c r="J1321" s="7" t="s">
        <v>188</v>
      </c>
    </row>
    <row r="1322" spans="1:10" ht="28.5">
      <c r="A1322" t="s">
        <v>187</v>
      </c>
      <c r="B1322" t="s">
        <v>1394</v>
      </c>
      <c r="C1322" t="s">
        <v>3852</v>
      </c>
      <c r="D1322" t="s">
        <v>3853</v>
      </c>
      <c r="E1322" t="s">
        <v>882</v>
      </c>
      <c r="F1322" t="s">
        <v>38</v>
      </c>
      <c r="G1322" t="s">
        <v>1388</v>
      </c>
      <c r="H1322" s="8">
        <v>0.03</v>
      </c>
      <c r="I1322" s="2">
        <v>1.0089359999999998</v>
      </c>
      <c r="J1322" s="7" t="s">
        <v>188</v>
      </c>
    </row>
    <row r="1323" spans="1:10" ht="28.5">
      <c r="A1323" t="s">
        <v>187</v>
      </c>
      <c r="B1323" t="s">
        <v>1394</v>
      </c>
      <c r="C1323" t="s">
        <v>3854</v>
      </c>
      <c r="D1323" t="s">
        <v>3855</v>
      </c>
      <c r="E1323" t="s">
        <v>863</v>
      </c>
      <c r="F1323" t="s">
        <v>23</v>
      </c>
      <c r="G1323" t="s">
        <v>1388</v>
      </c>
      <c r="H1323" s="8">
        <v>0.03</v>
      </c>
      <c r="I1323" s="2">
        <v>1.0089359999999998</v>
      </c>
      <c r="J1323" s="7" t="s">
        <v>188</v>
      </c>
    </row>
    <row r="1324" spans="1:10" ht="28.5">
      <c r="A1324" t="s">
        <v>187</v>
      </c>
      <c r="B1324" t="s">
        <v>1394</v>
      </c>
      <c r="C1324" t="s">
        <v>3856</v>
      </c>
      <c r="D1324" t="s">
        <v>3857</v>
      </c>
      <c r="E1324" t="s">
        <v>799</v>
      </c>
      <c r="F1324" t="s">
        <v>108</v>
      </c>
      <c r="G1324" t="s">
        <v>1388</v>
      </c>
      <c r="H1324" s="8">
        <v>0.01</v>
      </c>
      <c r="I1324" s="2">
        <v>0.336312</v>
      </c>
      <c r="J1324" s="7" t="s">
        <v>188</v>
      </c>
    </row>
    <row r="1325" spans="1:10" ht="28.5">
      <c r="A1325" t="s">
        <v>187</v>
      </c>
      <c r="B1325" t="s">
        <v>1394</v>
      </c>
      <c r="C1325" t="s">
        <v>3858</v>
      </c>
      <c r="D1325" t="s">
        <v>3859</v>
      </c>
      <c r="E1325" t="s">
        <v>1263</v>
      </c>
      <c r="F1325" t="s">
        <v>23</v>
      </c>
      <c r="G1325" t="s">
        <v>1388</v>
      </c>
      <c r="H1325" s="8">
        <v>0.01</v>
      </c>
      <c r="I1325" s="2">
        <v>0.336312</v>
      </c>
      <c r="J1325" s="7" t="s">
        <v>188</v>
      </c>
    </row>
    <row r="1326" spans="1:10" ht="28.5">
      <c r="A1326" t="s">
        <v>187</v>
      </c>
      <c r="B1326" t="s">
        <v>1394</v>
      </c>
      <c r="C1326" t="s">
        <v>3860</v>
      </c>
      <c r="D1326" t="s">
        <v>3861</v>
      </c>
      <c r="E1326" t="s">
        <v>1310</v>
      </c>
      <c r="F1326" t="s">
        <v>25</v>
      </c>
      <c r="G1326" t="s">
        <v>1388</v>
      </c>
      <c r="H1326" s="8">
        <v>0.01</v>
      </c>
      <c r="I1326" s="2">
        <v>0.336312</v>
      </c>
      <c r="J1326" s="7" t="s">
        <v>188</v>
      </c>
    </row>
    <row r="1327" spans="1:10" ht="28.5">
      <c r="A1327" t="s">
        <v>187</v>
      </c>
      <c r="B1327" t="s">
        <v>1394</v>
      </c>
      <c r="C1327" t="s">
        <v>3862</v>
      </c>
      <c r="D1327" t="s">
        <v>3863</v>
      </c>
      <c r="E1327" t="s">
        <v>1066</v>
      </c>
      <c r="F1327" t="s">
        <v>50</v>
      </c>
      <c r="G1327" t="s">
        <v>1388</v>
      </c>
      <c r="H1327" s="8">
        <v>0.02</v>
      </c>
      <c r="I1327" s="2">
        <v>0.672624</v>
      </c>
      <c r="J1327" s="7" t="s">
        <v>188</v>
      </c>
    </row>
    <row r="1328" spans="1:10" ht="28.5">
      <c r="A1328" t="s">
        <v>187</v>
      </c>
      <c r="B1328" t="s">
        <v>1394</v>
      </c>
      <c r="C1328" t="s">
        <v>3864</v>
      </c>
      <c r="D1328" t="s">
        <v>3865</v>
      </c>
      <c r="E1328" t="s">
        <v>500</v>
      </c>
      <c r="F1328" t="s">
        <v>124</v>
      </c>
      <c r="G1328" t="s">
        <v>1388</v>
      </c>
      <c r="H1328" s="8">
        <v>0.04</v>
      </c>
      <c r="I1328" s="2">
        <v>1.345248</v>
      </c>
      <c r="J1328" s="7" t="s">
        <v>188</v>
      </c>
    </row>
    <row r="1329" spans="1:10" ht="28.5">
      <c r="A1329" t="s">
        <v>187</v>
      </c>
      <c r="B1329" t="s">
        <v>1394</v>
      </c>
      <c r="C1329" t="s">
        <v>3866</v>
      </c>
      <c r="D1329" t="s">
        <v>3867</v>
      </c>
      <c r="E1329" t="s">
        <v>839</v>
      </c>
      <c r="F1329" t="s">
        <v>108</v>
      </c>
      <c r="G1329" t="s">
        <v>1388</v>
      </c>
      <c r="H1329" s="8">
        <v>0.03</v>
      </c>
      <c r="I1329" s="2">
        <v>1.0089359999999998</v>
      </c>
      <c r="J1329" s="7" t="s">
        <v>188</v>
      </c>
    </row>
    <row r="1330" spans="1:10" ht="28.5">
      <c r="A1330" t="s">
        <v>187</v>
      </c>
      <c r="B1330" t="s">
        <v>1394</v>
      </c>
      <c r="C1330" t="s">
        <v>3868</v>
      </c>
      <c r="D1330" t="s">
        <v>3869</v>
      </c>
      <c r="E1330" t="s">
        <v>507</v>
      </c>
      <c r="F1330" t="s">
        <v>25</v>
      </c>
      <c r="G1330" t="s">
        <v>1388</v>
      </c>
      <c r="H1330" s="8">
        <v>0.03</v>
      </c>
      <c r="I1330" s="2">
        <v>1.0089359999999998</v>
      </c>
      <c r="J1330" s="7" t="s">
        <v>188</v>
      </c>
    </row>
    <row r="1331" spans="1:10" ht="28.5">
      <c r="A1331" t="s">
        <v>187</v>
      </c>
      <c r="B1331" t="s">
        <v>1394</v>
      </c>
      <c r="C1331" t="s">
        <v>3870</v>
      </c>
      <c r="D1331" t="s">
        <v>3871</v>
      </c>
      <c r="E1331" t="s">
        <v>1091</v>
      </c>
      <c r="F1331" t="s">
        <v>23</v>
      </c>
      <c r="G1331" t="s">
        <v>1388</v>
      </c>
      <c r="H1331" s="8">
        <v>0.02</v>
      </c>
      <c r="I1331" s="2">
        <v>0.672624</v>
      </c>
      <c r="J1331" s="7" t="s">
        <v>188</v>
      </c>
    </row>
    <row r="1332" spans="1:10" ht="28.5">
      <c r="A1332" t="s">
        <v>187</v>
      </c>
      <c r="B1332" t="s">
        <v>1394</v>
      </c>
      <c r="C1332" t="s">
        <v>3872</v>
      </c>
      <c r="D1332" t="s">
        <v>3873</v>
      </c>
      <c r="E1332" t="s">
        <v>1054</v>
      </c>
      <c r="F1332" t="s">
        <v>50</v>
      </c>
      <c r="G1332" t="s">
        <v>1388</v>
      </c>
      <c r="H1332" s="8">
        <v>0.02</v>
      </c>
      <c r="I1332" s="2">
        <v>0.672624</v>
      </c>
      <c r="J1332" s="7" t="s">
        <v>188</v>
      </c>
    </row>
    <row r="1333" spans="1:10" ht="28.5">
      <c r="A1333" t="s">
        <v>187</v>
      </c>
      <c r="B1333" t="s">
        <v>1394</v>
      </c>
      <c r="C1333" t="s">
        <v>3874</v>
      </c>
      <c r="D1333" t="s">
        <v>3875</v>
      </c>
      <c r="E1333" t="s">
        <v>530</v>
      </c>
      <c r="F1333" t="s">
        <v>50</v>
      </c>
      <c r="G1333" t="s">
        <v>1388</v>
      </c>
      <c r="H1333" s="8">
        <v>7.0000000000000007E-2</v>
      </c>
      <c r="I1333" s="2">
        <v>2.3541840000000001</v>
      </c>
      <c r="J1333" s="7" t="s">
        <v>188</v>
      </c>
    </row>
    <row r="1334" spans="1:10" ht="28.5">
      <c r="A1334" t="s">
        <v>187</v>
      </c>
      <c r="B1334" t="s">
        <v>1394</v>
      </c>
      <c r="C1334" t="s">
        <v>3876</v>
      </c>
      <c r="D1334" t="s">
        <v>3877</v>
      </c>
      <c r="E1334" t="s">
        <v>608</v>
      </c>
      <c r="F1334" t="s">
        <v>253</v>
      </c>
      <c r="G1334" t="s">
        <v>1388</v>
      </c>
      <c r="H1334" s="8">
        <v>0.06</v>
      </c>
      <c r="I1334" s="2">
        <v>2.0178719999999997</v>
      </c>
      <c r="J1334" s="7" t="s">
        <v>188</v>
      </c>
    </row>
    <row r="1335" spans="1:10" ht="28.5">
      <c r="A1335" t="s">
        <v>187</v>
      </c>
      <c r="B1335" t="s">
        <v>1394</v>
      </c>
      <c r="C1335" t="s">
        <v>3878</v>
      </c>
      <c r="D1335" t="s">
        <v>3879</v>
      </c>
      <c r="E1335" t="s">
        <v>1265</v>
      </c>
      <c r="F1335" t="s">
        <v>25</v>
      </c>
      <c r="G1335" t="s">
        <v>1388</v>
      </c>
      <c r="H1335" s="8">
        <v>0.01</v>
      </c>
      <c r="I1335" s="2">
        <v>0.336312</v>
      </c>
      <c r="J1335" s="7" t="s">
        <v>188</v>
      </c>
    </row>
    <row r="1336" spans="1:10" ht="28.5">
      <c r="A1336" t="s">
        <v>187</v>
      </c>
      <c r="B1336" t="s">
        <v>1394</v>
      </c>
      <c r="C1336" t="s">
        <v>3880</v>
      </c>
      <c r="D1336" t="s">
        <v>3881</v>
      </c>
      <c r="E1336" t="s">
        <v>904</v>
      </c>
      <c r="F1336" t="s">
        <v>50</v>
      </c>
      <c r="G1336" t="s">
        <v>1388</v>
      </c>
      <c r="H1336" s="8">
        <v>0.03</v>
      </c>
      <c r="I1336" s="2">
        <v>1.0089359999999998</v>
      </c>
      <c r="J1336" s="7" t="s">
        <v>188</v>
      </c>
    </row>
    <row r="1337" spans="1:10" ht="28.5">
      <c r="A1337" t="s">
        <v>187</v>
      </c>
      <c r="B1337" t="s">
        <v>1394</v>
      </c>
      <c r="C1337" t="s">
        <v>3882</v>
      </c>
      <c r="D1337" t="s">
        <v>3883</v>
      </c>
      <c r="E1337" t="s">
        <v>866</v>
      </c>
      <c r="F1337" t="s">
        <v>50</v>
      </c>
      <c r="G1337" t="s">
        <v>1388</v>
      </c>
      <c r="H1337" s="8">
        <v>0.03</v>
      </c>
      <c r="I1337" s="2">
        <v>1.0089359999999998</v>
      </c>
      <c r="J1337" s="7" t="s">
        <v>188</v>
      </c>
    </row>
    <row r="1338" spans="1:10" ht="28.5">
      <c r="A1338" t="s">
        <v>187</v>
      </c>
      <c r="B1338" t="s">
        <v>1394</v>
      </c>
      <c r="C1338" t="s">
        <v>3884</v>
      </c>
      <c r="D1338" t="s">
        <v>3885</v>
      </c>
      <c r="E1338" t="s">
        <v>810</v>
      </c>
      <c r="F1338" t="s">
        <v>38</v>
      </c>
      <c r="G1338" t="s">
        <v>1388</v>
      </c>
      <c r="H1338" s="8">
        <v>0.01</v>
      </c>
      <c r="I1338" s="2">
        <v>0.336312</v>
      </c>
      <c r="J1338" s="7" t="s">
        <v>188</v>
      </c>
    </row>
    <row r="1339" spans="1:10" ht="28.5">
      <c r="A1339" t="s">
        <v>187</v>
      </c>
      <c r="B1339" t="s">
        <v>1394</v>
      </c>
      <c r="C1339" t="s">
        <v>3886</v>
      </c>
      <c r="D1339" t="s">
        <v>3887</v>
      </c>
      <c r="E1339" t="s">
        <v>797</v>
      </c>
      <c r="F1339" t="s">
        <v>50</v>
      </c>
      <c r="G1339" t="s">
        <v>1388</v>
      </c>
      <c r="H1339" s="8">
        <v>0.01</v>
      </c>
      <c r="I1339" s="2">
        <v>0.336312</v>
      </c>
      <c r="J1339" s="7" t="s">
        <v>188</v>
      </c>
    </row>
    <row r="1340" spans="1:10" ht="28.5">
      <c r="A1340" t="s">
        <v>187</v>
      </c>
      <c r="B1340" t="s">
        <v>1394</v>
      </c>
      <c r="C1340" t="s">
        <v>3888</v>
      </c>
      <c r="D1340" t="s">
        <v>3889</v>
      </c>
      <c r="E1340" t="s">
        <v>825</v>
      </c>
      <c r="F1340" t="s">
        <v>41</v>
      </c>
      <c r="G1340" t="s">
        <v>1388</v>
      </c>
      <c r="H1340" s="8">
        <v>0.01</v>
      </c>
      <c r="I1340" s="2">
        <v>0.336312</v>
      </c>
      <c r="J1340" s="7" t="s">
        <v>188</v>
      </c>
    </row>
    <row r="1341" spans="1:10" ht="28.5">
      <c r="A1341" t="s">
        <v>187</v>
      </c>
      <c r="B1341" t="s">
        <v>1394</v>
      </c>
      <c r="C1341" t="s">
        <v>3890</v>
      </c>
      <c r="D1341" t="s">
        <v>3891</v>
      </c>
      <c r="E1341" t="s">
        <v>815</v>
      </c>
      <c r="F1341" t="s">
        <v>25</v>
      </c>
      <c r="G1341" t="s">
        <v>1388</v>
      </c>
      <c r="H1341" s="8">
        <v>0.01</v>
      </c>
      <c r="I1341" s="2">
        <v>0.336312</v>
      </c>
      <c r="J1341" s="7" t="s">
        <v>188</v>
      </c>
    </row>
    <row r="1342" spans="1:10" ht="28.5">
      <c r="A1342" t="s">
        <v>187</v>
      </c>
      <c r="B1342" t="s">
        <v>1394</v>
      </c>
      <c r="C1342" t="s">
        <v>3892</v>
      </c>
      <c r="D1342" t="s">
        <v>3893</v>
      </c>
      <c r="E1342" t="s">
        <v>961</v>
      </c>
      <c r="F1342" t="s">
        <v>23</v>
      </c>
      <c r="G1342" t="s">
        <v>1388</v>
      </c>
      <c r="H1342" s="8">
        <v>0.01</v>
      </c>
      <c r="I1342" s="2">
        <v>0.336312</v>
      </c>
      <c r="J1342" s="7" t="s">
        <v>188</v>
      </c>
    </row>
    <row r="1343" spans="1:10" ht="28.5">
      <c r="A1343" t="s">
        <v>187</v>
      </c>
      <c r="B1343" t="s">
        <v>1394</v>
      </c>
      <c r="C1343" t="s">
        <v>3894</v>
      </c>
      <c r="D1343" t="s">
        <v>3895</v>
      </c>
      <c r="E1343" t="s">
        <v>109</v>
      </c>
      <c r="F1343" t="s">
        <v>38</v>
      </c>
      <c r="G1343" t="s">
        <v>1388</v>
      </c>
      <c r="H1343" s="8">
        <v>0.05</v>
      </c>
      <c r="I1343" s="2">
        <v>1.6815600000000002</v>
      </c>
      <c r="J1343" s="7" t="s">
        <v>188</v>
      </c>
    </row>
    <row r="1344" spans="1:10" ht="28.5">
      <c r="A1344" t="s">
        <v>187</v>
      </c>
      <c r="B1344" t="s">
        <v>1394</v>
      </c>
      <c r="C1344" t="s">
        <v>3896</v>
      </c>
      <c r="D1344" t="s">
        <v>3897</v>
      </c>
      <c r="E1344" t="s">
        <v>1269</v>
      </c>
      <c r="F1344" t="s">
        <v>38</v>
      </c>
      <c r="G1344" t="s">
        <v>1388</v>
      </c>
      <c r="H1344" s="8">
        <v>0.01</v>
      </c>
      <c r="I1344" s="2">
        <v>0.336312</v>
      </c>
      <c r="J1344" s="7" t="s">
        <v>188</v>
      </c>
    </row>
    <row r="1345" spans="1:10" ht="28.5">
      <c r="A1345" t="s">
        <v>187</v>
      </c>
      <c r="B1345" t="s">
        <v>1394</v>
      </c>
      <c r="C1345" t="s">
        <v>3898</v>
      </c>
      <c r="D1345" t="s">
        <v>3899</v>
      </c>
      <c r="E1345" t="s">
        <v>1360</v>
      </c>
      <c r="F1345" t="s">
        <v>38</v>
      </c>
      <c r="G1345" t="s">
        <v>1388</v>
      </c>
      <c r="H1345" s="8">
        <v>0</v>
      </c>
      <c r="I1345" s="2">
        <v>0</v>
      </c>
      <c r="J1345" s="7" t="s">
        <v>188</v>
      </c>
    </row>
    <row r="1346" spans="1:10" ht="28.5">
      <c r="A1346" t="s">
        <v>187</v>
      </c>
      <c r="B1346" t="s">
        <v>1394</v>
      </c>
      <c r="C1346" t="s">
        <v>3900</v>
      </c>
      <c r="D1346" t="s">
        <v>3901</v>
      </c>
      <c r="E1346" t="s">
        <v>557</v>
      </c>
      <c r="F1346" t="s">
        <v>33</v>
      </c>
      <c r="G1346" t="s">
        <v>1388</v>
      </c>
      <c r="H1346" s="8">
        <v>0.02</v>
      </c>
      <c r="I1346" s="2">
        <v>0.672624</v>
      </c>
      <c r="J1346" s="7" t="s">
        <v>188</v>
      </c>
    </row>
    <row r="1347" spans="1:10" ht="28.5">
      <c r="A1347" t="s">
        <v>187</v>
      </c>
      <c r="B1347" t="s">
        <v>1394</v>
      </c>
      <c r="C1347" t="s">
        <v>3902</v>
      </c>
      <c r="D1347" t="s">
        <v>3903</v>
      </c>
      <c r="E1347" t="s">
        <v>779</v>
      </c>
      <c r="F1347" t="s">
        <v>33</v>
      </c>
      <c r="G1347" t="s">
        <v>1388</v>
      </c>
      <c r="H1347" s="8">
        <v>0.04</v>
      </c>
      <c r="I1347" s="2">
        <v>1.345248</v>
      </c>
      <c r="J1347" s="7" t="s">
        <v>188</v>
      </c>
    </row>
    <row r="1348" spans="1:10" ht="28.5">
      <c r="A1348" t="s">
        <v>187</v>
      </c>
      <c r="B1348" t="s">
        <v>1394</v>
      </c>
      <c r="C1348" t="s">
        <v>3904</v>
      </c>
      <c r="D1348" t="s">
        <v>3905</v>
      </c>
      <c r="E1348" t="s">
        <v>410</v>
      </c>
      <c r="F1348" t="s">
        <v>25</v>
      </c>
      <c r="G1348" t="s">
        <v>1388</v>
      </c>
      <c r="H1348" s="8">
        <v>0.02</v>
      </c>
      <c r="I1348" s="2">
        <v>0.672624</v>
      </c>
      <c r="J1348" s="7" t="s">
        <v>188</v>
      </c>
    </row>
    <row r="1349" spans="1:10" ht="28.5">
      <c r="A1349" t="s">
        <v>187</v>
      </c>
      <c r="B1349" t="s">
        <v>1394</v>
      </c>
      <c r="C1349" t="s">
        <v>3906</v>
      </c>
      <c r="D1349" t="s">
        <v>3907</v>
      </c>
      <c r="E1349" t="s">
        <v>1092</v>
      </c>
      <c r="F1349" t="s">
        <v>25</v>
      </c>
      <c r="G1349" t="s">
        <v>1388</v>
      </c>
      <c r="H1349" s="8">
        <v>0.02</v>
      </c>
      <c r="I1349" s="2">
        <v>0.672624</v>
      </c>
      <c r="J1349" s="7" t="s">
        <v>188</v>
      </c>
    </row>
    <row r="1350" spans="1:10" ht="28.5">
      <c r="A1350" t="s">
        <v>187</v>
      </c>
      <c r="B1350" t="s">
        <v>1394</v>
      </c>
      <c r="C1350" t="s">
        <v>3908</v>
      </c>
      <c r="D1350" t="s">
        <v>3909</v>
      </c>
      <c r="E1350" t="s">
        <v>351</v>
      </c>
      <c r="F1350" t="s">
        <v>23</v>
      </c>
      <c r="G1350" t="s">
        <v>1388</v>
      </c>
      <c r="H1350" s="8">
        <v>0.12</v>
      </c>
      <c r="I1350" s="2">
        <v>4.0357439999999993</v>
      </c>
      <c r="J1350" s="7" t="s">
        <v>188</v>
      </c>
    </row>
    <row r="1351" spans="1:10" ht="28.5">
      <c r="A1351" t="s">
        <v>943</v>
      </c>
      <c r="B1351" t="s">
        <v>1394</v>
      </c>
      <c r="C1351" t="s">
        <v>1497</v>
      </c>
      <c r="D1351" t="s">
        <v>1498</v>
      </c>
      <c r="E1351" t="s">
        <v>341</v>
      </c>
      <c r="F1351" t="s">
        <v>23</v>
      </c>
      <c r="G1351" t="s">
        <v>1388</v>
      </c>
      <c r="H1351" s="8">
        <v>0.25</v>
      </c>
      <c r="I1351" s="2">
        <v>2.8525999999999998</v>
      </c>
      <c r="J1351" s="7" t="s">
        <v>944</v>
      </c>
    </row>
    <row r="1352" spans="1:10" ht="28.5">
      <c r="A1352" t="s">
        <v>943</v>
      </c>
      <c r="B1352" t="s">
        <v>1394</v>
      </c>
      <c r="C1352" t="s">
        <v>1500</v>
      </c>
      <c r="D1352" t="s">
        <v>1501</v>
      </c>
      <c r="E1352" t="s">
        <v>715</v>
      </c>
      <c r="F1352" t="s">
        <v>50</v>
      </c>
      <c r="G1352" t="s">
        <v>1388</v>
      </c>
      <c r="H1352" s="8">
        <v>0.09</v>
      </c>
      <c r="I1352" s="2">
        <v>1.0269359999999998</v>
      </c>
      <c r="J1352" s="7" t="s">
        <v>944</v>
      </c>
    </row>
    <row r="1353" spans="1:10" ht="28.5">
      <c r="A1353" t="s">
        <v>943</v>
      </c>
      <c r="B1353" t="s">
        <v>1394</v>
      </c>
      <c r="C1353" t="s">
        <v>1502</v>
      </c>
      <c r="D1353" t="s">
        <v>1503</v>
      </c>
      <c r="E1353" t="s">
        <v>637</v>
      </c>
      <c r="F1353" t="s">
        <v>50</v>
      </c>
      <c r="G1353" t="s">
        <v>1388</v>
      </c>
      <c r="H1353" s="8">
        <v>0.12</v>
      </c>
      <c r="I1353" s="2">
        <v>1.369248</v>
      </c>
      <c r="J1353" s="7" t="s">
        <v>944</v>
      </c>
    </row>
    <row r="1354" spans="1:10" ht="28.5">
      <c r="A1354" t="s">
        <v>943</v>
      </c>
      <c r="B1354" t="s">
        <v>1394</v>
      </c>
      <c r="C1354" t="s">
        <v>1506</v>
      </c>
      <c r="D1354" t="s">
        <v>1507</v>
      </c>
      <c r="E1354" t="s">
        <v>515</v>
      </c>
      <c r="F1354" t="s">
        <v>23</v>
      </c>
      <c r="G1354" t="s">
        <v>1388</v>
      </c>
      <c r="H1354" s="8">
        <v>0.12</v>
      </c>
      <c r="I1354" s="2">
        <v>1.369248</v>
      </c>
      <c r="J1354" s="7" t="s">
        <v>944</v>
      </c>
    </row>
    <row r="1355" spans="1:10" ht="28.5">
      <c r="A1355" t="s">
        <v>943</v>
      </c>
      <c r="B1355" t="s">
        <v>1394</v>
      </c>
      <c r="C1355" t="s">
        <v>1399</v>
      </c>
      <c r="D1355" t="s">
        <v>1400</v>
      </c>
      <c r="E1355" t="s">
        <v>176</v>
      </c>
      <c r="F1355" t="s">
        <v>25</v>
      </c>
      <c r="G1355" t="s">
        <v>1388</v>
      </c>
      <c r="H1355" s="8">
        <v>0.35</v>
      </c>
      <c r="I1355" s="2">
        <v>3.9936399999999996</v>
      </c>
      <c r="J1355" s="7" t="s">
        <v>944</v>
      </c>
    </row>
    <row r="1356" spans="1:10" ht="28.5">
      <c r="A1356" t="s">
        <v>943</v>
      </c>
      <c r="B1356" t="s">
        <v>1394</v>
      </c>
      <c r="C1356" t="s">
        <v>1521</v>
      </c>
      <c r="D1356" t="s">
        <v>1522</v>
      </c>
      <c r="E1356" t="s">
        <v>227</v>
      </c>
      <c r="F1356" t="s">
        <v>25</v>
      </c>
      <c r="G1356" t="s">
        <v>1388</v>
      </c>
      <c r="H1356" s="8">
        <v>0.4</v>
      </c>
      <c r="I1356" s="2">
        <v>4.5641600000000002</v>
      </c>
      <c r="J1356" s="7" t="s">
        <v>944</v>
      </c>
    </row>
    <row r="1357" spans="1:10" ht="28.5">
      <c r="A1357" t="s">
        <v>943</v>
      </c>
      <c r="B1357" t="s">
        <v>1394</v>
      </c>
      <c r="C1357" t="s">
        <v>1528</v>
      </c>
      <c r="D1357" t="s">
        <v>1529</v>
      </c>
      <c r="E1357" t="s">
        <v>731</v>
      </c>
      <c r="F1357" t="s">
        <v>23</v>
      </c>
      <c r="G1357" t="s">
        <v>1388</v>
      </c>
      <c r="H1357" s="8">
        <v>0.06</v>
      </c>
      <c r="I1357" s="2">
        <v>0.68462400000000001</v>
      </c>
      <c r="J1357" s="7" t="s">
        <v>944</v>
      </c>
    </row>
    <row r="1358" spans="1:10" ht="28.5">
      <c r="A1358" t="s">
        <v>943</v>
      </c>
      <c r="B1358" t="s">
        <v>1394</v>
      </c>
      <c r="C1358" t="s">
        <v>1534</v>
      </c>
      <c r="D1358" t="s">
        <v>1535</v>
      </c>
      <c r="E1358" t="s">
        <v>306</v>
      </c>
      <c r="F1358" t="s">
        <v>50</v>
      </c>
      <c r="G1358" t="s">
        <v>1388</v>
      </c>
      <c r="H1358" s="8">
        <v>0.33</v>
      </c>
      <c r="I1358" s="2">
        <v>3.7654320000000001</v>
      </c>
      <c r="J1358" s="7" t="s">
        <v>944</v>
      </c>
    </row>
    <row r="1359" spans="1:10" ht="28.5">
      <c r="A1359" t="s">
        <v>943</v>
      </c>
      <c r="B1359" t="s">
        <v>1394</v>
      </c>
      <c r="C1359" t="s">
        <v>1542</v>
      </c>
      <c r="D1359" t="s">
        <v>1543</v>
      </c>
      <c r="E1359" t="s">
        <v>693</v>
      </c>
      <c r="F1359" t="s">
        <v>50</v>
      </c>
      <c r="G1359" t="s">
        <v>1388</v>
      </c>
      <c r="H1359" s="8">
        <v>0.11</v>
      </c>
      <c r="I1359" s="2">
        <v>1.255144</v>
      </c>
      <c r="J1359" s="7" t="s">
        <v>944</v>
      </c>
    </row>
    <row r="1360" spans="1:10" ht="28.5">
      <c r="A1360" t="s">
        <v>943</v>
      </c>
      <c r="B1360" t="s">
        <v>1394</v>
      </c>
      <c r="C1360" t="s">
        <v>1544</v>
      </c>
      <c r="D1360" t="s">
        <v>1545</v>
      </c>
      <c r="E1360" t="s">
        <v>945</v>
      </c>
      <c r="F1360" t="s">
        <v>23</v>
      </c>
      <c r="G1360" t="s">
        <v>1388</v>
      </c>
      <c r="H1360" s="8">
        <v>0.04</v>
      </c>
      <c r="I1360" s="2">
        <v>0.45641599999999999</v>
      </c>
      <c r="J1360" s="7" t="s">
        <v>944</v>
      </c>
    </row>
    <row r="1361" spans="1:10" ht="28.5">
      <c r="A1361" t="s">
        <v>943</v>
      </c>
      <c r="B1361" t="s">
        <v>1394</v>
      </c>
      <c r="C1361" t="s">
        <v>1552</v>
      </c>
      <c r="D1361" t="s">
        <v>1553</v>
      </c>
      <c r="E1361" t="s">
        <v>643</v>
      </c>
      <c r="F1361" t="s">
        <v>23</v>
      </c>
      <c r="G1361" t="s">
        <v>1388</v>
      </c>
      <c r="H1361" s="8">
        <v>0.09</v>
      </c>
      <c r="I1361" s="2">
        <v>1.0269359999999998</v>
      </c>
      <c r="J1361" s="7" t="s">
        <v>944</v>
      </c>
    </row>
    <row r="1362" spans="1:10" ht="28.5">
      <c r="A1362" t="s">
        <v>943</v>
      </c>
      <c r="B1362" t="s">
        <v>1394</v>
      </c>
      <c r="C1362" t="s">
        <v>1562</v>
      </c>
      <c r="D1362" t="s">
        <v>1563</v>
      </c>
      <c r="E1362" t="s">
        <v>812</v>
      </c>
      <c r="F1362" t="s">
        <v>38</v>
      </c>
      <c r="G1362" t="s">
        <v>1388</v>
      </c>
      <c r="H1362" s="8">
        <v>7.0000000000000007E-2</v>
      </c>
      <c r="I1362" s="2">
        <v>0.79872799999999999</v>
      </c>
      <c r="J1362" s="7" t="s">
        <v>944</v>
      </c>
    </row>
    <row r="1363" spans="1:10" ht="28.5">
      <c r="A1363" t="s">
        <v>943</v>
      </c>
      <c r="B1363" t="s">
        <v>1394</v>
      </c>
      <c r="C1363" t="s">
        <v>1566</v>
      </c>
      <c r="D1363" t="s">
        <v>1567</v>
      </c>
      <c r="E1363" t="s">
        <v>962</v>
      </c>
      <c r="F1363" t="s">
        <v>124</v>
      </c>
      <c r="G1363" t="s">
        <v>1388</v>
      </c>
      <c r="H1363" s="8">
        <v>0.03</v>
      </c>
      <c r="I1363" s="2">
        <v>0.34231200000000001</v>
      </c>
      <c r="J1363" s="7" t="s">
        <v>944</v>
      </c>
    </row>
    <row r="1364" spans="1:10" ht="28.5">
      <c r="A1364" t="s">
        <v>943</v>
      </c>
      <c r="B1364" t="s">
        <v>1394</v>
      </c>
      <c r="C1364" t="s">
        <v>1584</v>
      </c>
      <c r="D1364" t="s">
        <v>1585</v>
      </c>
      <c r="E1364" t="s">
        <v>364</v>
      </c>
      <c r="F1364" t="s">
        <v>23</v>
      </c>
      <c r="G1364" t="s">
        <v>1388</v>
      </c>
      <c r="H1364" s="8">
        <v>0.14000000000000001</v>
      </c>
      <c r="I1364" s="2">
        <v>1.597456</v>
      </c>
      <c r="J1364" s="7" t="s">
        <v>944</v>
      </c>
    </row>
    <row r="1365" spans="1:10" ht="28.5">
      <c r="A1365" t="s">
        <v>943</v>
      </c>
      <c r="B1365" t="s">
        <v>1394</v>
      </c>
      <c r="C1365" t="s">
        <v>1588</v>
      </c>
      <c r="D1365" t="s">
        <v>1589</v>
      </c>
      <c r="E1365" t="s">
        <v>722</v>
      </c>
      <c r="F1365" t="s">
        <v>50</v>
      </c>
      <c r="G1365" t="s">
        <v>1388</v>
      </c>
      <c r="H1365" s="8">
        <v>0.09</v>
      </c>
      <c r="I1365" s="2">
        <v>1.0269359999999998</v>
      </c>
      <c r="J1365" s="7" t="s">
        <v>944</v>
      </c>
    </row>
    <row r="1366" spans="1:10" ht="28.5">
      <c r="A1366" t="s">
        <v>943</v>
      </c>
      <c r="B1366" t="s">
        <v>1394</v>
      </c>
      <c r="C1366" t="s">
        <v>1590</v>
      </c>
      <c r="D1366" t="s">
        <v>1591</v>
      </c>
      <c r="E1366" t="s">
        <v>948</v>
      </c>
      <c r="F1366" t="s">
        <v>253</v>
      </c>
      <c r="G1366" t="s">
        <v>1388</v>
      </c>
      <c r="H1366" s="8">
        <v>0.04</v>
      </c>
      <c r="I1366" s="2">
        <v>0.45641599999999999</v>
      </c>
      <c r="J1366" s="7" t="s">
        <v>944</v>
      </c>
    </row>
    <row r="1367" spans="1:10" ht="28.5">
      <c r="A1367" t="s">
        <v>943</v>
      </c>
      <c r="B1367" t="s">
        <v>1394</v>
      </c>
      <c r="C1367" t="s">
        <v>1596</v>
      </c>
      <c r="D1367" t="s">
        <v>1597</v>
      </c>
      <c r="E1367" t="s">
        <v>556</v>
      </c>
      <c r="F1367" t="s">
        <v>41</v>
      </c>
      <c r="G1367" t="s">
        <v>1388</v>
      </c>
      <c r="H1367" s="8">
        <v>0.13</v>
      </c>
      <c r="I1367" s="2">
        <v>1.4833519999999998</v>
      </c>
      <c r="J1367" s="7" t="s">
        <v>944</v>
      </c>
    </row>
    <row r="1368" spans="1:10" ht="28.5">
      <c r="A1368" t="s">
        <v>943</v>
      </c>
      <c r="B1368" t="s">
        <v>1394</v>
      </c>
      <c r="C1368" t="s">
        <v>1604</v>
      </c>
      <c r="D1368" t="s">
        <v>1605</v>
      </c>
      <c r="E1368" t="s">
        <v>370</v>
      </c>
      <c r="F1368" t="s">
        <v>23</v>
      </c>
      <c r="G1368" t="s">
        <v>1388</v>
      </c>
      <c r="H1368" s="8">
        <v>0.19</v>
      </c>
      <c r="I1368" s="2">
        <v>2.1679759999999999</v>
      </c>
      <c r="J1368" s="7" t="s">
        <v>944</v>
      </c>
    </row>
    <row r="1369" spans="1:10" ht="28.5">
      <c r="A1369" t="s">
        <v>943</v>
      </c>
      <c r="B1369" t="s">
        <v>1394</v>
      </c>
      <c r="C1369" t="s">
        <v>1620</v>
      </c>
      <c r="D1369" t="s">
        <v>1621</v>
      </c>
      <c r="E1369" t="s">
        <v>1131</v>
      </c>
      <c r="F1369" t="s">
        <v>23</v>
      </c>
      <c r="G1369" t="s">
        <v>1388</v>
      </c>
      <c r="H1369" s="8">
        <v>0.01</v>
      </c>
      <c r="I1369" s="2">
        <v>0.114104</v>
      </c>
      <c r="J1369" s="7" t="s">
        <v>944</v>
      </c>
    </row>
    <row r="1370" spans="1:10" ht="28.5">
      <c r="A1370" t="s">
        <v>943</v>
      </c>
      <c r="B1370" t="s">
        <v>1394</v>
      </c>
      <c r="C1370" t="s">
        <v>1622</v>
      </c>
      <c r="D1370" t="s">
        <v>1623</v>
      </c>
      <c r="E1370" t="s">
        <v>1129</v>
      </c>
      <c r="F1370" t="s">
        <v>50</v>
      </c>
      <c r="G1370" t="s">
        <v>1388</v>
      </c>
      <c r="H1370" s="8">
        <v>0.04</v>
      </c>
      <c r="I1370" s="2">
        <v>0.45641599999999999</v>
      </c>
      <c r="J1370" s="7" t="s">
        <v>944</v>
      </c>
    </row>
    <row r="1371" spans="1:10" ht="28.5">
      <c r="A1371" t="s">
        <v>943</v>
      </c>
      <c r="B1371" t="s">
        <v>1394</v>
      </c>
      <c r="C1371" t="s">
        <v>1630</v>
      </c>
      <c r="D1371" t="s">
        <v>1631</v>
      </c>
      <c r="E1371" t="s">
        <v>647</v>
      </c>
      <c r="F1371" t="s">
        <v>23</v>
      </c>
      <c r="G1371" t="s">
        <v>1388</v>
      </c>
      <c r="H1371" s="8">
        <v>0.09</v>
      </c>
      <c r="I1371" s="2">
        <v>1.0269359999999998</v>
      </c>
      <c r="J1371" s="7" t="s">
        <v>944</v>
      </c>
    </row>
    <row r="1372" spans="1:10" ht="28.5">
      <c r="A1372" t="s">
        <v>943</v>
      </c>
      <c r="B1372" t="s">
        <v>1394</v>
      </c>
      <c r="C1372" t="s">
        <v>1646</v>
      </c>
      <c r="D1372" t="s">
        <v>1647</v>
      </c>
      <c r="E1372" t="s">
        <v>702</v>
      </c>
      <c r="F1372" t="s">
        <v>38</v>
      </c>
      <c r="G1372" t="s">
        <v>1388</v>
      </c>
      <c r="H1372" s="8">
        <v>0.1</v>
      </c>
      <c r="I1372" s="2">
        <v>1.1410400000000001</v>
      </c>
      <c r="J1372" s="7" t="s">
        <v>944</v>
      </c>
    </row>
    <row r="1373" spans="1:10" ht="28.5">
      <c r="A1373" t="s">
        <v>943</v>
      </c>
      <c r="B1373" t="s">
        <v>1394</v>
      </c>
      <c r="C1373" t="s">
        <v>1648</v>
      </c>
      <c r="D1373" t="s">
        <v>1649</v>
      </c>
      <c r="E1373" t="s">
        <v>817</v>
      </c>
      <c r="F1373" t="s">
        <v>124</v>
      </c>
      <c r="G1373" t="s">
        <v>1388</v>
      </c>
      <c r="H1373" s="8">
        <v>0.04</v>
      </c>
      <c r="I1373" s="2">
        <v>0.45641599999999999</v>
      </c>
      <c r="J1373" s="7" t="s">
        <v>944</v>
      </c>
    </row>
    <row r="1374" spans="1:10" ht="28.5">
      <c r="A1374" t="s">
        <v>943</v>
      </c>
      <c r="B1374" t="s">
        <v>1394</v>
      </c>
      <c r="C1374" t="s">
        <v>1650</v>
      </c>
      <c r="D1374" t="s">
        <v>1651</v>
      </c>
      <c r="E1374" t="s">
        <v>302</v>
      </c>
      <c r="F1374" t="s">
        <v>41</v>
      </c>
      <c r="G1374" t="s">
        <v>1388</v>
      </c>
      <c r="H1374" s="8">
        <v>0.34</v>
      </c>
      <c r="I1374" s="2">
        <v>3.8795359999999999</v>
      </c>
      <c r="J1374" s="7" t="s">
        <v>944</v>
      </c>
    </row>
    <row r="1375" spans="1:10" ht="28.5">
      <c r="A1375" t="s">
        <v>943</v>
      </c>
      <c r="B1375" t="s">
        <v>1394</v>
      </c>
      <c r="C1375" t="s">
        <v>1519</v>
      </c>
      <c r="D1375" t="s">
        <v>1654</v>
      </c>
      <c r="E1375" t="s">
        <v>293</v>
      </c>
      <c r="F1375" t="s">
        <v>108</v>
      </c>
      <c r="G1375" t="s">
        <v>1388</v>
      </c>
      <c r="H1375" s="8">
        <v>0.32</v>
      </c>
      <c r="I1375" s="2">
        <v>3.6513279999999999</v>
      </c>
      <c r="J1375" s="7" t="s">
        <v>944</v>
      </c>
    </row>
    <row r="1376" spans="1:10" ht="28.5">
      <c r="A1376" t="s">
        <v>943</v>
      </c>
      <c r="B1376" t="s">
        <v>1394</v>
      </c>
      <c r="C1376" t="s">
        <v>1664</v>
      </c>
      <c r="D1376" t="s">
        <v>1665</v>
      </c>
      <c r="E1376" t="s">
        <v>539</v>
      </c>
      <c r="F1376" t="s">
        <v>108</v>
      </c>
      <c r="G1376" t="s">
        <v>1388</v>
      </c>
      <c r="H1376" s="8">
        <v>0.17</v>
      </c>
      <c r="I1376" s="2">
        <v>1.9397679999999999</v>
      </c>
      <c r="J1376" s="7" t="s">
        <v>944</v>
      </c>
    </row>
    <row r="1377" spans="1:10" ht="28.5">
      <c r="A1377" t="s">
        <v>943</v>
      </c>
      <c r="B1377" t="s">
        <v>1394</v>
      </c>
      <c r="C1377" t="s">
        <v>1666</v>
      </c>
      <c r="D1377" t="s">
        <v>1667</v>
      </c>
      <c r="E1377" t="s">
        <v>620</v>
      </c>
      <c r="F1377" t="s">
        <v>41</v>
      </c>
      <c r="G1377" t="s">
        <v>1388</v>
      </c>
      <c r="H1377" s="8">
        <v>0.11</v>
      </c>
      <c r="I1377" s="2">
        <v>1.255144</v>
      </c>
      <c r="J1377" s="7" t="s">
        <v>944</v>
      </c>
    </row>
    <row r="1378" spans="1:10" ht="28.5">
      <c r="A1378" t="s">
        <v>943</v>
      </c>
      <c r="B1378" t="s">
        <v>1394</v>
      </c>
      <c r="C1378" t="s">
        <v>1672</v>
      </c>
      <c r="D1378" t="s">
        <v>1673</v>
      </c>
      <c r="E1378" t="s">
        <v>958</v>
      </c>
      <c r="F1378" t="s">
        <v>23</v>
      </c>
      <c r="G1378" t="s">
        <v>1388</v>
      </c>
      <c r="H1378" s="8">
        <v>0.03</v>
      </c>
      <c r="I1378" s="2">
        <v>0.34231200000000001</v>
      </c>
      <c r="J1378" s="7" t="s">
        <v>944</v>
      </c>
    </row>
    <row r="1379" spans="1:10" ht="28.5">
      <c r="A1379" t="s">
        <v>943</v>
      </c>
      <c r="B1379" t="s">
        <v>1394</v>
      </c>
      <c r="C1379" t="s">
        <v>1678</v>
      </c>
      <c r="D1379" t="s">
        <v>1679</v>
      </c>
      <c r="E1379" t="s">
        <v>717</v>
      </c>
      <c r="F1379" t="s">
        <v>108</v>
      </c>
      <c r="G1379" t="s">
        <v>1388</v>
      </c>
      <c r="H1379" s="8">
        <v>0.09</v>
      </c>
      <c r="I1379" s="2">
        <v>1.0269359999999998</v>
      </c>
      <c r="J1379" s="7" t="s">
        <v>944</v>
      </c>
    </row>
    <row r="1380" spans="1:10" ht="28.5">
      <c r="A1380" t="s">
        <v>943</v>
      </c>
      <c r="B1380" t="s">
        <v>1394</v>
      </c>
      <c r="C1380" t="s">
        <v>1682</v>
      </c>
      <c r="D1380" t="s">
        <v>1683</v>
      </c>
      <c r="E1380" t="s">
        <v>633</v>
      </c>
      <c r="F1380" t="s">
        <v>33</v>
      </c>
      <c r="G1380" t="s">
        <v>1388</v>
      </c>
      <c r="H1380" s="8">
        <v>7.0000000000000007E-2</v>
      </c>
      <c r="I1380" s="2">
        <v>0.79872799999999999</v>
      </c>
      <c r="J1380" s="7" t="s">
        <v>944</v>
      </c>
    </row>
    <row r="1381" spans="1:10" ht="28.5">
      <c r="A1381" t="s">
        <v>943</v>
      </c>
      <c r="B1381" t="s">
        <v>1394</v>
      </c>
      <c r="C1381" t="s">
        <v>1688</v>
      </c>
      <c r="D1381" t="s">
        <v>1689</v>
      </c>
      <c r="E1381" t="s">
        <v>182</v>
      </c>
      <c r="F1381" t="s">
        <v>27</v>
      </c>
      <c r="G1381" t="s">
        <v>1388</v>
      </c>
      <c r="H1381" s="8">
        <v>1.53</v>
      </c>
      <c r="I1381" s="2">
        <v>17.457912</v>
      </c>
      <c r="J1381" s="7" t="s">
        <v>944</v>
      </c>
    </row>
    <row r="1382" spans="1:10" ht="28.5">
      <c r="A1382" t="s">
        <v>943</v>
      </c>
      <c r="B1382" t="s">
        <v>1394</v>
      </c>
      <c r="C1382" t="s">
        <v>1719</v>
      </c>
      <c r="D1382" t="s">
        <v>1720</v>
      </c>
      <c r="E1382" t="s">
        <v>956</v>
      </c>
      <c r="F1382" t="s">
        <v>50</v>
      </c>
      <c r="G1382" t="s">
        <v>1388</v>
      </c>
      <c r="H1382" s="8">
        <v>0.04</v>
      </c>
      <c r="I1382" s="2">
        <v>0.45641599999999999</v>
      </c>
      <c r="J1382" s="7" t="s">
        <v>944</v>
      </c>
    </row>
    <row r="1383" spans="1:10" ht="28.5">
      <c r="A1383" t="s">
        <v>943</v>
      </c>
      <c r="B1383" t="s">
        <v>1394</v>
      </c>
      <c r="C1383" t="s">
        <v>1731</v>
      </c>
      <c r="D1383" t="s">
        <v>1732</v>
      </c>
      <c r="E1383" t="s">
        <v>560</v>
      </c>
      <c r="F1383" t="s">
        <v>23</v>
      </c>
      <c r="G1383" t="s">
        <v>1388</v>
      </c>
      <c r="H1383" s="8">
        <v>0.1</v>
      </c>
      <c r="I1383" s="2">
        <v>1.1410400000000001</v>
      </c>
      <c r="J1383" s="7" t="s">
        <v>944</v>
      </c>
    </row>
    <row r="1384" spans="1:10" ht="28.5">
      <c r="A1384" t="s">
        <v>943</v>
      </c>
      <c r="B1384" t="s">
        <v>1394</v>
      </c>
      <c r="C1384" t="s">
        <v>1733</v>
      </c>
      <c r="D1384" t="s">
        <v>1734</v>
      </c>
      <c r="E1384" t="s">
        <v>206</v>
      </c>
      <c r="F1384" t="s">
        <v>23</v>
      </c>
      <c r="G1384" t="s">
        <v>1388</v>
      </c>
      <c r="H1384" s="8">
        <v>0.5</v>
      </c>
      <c r="I1384" s="2">
        <v>5.7051999999999996</v>
      </c>
      <c r="J1384" s="7" t="s">
        <v>944</v>
      </c>
    </row>
    <row r="1385" spans="1:10" ht="28.5">
      <c r="A1385" t="s">
        <v>943</v>
      </c>
      <c r="B1385" t="s">
        <v>1394</v>
      </c>
      <c r="C1385" t="s">
        <v>1735</v>
      </c>
      <c r="D1385" t="s">
        <v>1736</v>
      </c>
      <c r="E1385" t="s">
        <v>709</v>
      </c>
      <c r="F1385" t="s">
        <v>23</v>
      </c>
      <c r="G1385" t="s">
        <v>1388</v>
      </c>
      <c r="H1385" s="8">
        <v>7.0000000000000007E-2</v>
      </c>
      <c r="I1385" s="2">
        <v>0.79872799999999999</v>
      </c>
      <c r="J1385" s="7" t="s">
        <v>944</v>
      </c>
    </row>
    <row r="1386" spans="1:10" ht="28.5">
      <c r="A1386" t="s">
        <v>943</v>
      </c>
      <c r="B1386" t="s">
        <v>1394</v>
      </c>
      <c r="C1386" t="s">
        <v>1739</v>
      </c>
      <c r="D1386" t="s">
        <v>1740</v>
      </c>
      <c r="E1386" t="s">
        <v>711</v>
      </c>
      <c r="F1386" t="s">
        <v>23</v>
      </c>
      <c r="G1386" t="s">
        <v>1388</v>
      </c>
      <c r="H1386" s="8">
        <v>7.0000000000000007E-2</v>
      </c>
      <c r="I1386" s="2">
        <v>0.79872799999999999</v>
      </c>
      <c r="J1386" s="7" t="s">
        <v>944</v>
      </c>
    </row>
    <row r="1387" spans="1:10" ht="28.5">
      <c r="A1387" t="s">
        <v>943</v>
      </c>
      <c r="B1387" t="s">
        <v>1394</v>
      </c>
      <c r="C1387" t="s">
        <v>1741</v>
      </c>
      <c r="D1387" t="s">
        <v>1742</v>
      </c>
      <c r="E1387" t="s">
        <v>190</v>
      </c>
      <c r="F1387" t="s">
        <v>23</v>
      </c>
      <c r="G1387" t="s">
        <v>1388</v>
      </c>
      <c r="H1387" s="8">
        <v>0.76</v>
      </c>
      <c r="I1387" s="2">
        <v>8.6719039999999996</v>
      </c>
      <c r="J1387" s="7" t="s">
        <v>944</v>
      </c>
    </row>
    <row r="1388" spans="1:10" ht="28.5">
      <c r="A1388" t="s">
        <v>943</v>
      </c>
      <c r="B1388" t="s">
        <v>1394</v>
      </c>
      <c r="C1388" t="s">
        <v>1745</v>
      </c>
      <c r="D1388" t="s">
        <v>1746</v>
      </c>
      <c r="E1388" t="s">
        <v>571</v>
      </c>
      <c r="F1388" t="s">
        <v>23</v>
      </c>
      <c r="G1388" t="s">
        <v>1388</v>
      </c>
      <c r="H1388" s="8">
        <v>0.09</v>
      </c>
      <c r="I1388" s="2">
        <v>1.0269359999999998</v>
      </c>
      <c r="J1388" s="7" t="s">
        <v>944</v>
      </c>
    </row>
    <row r="1389" spans="1:10" ht="28.5">
      <c r="A1389" t="s">
        <v>943</v>
      </c>
      <c r="B1389" t="s">
        <v>1394</v>
      </c>
      <c r="C1389" t="s">
        <v>1747</v>
      </c>
      <c r="D1389" t="s">
        <v>1748</v>
      </c>
      <c r="E1389" t="s">
        <v>461</v>
      </c>
      <c r="F1389" t="s">
        <v>23</v>
      </c>
      <c r="G1389" t="s">
        <v>1388</v>
      </c>
      <c r="H1389" s="8">
        <v>0.12</v>
      </c>
      <c r="I1389" s="2">
        <v>1.369248</v>
      </c>
      <c r="J1389" s="7" t="s">
        <v>944</v>
      </c>
    </row>
    <row r="1390" spans="1:10" ht="28.5">
      <c r="A1390" t="s">
        <v>943</v>
      </c>
      <c r="B1390" t="s">
        <v>1394</v>
      </c>
      <c r="C1390" t="s">
        <v>1751</v>
      </c>
      <c r="D1390" t="s">
        <v>1752</v>
      </c>
      <c r="E1390" t="s">
        <v>710</v>
      </c>
      <c r="F1390" t="s">
        <v>23</v>
      </c>
      <c r="G1390" t="s">
        <v>1388</v>
      </c>
      <c r="H1390" s="8">
        <v>7.0000000000000007E-2</v>
      </c>
      <c r="I1390" s="2">
        <v>0.79872799999999999</v>
      </c>
      <c r="J1390" s="7" t="s">
        <v>944</v>
      </c>
    </row>
    <row r="1391" spans="1:10" ht="28.5">
      <c r="A1391" t="s">
        <v>943</v>
      </c>
      <c r="B1391" t="s">
        <v>1394</v>
      </c>
      <c r="C1391" t="s">
        <v>1757</v>
      </c>
      <c r="D1391" t="s">
        <v>1758</v>
      </c>
      <c r="E1391" t="s">
        <v>255</v>
      </c>
      <c r="F1391" t="s">
        <v>23</v>
      </c>
      <c r="G1391" t="s">
        <v>1388</v>
      </c>
      <c r="H1391" s="8">
        <v>0.25</v>
      </c>
      <c r="I1391" s="2">
        <v>2.8525999999999998</v>
      </c>
      <c r="J1391" s="7" t="s">
        <v>944</v>
      </c>
    </row>
    <row r="1392" spans="1:10" ht="28.5">
      <c r="A1392" t="s">
        <v>943</v>
      </c>
      <c r="B1392" t="s">
        <v>1394</v>
      </c>
      <c r="C1392" t="s">
        <v>1761</v>
      </c>
      <c r="D1392" t="s">
        <v>1762</v>
      </c>
      <c r="E1392" t="s">
        <v>211</v>
      </c>
      <c r="F1392" t="s">
        <v>23</v>
      </c>
      <c r="G1392" t="s">
        <v>1388</v>
      </c>
      <c r="H1392" s="8">
        <v>0.57999999999999996</v>
      </c>
      <c r="I1392" s="2">
        <v>6.6180319999999995</v>
      </c>
      <c r="J1392" s="7" t="s">
        <v>944</v>
      </c>
    </row>
    <row r="1393" spans="1:10" ht="28.5">
      <c r="A1393" t="s">
        <v>943</v>
      </c>
      <c r="B1393" t="s">
        <v>1394</v>
      </c>
      <c r="C1393" t="s">
        <v>1767</v>
      </c>
      <c r="D1393" t="s">
        <v>1768</v>
      </c>
      <c r="E1393" t="s">
        <v>339</v>
      </c>
      <c r="F1393" t="s">
        <v>41</v>
      </c>
      <c r="G1393" t="s">
        <v>1388</v>
      </c>
      <c r="H1393" s="8">
        <v>0.2</v>
      </c>
      <c r="I1393" s="2">
        <v>2.2820800000000001</v>
      </c>
      <c r="J1393" s="7" t="s">
        <v>944</v>
      </c>
    </row>
    <row r="1394" spans="1:10" ht="28.5">
      <c r="A1394" t="s">
        <v>943</v>
      </c>
      <c r="B1394" t="s">
        <v>1394</v>
      </c>
      <c r="C1394" t="s">
        <v>1771</v>
      </c>
      <c r="D1394" t="s">
        <v>1772</v>
      </c>
      <c r="E1394" t="s">
        <v>236</v>
      </c>
      <c r="F1394" t="s">
        <v>33</v>
      </c>
      <c r="G1394" t="s">
        <v>1388</v>
      </c>
      <c r="H1394" s="8">
        <v>0.49</v>
      </c>
      <c r="I1394" s="2">
        <v>5.5910960000000003</v>
      </c>
      <c r="J1394" s="7" t="s">
        <v>944</v>
      </c>
    </row>
    <row r="1395" spans="1:10" ht="28.5">
      <c r="A1395" t="s">
        <v>943</v>
      </c>
      <c r="B1395" t="s">
        <v>1394</v>
      </c>
      <c r="C1395" t="s">
        <v>1775</v>
      </c>
      <c r="D1395" t="s">
        <v>1776</v>
      </c>
      <c r="E1395" t="s">
        <v>952</v>
      </c>
      <c r="F1395" t="s">
        <v>27</v>
      </c>
      <c r="G1395" t="s">
        <v>1388</v>
      </c>
      <c r="H1395" s="8">
        <v>0.04</v>
      </c>
      <c r="I1395" s="2">
        <v>0.45641599999999999</v>
      </c>
      <c r="J1395" s="7" t="s">
        <v>944</v>
      </c>
    </row>
    <row r="1396" spans="1:10" ht="28.5">
      <c r="A1396" t="s">
        <v>943</v>
      </c>
      <c r="B1396" t="s">
        <v>1394</v>
      </c>
      <c r="C1396" t="s">
        <v>1779</v>
      </c>
      <c r="D1396" t="s">
        <v>1780</v>
      </c>
      <c r="E1396" t="s">
        <v>342</v>
      </c>
      <c r="F1396" t="s">
        <v>33</v>
      </c>
      <c r="G1396" t="s">
        <v>1388</v>
      </c>
      <c r="H1396" s="8">
        <v>0.22</v>
      </c>
      <c r="I1396" s="2">
        <v>2.5102880000000001</v>
      </c>
      <c r="J1396" s="7" t="s">
        <v>944</v>
      </c>
    </row>
    <row r="1397" spans="1:10" ht="28.5">
      <c r="A1397" t="s">
        <v>943</v>
      </c>
      <c r="B1397" t="s">
        <v>1394</v>
      </c>
      <c r="C1397" t="s">
        <v>1793</v>
      </c>
      <c r="D1397" t="s">
        <v>1794</v>
      </c>
      <c r="E1397" t="s">
        <v>408</v>
      </c>
      <c r="F1397" t="s">
        <v>33</v>
      </c>
      <c r="G1397" t="s">
        <v>1388</v>
      </c>
      <c r="H1397" s="8">
        <v>0.2</v>
      </c>
      <c r="I1397" s="2">
        <v>2.2820800000000001</v>
      </c>
      <c r="J1397" s="7" t="s">
        <v>944</v>
      </c>
    </row>
    <row r="1398" spans="1:10" ht="28.5">
      <c r="A1398" t="s">
        <v>943</v>
      </c>
      <c r="B1398" t="s">
        <v>1394</v>
      </c>
      <c r="C1398" t="s">
        <v>1807</v>
      </c>
      <c r="D1398" t="s">
        <v>1808</v>
      </c>
      <c r="E1398" t="s">
        <v>292</v>
      </c>
      <c r="F1398" t="s">
        <v>38</v>
      </c>
      <c r="G1398" t="s">
        <v>1388</v>
      </c>
      <c r="H1398" s="8">
        <v>0.38</v>
      </c>
      <c r="I1398" s="2">
        <v>4.3359519999999998</v>
      </c>
      <c r="J1398" s="7" t="s">
        <v>944</v>
      </c>
    </row>
    <row r="1399" spans="1:10" ht="28.5">
      <c r="A1399" t="s">
        <v>943</v>
      </c>
      <c r="B1399" t="s">
        <v>1394</v>
      </c>
      <c r="C1399" t="s">
        <v>1809</v>
      </c>
      <c r="D1399" t="s">
        <v>1810</v>
      </c>
      <c r="E1399" t="s">
        <v>198</v>
      </c>
      <c r="F1399" t="s">
        <v>23</v>
      </c>
      <c r="G1399" t="s">
        <v>1388</v>
      </c>
      <c r="H1399" s="8">
        <v>0.79</v>
      </c>
      <c r="I1399" s="2">
        <v>9.0142159999999993</v>
      </c>
      <c r="J1399" s="7" t="s">
        <v>944</v>
      </c>
    </row>
    <row r="1400" spans="1:10" ht="28.5">
      <c r="A1400" t="s">
        <v>943</v>
      </c>
      <c r="B1400" t="s">
        <v>1394</v>
      </c>
      <c r="C1400" t="s">
        <v>1811</v>
      </c>
      <c r="D1400" t="s">
        <v>1812</v>
      </c>
      <c r="E1400" t="s">
        <v>624</v>
      </c>
      <c r="F1400" t="s">
        <v>23</v>
      </c>
      <c r="G1400" t="s">
        <v>1388</v>
      </c>
      <c r="H1400" s="8">
        <v>0.08</v>
      </c>
      <c r="I1400" s="2">
        <v>0.91283199999999998</v>
      </c>
      <c r="J1400" s="7" t="s">
        <v>944</v>
      </c>
    </row>
    <row r="1401" spans="1:10" ht="28.5">
      <c r="A1401" t="s">
        <v>943</v>
      </c>
      <c r="B1401" t="s">
        <v>1394</v>
      </c>
      <c r="C1401" t="s">
        <v>1815</v>
      </c>
      <c r="D1401" t="s">
        <v>1816</v>
      </c>
      <c r="E1401" t="s">
        <v>646</v>
      </c>
      <c r="F1401" t="s">
        <v>41</v>
      </c>
      <c r="G1401" t="s">
        <v>1388</v>
      </c>
      <c r="H1401" s="8">
        <v>0.09</v>
      </c>
      <c r="I1401" s="2">
        <v>1.0269359999999998</v>
      </c>
      <c r="J1401" s="7" t="s">
        <v>944</v>
      </c>
    </row>
    <row r="1402" spans="1:10" ht="28.5">
      <c r="A1402" t="s">
        <v>943</v>
      </c>
      <c r="B1402" t="s">
        <v>1394</v>
      </c>
      <c r="C1402" t="s">
        <v>1815</v>
      </c>
      <c r="D1402" t="s">
        <v>1817</v>
      </c>
      <c r="E1402" t="s">
        <v>1334</v>
      </c>
      <c r="F1402" t="s">
        <v>124</v>
      </c>
      <c r="G1402" t="s">
        <v>1388</v>
      </c>
      <c r="H1402" s="8">
        <v>0.02</v>
      </c>
      <c r="I1402" s="2">
        <v>0.22820799999999999</v>
      </c>
      <c r="J1402" s="7" t="s">
        <v>944</v>
      </c>
    </row>
    <row r="1403" spans="1:10" ht="28.5">
      <c r="A1403" t="s">
        <v>943</v>
      </c>
      <c r="B1403" t="s">
        <v>1394</v>
      </c>
      <c r="C1403" t="s">
        <v>1824</v>
      </c>
      <c r="D1403" t="s">
        <v>1825</v>
      </c>
      <c r="E1403" t="s">
        <v>638</v>
      </c>
      <c r="F1403" t="s">
        <v>50</v>
      </c>
      <c r="G1403" t="s">
        <v>1388</v>
      </c>
      <c r="H1403" s="8">
        <v>0.12</v>
      </c>
      <c r="I1403" s="2">
        <v>1.369248</v>
      </c>
      <c r="J1403" s="7" t="s">
        <v>944</v>
      </c>
    </row>
    <row r="1404" spans="1:10" ht="28.5">
      <c r="A1404" t="s">
        <v>943</v>
      </c>
      <c r="B1404" t="s">
        <v>1394</v>
      </c>
      <c r="C1404" t="s">
        <v>1826</v>
      </c>
      <c r="D1404" t="s">
        <v>1827</v>
      </c>
      <c r="E1404" t="s">
        <v>230</v>
      </c>
      <c r="F1404" t="s">
        <v>124</v>
      </c>
      <c r="G1404" t="s">
        <v>1388</v>
      </c>
      <c r="H1404" s="8">
        <v>0.36</v>
      </c>
      <c r="I1404" s="2">
        <v>4.1077439999999994</v>
      </c>
      <c r="J1404" s="7" t="s">
        <v>944</v>
      </c>
    </row>
    <row r="1405" spans="1:10" ht="28.5">
      <c r="A1405" t="s">
        <v>943</v>
      </c>
      <c r="B1405" t="s">
        <v>1394</v>
      </c>
      <c r="C1405" t="s">
        <v>1828</v>
      </c>
      <c r="D1405" t="s">
        <v>1829</v>
      </c>
      <c r="E1405" t="s">
        <v>634</v>
      </c>
      <c r="F1405" t="s">
        <v>23</v>
      </c>
      <c r="G1405" t="s">
        <v>1388</v>
      </c>
      <c r="H1405" s="8">
        <v>7.0000000000000007E-2</v>
      </c>
      <c r="I1405" s="2">
        <v>0.79872799999999999</v>
      </c>
      <c r="J1405" s="7" t="s">
        <v>944</v>
      </c>
    </row>
    <row r="1406" spans="1:10" ht="28.5">
      <c r="A1406" t="s">
        <v>943</v>
      </c>
      <c r="B1406" t="s">
        <v>1394</v>
      </c>
      <c r="C1406" t="s">
        <v>1832</v>
      </c>
      <c r="D1406" t="s">
        <v>1833</v>
      </c>
      <c r="E1406" t="s">
        <v>937</v>
      </c>
      <c r="F1406" t="s">
        <v>50</v>
      </c>
      <c r="G1406" t="s">
        <v>1388</v>
      </c>
      <c r="H1406" s="8">
        <v>0.05</v>
      </c>
      <c r="I1406" s="2">
        <v>0.57052000000000003</v>
      </c>
      <c r="J1406" s="7" t="s">
        <v>944</v>
      </c>
    </row>
    <row r="1407" spans="1:10" ht="28.5">
      <c r="A1407" t="s">
        <v>943</v>
      </c>
      <c r="B1407" t="s">
        <v>1394</v>
      </c>
      <c r="C1407" t="s">
        <v>1834</v>
      </c>
      <c r="D1407" t="s">
        <v>1835</v>
      </c>
      <c r="E1407" t="s">
        <v>390</v>
      </c>
      <c r="F1407" t="s">
        <v>38</v>
      </c>
      <c r="G1407" t="s">
        <v>1388</v>
      </c>
      <c r="H1407" s="8">
        <v>0.21</v>
      </c>
      <c r="I1407" s="2">
        <v>2.3961839999999999</v>
      </c>
      <c r="J1407" s="7" t="s">
        <v>944</v>
      </c>
    </row>
    <row r="1408" spans="1:10" ht="28.5">
      <c r="A1408" t="s">
        <v>943</v>
      </c>
      <c r="B1408" t="s">
        <v>1394</v>
      </c>
      <c r="C1408" t="s">
        <v>1836</v>
      </c>
      <c r="D1408" t="s">
        <v>1837</v>
      </c>
      <c r="E1408" t="s">
        <v>199</v>
      </c>
      <c r="F1408" t="s">
        <v>33</v>
      </c>
      <c r="G1408" t="s">
        <v>1388</v>
      </c>
      <c r="H1408" s="8">
        <v>0.65</v>
      </c>
      <c r="I1408" s="2">
        <v>7.41676</v>
      </c>
      <c r="J1408" s="7" t="s">
        <v>944</v>
      </c>
    </row>
    <row r="1409" spans="1:10" ht="28.5">
      <c r="A1409" t="s">
        <v>943</v>
      </c>
      <c r="B1409" t="s">
        <v>1394</v>
      </c>
      <c r="C1409" t="s">
        <v>1838</v>
      </c>
      <c r="D1409" t="s">
        <v>1839</v>
      </c>
      <c r="E1409" t="s">
        <v>185</v>
      </c>
      <c r="F1409" t="s">
        <v>108</v>
      </c>
      <c r="G1409" t="s">
        <v>1388</v>
      </c>
      <c r="H1409" s="8">
        <v>1.17</v>
      </c>
      <c r="I1409" s="2">
        <v>13.350167999999998</v>
      </c>
      <c r="J1409" s="7" t="s">
        <v>944</v>
      </c>
    </row>
    <row r="1410" spans="1:10" ht="28.5">
      <c r="A1410" t="s">
        <v>943</v>
      </c>
      <c r="B1410" t="s">
        <v>1394</v>
      </c>
      <c r="C1410" t="s">
        <v>1850</v>
      </c>
      <c r="D1410" t="s">
        <v>1851</v>
      </c>
      <c r="E1410" t="s">
        <v>497</v>
      </c>
      <c r="F1410" t="s">
        <v>27</v>
      </c>
      <c r="G1410" t="s">
        <v>1388</v>
      </c>
      <c r="H1410" s="8">
        <v>0.17</v>
      </c>
      <c r="I1410" s="2">
        <v>1.9397679999999999</v>
      </c>
      <c r="J1410" s="7" t="s">
        <v>944</v>
      </c>
    </row>
    <row r="1411" spans="1:10" ht="28.5">
      <c r="A1411" t="s">
        <v>943</v>
      </c>
      <c r="B1411" t="s">
        <v>1394</v>
      </c>
      <c r="C1411" t="s">
        <v>1769</v>
      </c>
      <c r="D1411" t="s">
        <v>1852</v>
      </c>
      <c r="E1411" t="s">
        <v>545</v>
      </c>
      <c r="F1411" t="s">
        <v>108</v>
      </c>
      <c r="G1411" t="s">
        <v>1388</v>
      </c>
      <c r="H1411" s="8">
        <v>0.14000000000000001</v>
      </c>
      <c r="I1411" s="2">
        <v>1.597456</v>
      </c>
      <c r="J1411" s="7" t="s">
        <v>944</v>
      </c>
    </row>
    <row r="1412" spans="1:10" ht="28.5">
      <c r="A1412" t="s">
        <v>943</v>
      </c>
      <c r="B1412" t="s">
        <v>1394</v>
      </c>
      <c r="C1412" t="s">
        <v>1859</v>
      </c>
      <c r="D1412" t="s">
        <v>1860</v>
      </c>
      <c r="E1412" t="s">
        <v>1333</v>
      </c>
      <c r="F1412" t="s">
        <v>41</v>
      </c>
      <c r="G1412" t="s">
        <v>1388</v>
      </c>
      <c r="H1412" s="8">
        <v>0.02</v>
      </c>
      <c r="I1412" s="2">
        <v>0.22820799999999999</v>
      </c>
      <c r="J1412" s="7" t="s">
        <v>944</v>
      </c>
    </row>
    <row r="1413" spans="1:10" ht="28.5">
      <c r="A1413" t="s">
        <v>943</v>
      </c>
      <c r="B1413" t="s">
        <v>1394</v>
      </c>
      <c r="C1413" t="s">
        <v>1865</v>
      </c>
      <c r="D1413" t="s">
        <v>1866</v>
      </c>
      <c r="E1413" t="s">
        <v>394</v>
      </c>
      <c r="F1413" t="s">
        <v>23</v>
      </c>
      <c r="G1413" t="s">
        <v>1388</v>
      </c>
      <c r="H1413" s="8">
        <v>0.12</v>
      </c>
      <c r="I1413" s="2">
        <v>1.369248</v>
      </c>
      <c r="J1413" s="7" t="s">
        <v>944</v>
      </c>
    </row>
    <row r="1414" spans="1:10" ht="28.5">
      <c r="A1414" t="s">
        <v>943</v>
      </c>
      <c r="B1414" t="s">
        <v>1394</v>
      </c>
      <c r="C1414" t="s">
        <v>1877</v>
      </c>
      <c r="D1414" t="s">
        <v>1878</v>
      </c>
      <c r="E1414" t="s">
        <v>939</v>
      </c>
      <c r="F1414" t="s">
        <v>38</v>
      </c>
      <c r="G1414" t="s">
        <v>1388</v>
      </c>
      <c r="H1414" s="8">
        <v>0.05</v>
      </c>
      <c r="I1414" s="2">
        <v>0.57052000000000003</v>
      </c>
      <c r="J1414" s="7" t="s">
        <v>944</v>
      </c>
    </row>
    <row r="1415" spans="1:10" ht="28.5">
      <c r="A1415" t="s">
        <v>943</v>
      </c>
      <c r="B1415" t="s">
        <v>1394</v>
      </c>
      <c r="C1415" t="s">
        <v>1881</v>
      </c>
      <c r="D1415" t="s">
        <v>1882</v>
      </c>
      <c r="E1415" t="s">
        <v>275</v>
      </c>
      <c r="F1415" t="s">
        <v>25</v>
      </c>
      <c r="G1415" t="s">
        <v>1388</v>
      </c>
      <c r="H1415" s="8">
        <v>0.43</v>
      </c>
      <c r="I1415" s="2">
        <v>4.9064719999999999</v>
      </c>
      <c r="J1415" s="7" t="s">
        <v>944</v>
      </c>
    </row>
    <row r="1416" spans="1:10" ht="28.5">
      <c r="A1416" t="s">
        <v>943</v>
      </c>
      <c r="B1416" t="s">
        <v>1394</v>
      </c>
      <c r="C1416" t="s">
        <v>1885</v>
      </c>
      <c r="D1416" t="s">
        <v>1886</v>
      </c>
      <c r="E1416" t="s">
        <v>384</v>
      </c>
      <c r="F1416" t="s">
        <v>25</v>
      </c>
      <c r="G1416" t="s">
        <v>1388</v>
      </c>
      <c r="H1416" s="8">
        <v>0.26</v>
      </c>
      <c r="I1416" s="2">
        <v>2.9667039999999996</v>
      </c>
      <c r="J1416" s="7" t="s">
        <v>944</v>
      </c>
    </row>
    <row r="1417" spans="1:10" ht="28.5">
      <c r="A1417" t="s">
        <v>943</v>
      </c>
      <c r="B1417" t="s">
        <v>1394</v>
      </c>
      <c r="C1417" t="s">
        <v>1887</v>
      </c>
      <c r="D1417" t="s">
        <v>1888</v>
      </c>
      <c r="E1417" t="s">
        <v>209</v>
      </c>
      <c r="F1417" t="s">
        <v>23</v>
      </c>
      <c r="G1417" t="s">
        <v>1388</v>
      </c>
      <c r="H1417" s="8">
        <v>0.5</v>
      </c>
      <c r="I1417" s="2">
        <v>5.7051999999999996</v>
      </c>
      <c r="J1417" s="7" t="s">
        <v>944</v>
      </c>
    </row>
    <row r="1418" spans="1:10" ht="28.5">
      <c r="A1418" t="s">
        <v>943</v>
      </c>
      <c r="B1418" t="s">
        <v>1394</v>
      </c>
      <c r="C1418" t="s">
        <v>1907</v>
      </c>
      <c r="D1418" t="s">
        <v>1908</v>
      </c>
      <c r="E1418" t="s">
        <v>540</v>
      </c>
      <c r="F1418" t="s">
        <v>108</v>
      </c>
      <c r="G1418" t="s">
        <v>1388</v>
      </c>
      <c r="H1418" s="8">
        <v>0.17</v>
      </c>
      <c r="I1418" s="2">
        <v>1.9397679999999999</v>
      </c>
      <c r="J1418" s="7" t="s">
        <v>944</v>
      </c>
    </row>
    <row r="1419" spans="1:10" ht="28.5">
      <c r="A1419" t="s">
        <v>943</v>
      </c>
      <c r="B1419" t="s">
        <v>1394</v>
      </c>
      <c r="C1419" t="s">
        <v>1921</v>
      </c>
      <c r="D1419" t="s">
        <v>1922</v>
      </c>
      <c r="E1419" t="s">
        <v>726</v>
      </c>
      <c r="F1419" t="s">
        <v>25</v>
      </c>
      <c r="G1419" t="s">
        <v>1388</v>
      </c>
      <c r="H1419" s="8">
        <v>0.06</v>
      </c>
      <c r="I1419" s="2">
        <v>0.68462400000000001</v>
      </c>
      <c r="J1419" s="7" t="s">
        <v>944</v>
      </c>
    </row>
    <row r="1420" spans="1:10" ht="28.5">
      <c r="A1420" t="s">
        <v>943</v>
      </c>
      <c r="B1420" t="s">
        <v>1394</v>
      </c>
      <c r="C1420" t="s">
        <v>1931</v>
      </c>
      <c r="D1420" t="s">
        <v>1932</v>
      </c>
      <c r="E1420" t="s">
        <v>368</v>
      </c>
      <c r="F1420" t="s">
        <v>33</v>
      </c>
      <c r="G1420" t="s">
        <v>1388</v>
      </c>
      <c r="H1420" s="8">
        <v>0.22</v>
      </c>
      <c r="I1420" s="2">
        <v>2.5102880000000001</v>
      </c>
      <c r="J1420" s="7" t="s">
        <v>944</v>
      </c>
    </row>
    <row r="1421" spans="1:10" ht="28.5">
      <c r="A1421" t="s">
        <v>943</v>
      </c>
      <c r="B1421" t="s">
        <v>1394</v>
      </c>
      <c r="C1421" t="s">
        <v>1935</v>
      </c>
      <c r="D1421" t="s">
        <v>1936</v>
      </c>
      <c r="E1421" t="s">
        <v>347</v>
      </c>
      <c r="F1421" t="s">
        <v>50</v>
      </c>
      <c r="G1421" t="s">
        <v>1388</v>
      </c>
      <c r="H1421" s="8">
        <v>0.3</v>
      </c>
      <c r="I1421" s="2">
        <v>3.4231199999999995</v>
      </c>
      <c r="J1421" s="7" t="s">
        <v>944</v>
      </c>
    </row>
    <row r="1422" spans="1:10" ht="28.5">
      <c r="A1422" t="s">
        <v>943</v>
      </c>
      <c r="B1422" t="s">
        <v>1394</v>
      </c>
      <c r="C1422" t="s">
        <v>1937</v>
      </c>
      <c r="D1422" t="s">
        <v>1938</v>
      </c>
      <c r="E1422" t="s">
        <v>932</v>
      </c>
      <c r="F1422" t="s">
        <v>253</v>
      </c>
      <c r="G1422" t="s">
        <v>1388</v>
      </c>
      <c r="H1422" s="8">
        <v>0.05</v>
      </c>
      <c r="I1422" s="2">
        <v>0.57052000000000003</v>
      </c>
      <c r="J1422" s="7" t="s">
        <v>944</v>
      </c>
    </row>
    <row r="1423" spans="1:10" ht="28.5">
      <c r="A1423" t="s">
        <v>943</v>
      </c>
      <c r="B1423" t="s">
        <v>1394</v>
      </c>
      <c r="C1423" t="s">
        <v>1941</v>
      </c>
      <c r="D1423" t="s">
        <v>1942</v>
      </c>
      <c r="E1423" t="s">
        <v>569</v>
      </c>
      <c r="F1423" t="s">
        <v>25</v>
      </c>
      <c r="G1423" t="s">
        <v>1388</v>
      </c>
      <c r="H1423" s="8">
        <v>0.12</v>
      </c>
      <c r="I1423" s="2">
        <v>1.369248</v>
      </c>
      <c r="J1423" s="7" t="s">
        <v>944</v>
      </c>
    </row>
    <row r="1424" spans="1:10" ht="28.5">
      <c r="A1424" t="s">
        <v>943</v>
      </c>
      <c r="B1424" t="s">
        <v>1394</v>
      </c>
      <c r="C1424" t="s">
        <v>1947</v>
      </c>
      <c r="D1424" t="s">
        <v>1948</v>
      </c>
      <c r="E1424" t="s">
        <v>506</v>
      </c>
      <c r="F1424" t="s">
        <v>27</v>
      </c>
      <c r="G1424" t="s">
        <v>1388</v>
      </c>
      <c r="H1424" s="8">
        <v>0.19</v>
      </c>
      <c r="I1424" s="2">
        <v>2.1679759999999999</v>
      </c>
      <c r="J1424" s="7" t="s">
        <v>944</v>
      </c>
    </row>
    <row r="1425" spans="1:10" ht="28.5">
      <c r="A1425" t="s">
        <v>943</v>
      </c>
      <c r="B1425" t="s">
        <v>1394</v>
      </c>
      <c r="C1425" t="s">
        <v>1949</v>
      </c>
      <c r="D1425" t="s">
        <v>1950</v>
      </c>
      <c r="E1425" t="s">
        <v>931</v>
      </c>
      <c r="F1425" t="s">
        <v>25</v>
      </c>
      <c r="G1425" t="s">
        <v>1388</v>
      </c>
      <c r="H1425" s="8">
        <v>0.05</v>
      </c>
      <c r="I1425" s="2">
        <v>0.57052000000000003</v>
      </c>
      <c r="J1425" s="7" t="s">
        <v>944</v>
      </c>
    </row>
    <row r="1426" spans="1:10" ht="28.5">
      <c r="A1426" t="s">
        <v>943</v>
      </c>
      <c r="B1426" t="s">
        <v>1394</v>
      </c>
      <c r="C1426" t="s">
        <v>1953</v>
      </c>
      <c r="D1426" t="s">
        <v>1954</v>
      </c>
      <c r="E1426" t="s">
        <v>1132</v>
      </c>
      <c r="F1426" t="s">
        <v>253</v>
      </c>
      <c r="G1426" t="s">
        <v>1388</v>
      </c>
      <c r="H1426" s="8">
        <v>0.03</v>
      </c>
      <c r="I1426" s="2">
        <v>0.34231200000000001</v>
      </c>
      <c r="J1426" s="7" t="s">
        <v>944</v>
      </c>
    </row>
    <row r="1427" spans="1:10" ht="28.5">
      <c r="A1427" t="s">
        <v>943</v>
      </c>
      <c r="B1427" t="s">
        <v>1394</v>
      </c>
      <c r="C1427" t="s">
        <v>1955</v>
      </c>
      <c r="D1427" t="s">
        <v>1956</v>
      </c>
      <c r="E1427" t="s">
        <v>964</v>
      </c>
      <c r="F1427" t="s">
        <v>23</v>
      </c>
      <c r="G1427" t="s">
        <v>1388</v>
      </c>
      <c r="H1427" s="8">
        <v>0.03</v>
      </c>
      <c r="I1427" s="2">
        <v>0.34231200000000001</v>
      </c>
      <c r="J1427" s="7" t="s">
        <v>944</v>
      </c>
    </row>
    <row r="1428" spans="1:10" ht="28.5">
      <c r="A1428" t="s">
        <v>943</v>
      </c>
      <c r="B1428" t="s">
        <v>1394</v>
      </c>
      <c r="C1428" t="s">
        <v>1964</v>
      </c>
      <c r="D1428" t="s">
        <v>1965</v>
      </c>
      <c r="E1428" t="s">
        <v>617</v>
      </c>
      <c r="F1428" t="s">
        <v>253</v>
      </c>
      <c r="G1428" t="s">
        <v>1388</v>
      </c>
      <c r="H1428" s="8">
        <v>0.14000000000000001</v>
      </c>
      <c r="I1428" s="2">
        <v>1.597456</v>
      </c>
      <c r="J1428" s="7" t="s">
        <v>944</v>
      </c>
    </row>
    <row r="1429" spans="1:10" ht="28.5">
      <c r="A1429" t="s">
        <v>943</v>
      </c>
      <c r="B1429" t="s">
        <v>1394</v>
      </c>
      <c r="C1429" t="s">
        <v>1972</v>
      </c>
      <c r="D1429" t="s">
        <v>1973</v>
      </c>
      <c r="E1429" t="s">
        <v>221</v>
      </c>
      <c r="F1429" t="s">
        <v>33</v>
      </c>
      <c r="G1429" t="s">
        <v>1388</v>
      </c>
      <c r="H1429" s="8">
        <v>0.54</v>
      </c>
      <c r="I1429" s="2">
        <v>6.1616160000000004</v>
      </c>
      <c r="J1429" s="7" t="s">
        <v>944</v>
      </c>
    </row>
    <row r="1430" spans="1:10" ht="28.5">
      <c r="A1430" t="s">
        <v>943</v>
      </c>
      <c r="B1430" t="s">
        <v>1394</v>
      </c>
      <c r="C1430" t="s">
        <v>1418</v>
      </c>
      <c r="D1430" t="s">
        <v>1419</v>
      </c>
      <c r="E1430" t="s">
        <v>126</v>
      </c>
      <c r="F1430" t="s">
        <v>25</v>
      </c>
      <c r="G1430" t="s">
        <v>1388</v>
      </c>
      <c r="H1430" s="8">
        <v>3.11</v>
      </c>
      <c r="I1430" s="2">
        <v>35.486344000000003</v>
      </c>
      <c r="J1430" s="7" t="s">
        <v>944</v>
      </c>
    </row>
    <row r="1431" spans="1:10" ht="28.5">
      <c r="A1431" t="s">
        <v>943</v>
      </c>
      <c r="B1431" t="s">
        <v>1394</v>
      </c>
      <c r="C1431" t="s">
        <v>1980</v>
      </c>
      <c r="D1431" t="s">
        <v>1981</v>
      </c>
      <c r="E1431" t="s">
        <v>184</v>
      </c>
      <c r="F1431" t="s">
        <v>23</v>
      </c>
      <c r="G1431" t="s">
        <v>1388</v>
      </c>
      <c r="H1431" s="8">
        <v>0.88</v>
      </c>
      <c r="I1431" s="2">
        <v>10.041152</v>
      </c>
      <c r="J1431" s="7" t="s">
        <v>944</v>
      </c>
    </row>
    <row r="1432" spans="1:10" ht="28.5">
      <c r="A1432" t="s">
        <v>943</v>
      </c>
      <c r="B1432" t="s">
        <v>1394</v>
      </c>
      <c r="C1432" t="s">
        <v>1982</v>
      </c>
      <c r="D1432" t="s">
        <v>1983</v>
      </c>
      <c r="E1432" t="s">
        <v>548</v>
      </c>
      <c r="F1432" t="s">
        <v>23</v>
      </c>
      <c r="G1432" t="s">
        <v>1388</v>
      </c>
      <c r="H1432" s="8">
        <v>0.11</v>
      </c>
      <c r="I1432" s="2">
        <v>1.255144</v>
      </c>
      <c r="J1432" s="7" t="s">
        <v>944</v>
      </c>
    </row>
    <row r="1433" spans="1:10" ht="28.5">
      <c r="A1433" t="s">
        <v>943</v>
      </c>
      <c r="B1433" t="s">
        <v>1394</v>
      </c>
      <c r="C1433" t="s">
        <v>1984</v>
      </c>
      <c r="D1433" t="s">
        <v>1985</v>
      </c>
      <c r="E1433" t="s">
        <v>635</v>
      </c>
      <c r="F1433" t="s">
        <v>263</v>
      </c>
      <c r="G1433" t="s">
        <v>1388</v>
      </c>
      <c r="H1433" s="8">
        <v>0.12</v>
      </c>
      <c r="I1433" s="2">
        <v>1.369248</v>
      </c>
      <c r="J1433" s="7" t="s">
        <v>944</v>
      </c>
    </row>
    <row r="1434" spans="1:10" ht="28.5">
      <c r="A1434" t="s">
        <v>943</v>
      </c>
      <c r="B1434" t="s">
        <v>1394</v>
      </c>
      <c r="C1434" t="s">
        <v>1986</v>
      </c>
      <c r="D1434" t="s">
        <v>1987</v>
      </c>
      <c r="E1434" t="s">
        <v>268</v>
      </c>
      <c r="F1434" t="s">
        <v>50</v>
      </c>
      <c r="G1434" t="s">
        <v>1388</v>
      </c>
      <c r="H1434" s="8">
        <v>0.45</v>
      </c>
      <c r="I1434" s="2">
        <v>5.1346799999999995</v>
      </c>
      <c r="J1434" s="7" t="s">
        <v>944</v>
      </c>
    </row>
    <row r="1435" spans="1:10" ht="28.5">
      <c r="A1435" t="s">
        <v>943</v>
      </c>
      <c r="B1435" t="s">
        <v>1394</v>
      </c>
      <c r="C1435" t="s">
        <v>1998</v>
      </c>
      <c r="D1435" t="s">
        <v>1999</v>
      </c>
      <c r="E1435" t="s">
        <v>824</v>
      </c>
      <c r="F1435" t="s">
        <v>50</v>
      </c>
      <c r="G1435" t="s">
        <v>1388</v>
      </c>
      <c r="H1435" s="8">
        <v>0.06</v>
      </c>
      <c r="I1435" s="2">
        <v>0.68462400000000001</v>
      </c>
      <c r="J1435" s="7" t="s">
        <v>944</v>
      </c>
    </row>
    <row r="1436" spans="1:10" ht="28.5">
      <c r="A1436" t="s">
        <v>943</v>
      </c>
      <c r="B1436" t="s">
        <v>1394</v>
      </c>
      <c r="C1436" t="s">
        <v>2006</v>
      </c>
      <c r="D1436" t="s">
        <v>2007</v>
      </c>
      <c r="E1436" t="s">
        <v>729</v>
      </c>
      <c r="F1436" t="s">
        <v>41</v>
      </c>
      <c r="G1436" t="s">
        <v>1388</v>
      </c>
      <c r="H1436" s="8">
        <v>0.06</v>
      </c>
      <c r="I1436" s="2">
        <v>0.68462400000000001</v>
      </c>
      <c r="J1436" s="7" t="s">
        <v>944</v>
      </c>
    </row>
    <row r="1437" spans="1:10" ht="28.5">
      <c r="A1437" t="s">
        <v>943</v>
      </c>
      <c r="B1437" t="s">
        <v>1394</v>
      </c>
      <c r="C1437" t="s">
        <v>2008</v>
      </c>
      <c r="D1437" t="s">
        <v>2009</v>
      </c>
      <c r="E1437" t="s">
        <v>346</v>
      </c>
      <c r="F1437" t="s">
        <v>25</v>
      </c>
      <c r="G1437" t="s">
        <v>1388</v>
      </c>
      <c r="H1437" s="8">
        <v>0.3</v>
      </c>
      <c r="I1437" s="2">
        <v>3.4231199999999995</v>
      </c>
      <c r="J1437" s="7" t="s">
        <v>944</v>
      </c>
    </row>
    <row r="1438" spans="1:10" ht="28.5">
      <c r="A1438" t="s">
        <v>943</v>
      </c>
      <c r="B1438" t="s">
        <v>1394</v>
      </c>
      <c r="C1438" t="s">
        <v>2020</v>
      </c>
      <c r="D1438" t="s">
        <v>2021</v>
      </c>
      <c r="E1438" t="s">
        <v>183</v>
      </c>
      <c r="F1438" t="s">
        <v>27</v>
      </c>
      <c r="G1438" t="s">
        <v>1388</v>
      </c>
      <c r="H1438" s="8">
        <v>1.39</v>
      </c>
      <c r="I1438" s="2">
        <v>15.860455999999999</v>
      </c>
      <c r="J1438" s="7" t="s">
        <v>944</v>
      </c>
    </row>
    <row r="1439" spans="1:10" ht="28.5">
      <c r="A1439" t="s">
        <v>943</v>
      </c>
      <c r="B1439" t="s">
        <v>1394</v>
      </c>
      <c r="C1439" t="s">
        <v>2024</v>
      </c>
      <c r="D1439" t="s">
        <v>2025</v>
      </c>
      <c r="E1439" t="s">
        <v>504</v>
      </c>
      <c r="F1439" t="s">
        <v>23</v>
      </c>
      <c r="G1439" t="s">
        <v>1388</v>
      </c>
      <c r="H1439" s="8">
        <v>0.11</v>
      </c>
      <c r="I1439" s="2">
        <v>1.255144</v>
      </c>
      <c r="J1439" s="7" t="s">
        <v>944</v>
      </c>
    </row>
    <row r="1440" spans="1:10" ht="28.5">
      <c r="A1440" t="s">
        <v>943</v>
      </c>
      <c r="B1440" t="s">
        <v>1394</v>
      </c>
      <c r="C1440" t="s">
        <v>2028</v>
      </c>
      <c r="D1440" t="s">
        <v>2029</v>
      </c>
      <c r="E1440" t="s">
        <v>284</v>
      </c>
      <c r="F1440" t="s">
        <v>50</v>
      </c>
      <c r="G1440" t="s">
        <v>1388</v>
      </c>
      <c r="H1440" s="8">
        <v>0.37</v>
      </c>
      <c r="I1440" s="2">
        <v>4.2218479999999996</v>
      </c>
      <c r="J1440" s="7" t="s">
        <v>944</v>
      </c>
    </row>
    <row r="1441" spans="1:10" ht="28.5">
      <c r="A1441" t="s">
        <v>943</v>
      </c>
      <c r="B1441" t="s">
        <v>1394</v>
      </c>
      <c r="C1441" t="s">
        <v>2049</v>
      </c>
      <c r="D1441" t="s">
        <v>2050</v>
      </c>
      <c r="E1441" t="s">
        <v>795</v>
      </c>
      <c r="F1441" t="s">
        <v>38</v>
      </c>
      <c r="G1441" t="s">
        <v>1388</v>
      </c>
      <c r="H1441" s="8">
        <v>0.08</v>
      </c>
      <c r="I1441" s="2">
        <v>0.91283199999999998</v>
      </c>
      <c r="J1441" s="7" t="s">
        <v>944</v>
      </c>
    </row>
    <row r="1442" spans="1:10" ht="28.5">
      <c r="A1442" t="s">
        <v>943</v>
      </c>
      <c r="B1442" t="s">
        <v>1394</v>
      </c>
      <c r="C1442" t="s">
        <v>2051</v>
      </c>
      <c r="D1442" t="s">
        <v>2052</v>
      </c>
      <c r="E1442" t="s">
        <v>802</v>
      </c>
      <c r="F1442" t="s">
        <v>33</v>
      </c>
      <c r="G1442" t="s">
        <v>1388</v>
      </c>
      <c r="H1442" s="8">
        <v>0.05</v>
      </c>
      <c r="I1442" s="2">
        <v>0.57052000000000003</v>
      </c>
      <c r="J1442" s="7" t="s">
        <v>944</v>
      </c>
    </row>
    <row r="1443" spans="1:10" ht="28.5">
      <c r="A1443" t="s">
        <v>943</v>
      </c>
      <c r="B1443" t="s">
        <v>1394</v>
      </c>
      <c r="C1443" t="s">
        <v>2055</v>
      </c>
      <c r="D1443" t="s">
        <v>2056</v>
      </c>
      <c r="E1443" t="s">
        <v>829</v>
      </c>
      <c r="F1443" t="s">
        <v>23</v>
      </c>
      <c r="G1443" t="s">
        <v>1388</v>
      </c>
      <c r="H1443" s="8">
        <v>0.06</v>
      </c>
      <c r="I1443" s="2">
        <v>0.68462400000000001</v>
      </c>
      <c r="J1443" s="7" t="s">
        <v>944</v>
      </c>
    </row>
    <row r="1444" spans="1:10" ht="28.5">
      <c r="A1444" t="s">
        <v>943</v>
      </c>
      <c r="B1444" t="s">
        <v>1394</v>
      </c>
      <c r="C1444" t="s">
        <v>2071</v>
      </c>
      <c r="D1444" t="s">
        <v>2072</v>
      </c>
      <c r="E1444" t="s">
        <v>542</v>
      </c>
      <c r="F1444" t="s">
        <v>23</v>
      </c>
      <c r="G1444" t="s">
        <v>1388</v>
      </c>
      <c r="H1444" s="8">
        <v>0.14000000000000001</v>
      </c>
      <c r="I1444" s="2">
        <v>1.597456</v>
      </c>
      <c r="J1444" s="7" t="s">
        <v>944</v>
      </c>
    </row>
    <row r="1445" spans="1:10" ht="28.5">
      <c r="A1445" t="s">
        <v>943</v>
      </c>
      <c r="B1445" t="s">
        <v>1394</v>
      </c>
      <c r="C1445" t="s">
        <v>1899</v>
      </c>
      <c r="D1445" t="s">
        <v>2083</v>
      </c>
      <c r="E1445" t="s">
        <v>451</v>
      </c>
      <c r="F1445" t="s">
        <v>33</v>
      </c>
      <c r="G1445" t="s">
        <v>1388</v>
      </c>
      <c r="H1445" s="8">
        <v>0.13</v>
      </c>
      <c r="I1445" s="2">
        <v>1.4833519999999998</v>
      </c>
      <c r="J1445" s="7" t="s">
        <v>944</v>
      </c>
    </row>
    <row r="1446" spans="1:10" ht="28.5">
      <c r="A1446" t="s">
        <v>943</v>
      </c>
      <c r="B1446" t="s">
        <v>1394</v>
      </c>
      <c r="C1446" t="s">
        <v>2094</v>
      </c>
      <c r="D1446" t="s">
        <v>2095</v>
      </c>
      <c r="E1446" t="s">
        <v>192</v>
      </c>
      <c r="F1446" t="s">
        <v>33</v>
      </c>
      <c r="G1446" t="s">
        <v>1388</v>
      </c>
      <c r="H1446" s="8">
        <v>0.94</v>
      </c>
      <c r="I1446" s="2">
        <v>10.725775999999998</v>
      </c>
      <c r="J1446" s="7" t="s">
        <v>944</v>
      </c>
    </row>
    <row r="1447" spans="1:10" ht="28.5">
      <c r="A1447" t="s">
        <v>943</v>
      </c>
      <c r="B1447" t="s">
        <v>1394</v>
      </c>
      <c r="C1447" t="s">
        <v>2098</v>
      </c>
      <c r="D1447" t="s">
        <v>2099</v>
      </c>
      <c r="E1447" t="s">
        <v>320</v>
      </c>
      <c r="F1447" t="s">
        <v>38</v>
      </c>
      <c r="G1447" t="s">
        <v>1388</v>
      </c>
      <c r="H1447" s="8">
        <v>0.28000000000000003</v>
      </c>
      <c r="I1447" s="2">
        <v>3.194912</v>
      </c>
      <c r="J1447" s="7" t="s">
        <v>944</v>
      </c>
    </row>
    <row r="1448" spans="1:10" ht="28.5">
      <c r="A1448" t="s">
        <v>943</v>
      </c>
      <c r="B1448" t="s">
        <v>1394</v>
      </c>
      <c r="C1448" t="s">
        <v>2100</v>
      </c>
      <c r="D1448" t="s">
        <v>2101</v>
      </c>
      <c r="E1448" t="s">
        <v>719</v>
      </c>
      <c r="F1448" t="s">
        <v>50</v>
      </c>
      <c r="G1448" t="s">
        <v>1388</v>
      </c>
      <c r="H1448" s="8">
        <v>0.09</v>
      </c>
      <c r="I1448" s="2">
        <v>1.0269359999999998</v>
      </c>
      <c r="J1448" s="7" t="s">
        <v>944</v>
      </c>
    </row>
    <row r="1449" spans="1:10" ht="28.5">
      <c r="A1449" t="s">
        <v>943</v>
      </c>
      <c r="B1449" t="s">
        <v>1394</v>
      </c>
      <c r="C1449" t="s">
        <v>2110</v>
      </c>
      <c r="D1449" t="s">
        <v>2111</v>
      </c>
      <c r="E1449" t="s">
        <v>387</v>
      </c>
      <c r="F1449" t="s">
        <v>50</v>
      </c>
      <c r="G1449" t="s">
        <v>1388</v>
      </c>
      <c r="H1449" s="8">
        <v>0.25</v>
      </c>
      <c r="I1449" s="2">
        <v>2.8525999999999998</v>
      </c>
      <c r="J1449" s="7" t="s">
        <v>944</v>
      </c>
    </row>
    <row r="1450" spans="1:10" ht="28.5">
      <c r="A1450" t="s">
        <v>943</v>
      </c>
      <c r="B1450" t="s">
        <v>1394</v>
      </c>
      <c r="C1450" t="s">
        <v>2112</v>
      </c>
      <c r="D1450" t="s">
        <v>2113</v>
      </c>
      <c r="E1450" t="s">
        <v>814</v>
      </c>
      <c r="F1450" t="s">
        <v>263</v>
      </c>
      <c r="G1450" t="s">
        <v>1388</v>
      </c>
      <c r="H1450" s="8">
        <v>7.0000000000000007E-2</v>
      </c>
      <c r="I1450" s="2">
        <v>0.79872799999999999</v>
      </c>
      <c r="J1450" s="7" t="s">
        <v>944</v>
      </c>
    </row>
    <row r="1451" spans="1:10" ht="28.5">
      <c r="A1451" t="s">
        <v>943</v>
      </c>
      <c r="B1451" t="s">
        <v>1394</v>
      </c>
      <c r="C1451" t="s">
        <v>2114</v>
      </c>
      <c r="D1451" t="s">
        <v>2115</v>
      </c>
      <c r="E1451" t="s">
        <v>513</v>
      </c>
      <c r="F1451" t="s">
        <v>263</v>
      </c>
      <c r="G1451" t="s">
        <v>1388</v>
      </c>
      <c r="H1451" s="8">
        <v>0.15</v>
      </c>
      <c r="I1451" s="2">
        <v>1.7115599999999997</v>
      </c>
      <c r="J1451" s="7" t="s">
        <v>944</v>
      </c>
    </row>
    <row r="1452" spans="1:10" ht="28.5">
      <c r="A1452" t="s">
        <v>943</v>
      </c>
      <c r="B1452" t="s">
        <v>1394</v>
      </c>
      <c r="C1452" t="s">
        <v>2116</v>
      </c>
      <c r="D1452" t="s">
        <v>2117</v>
      </c>
      <c r="E1452" t="s">
        <v>816</v>
      </c>
      <c r="F1452" t="s">
        <v>23</v>
      </c>
      <c r="G1452" t="s">
        <v>1388</v>
      </c>
      <c r="H1452" s="8">
        <v>0.04</v>
      </c>
      <c r="I1452" s="2">
        <v>0.45641599999999999</v>
      </c>
      <c r="J1452" s="7" t="s">
        <v>944</v>
      </c>
    </row>
    <row r="1453" spans="1:10" ht="28.5">
      <c r="A1453" t="s">
        <v>943</v>
      </c>
      <c r="B1453" t="s">
        <v>1394</v>
      </c>
      <c r="C1453" t="s">
        <v>2121</v>
      </c>
      <c r="D1453" t="s">
        <v>2122</v>
      </c>
      <c r="E1453" t="s">
        <v>502</v>
      </c>
      <c r="F1453" t="s">
        <v>23</v>
      </c>
      <c r="G1453" t="s">
        <v>1388</v>
      </c>
      <c r="H1453" s="8">
        <v>0.11</v>
      </c>
      <c r="I1453" s="2">
        <v>1.255144</v>
      </c>
      <c r="J1453" s="7" t="s">
        <v>944</v>
      </c>
    </row>
    <row r="1454" spans="1:10" ht="28.5">
      <c r="A1454" t="s">
        <v>943</v>
      </c>
      <c r="B1454" t="s">
        <v>1394</v>
      </c>
      <c r="C1454" t="s">
        <v>2127</v>
      </c>
      <c r="D1454" t="s">
        <v>2128</v>
      </c>
      <c r="E1454" t="s">
        <v>803</v>
      </c>
      <c r="F1454" t="s">
        <v>25</v>
      </c>
      <c r="G1454" t="s">
        <v>1388</v>
      </c>
      <c r="H1454" s="8">
        <v>0.05</v>
      </c>
      <c r="I1454" s="2">
        <v>0.57052000000000003</v>
      </c>
      <c r="J1454" s="7" t="s">
        <v>944</v>
      </c>
    </row>
    <row r="1455" spans="1:10" ht="28.5">
      <c r="A1455" t="s">
        <v>943</v>
      </c>
      <c r="B1455" t="s">
        <v>1394</v>
      </c>
      <c r="C1455" t="s">
        <v>2141</v>
      </c>
      <c r="D1455" t="s">
        <v>2142</v>
      </c>
      <c r="E1455" t="s">
        <v>201</v>
      </c>
      <c r="F1455" t="s">
        <v>25</v>
      </c>
      <c r="G1455" t="s">
        <v>1388</v>
      </c>
      <c r="H1455" s="8">
        <v>0.63</v>
      </c>
      <c r="I1455" s="2">
        <v>7.1885519999999996</v>
      </c>
      <c r="J1455" s="7" t="s">
        <v>944</v>
      </c>
    </row>
    <row r="1456" spans="1:10" ht="28.5">
      <c r="A1456" t="s">
        <v>943</v>
      </c>
      <c r="B1456" t="s">
        <v>1394</v>
      </c>
      <c r="C1456" t="s">
        <v>2143</v>
      </c>
      <c r="D1456" t="s">
        <v>2144</v>
      </c>
      <c r="E1456" t="s">
        <v>564</v>
      </c>
      <c r="F1456" t="s">
        <v>50</v>
      </c>
      <c r="G1456" t="s">
        <v>1388</v>
      </c>
      <c r="H1456" s="8">
        <v>0.15</v>
      </c>
      <c r="I1456" s="2">
        <v>1.7115599999999997</v>
      </c>
      <c r="J1456" s="7" t="s">
        <v>944</v>
      </c>
    </row>
    <row r="1457" spans="1:10" ht="28.5">
      <c r="A1457" t="s">
        <v>943</v>
      </c>
      <c r="B1457" t="s">
        <v>1394</v>
      </c>
      <c r="C1457" t="s">
        <v>2146</v>
      </c>
      <c r="D1457" t="s">
        <v>2147</v>
      </c>
      <c r="E1457" t="s">
        <v>415</v>
      </c>
      <c r="F1457" t="s">
        <v>38</v>
      </c>
      <c r="G1457" t="s">
        <v>1388</v>
      </c>
      <c r="H1457" s="8">
        <v>0.19</v>
      </c>
      <c r="I1457" s="2">
        <v>2.1679759999999999</v>
      </c>
      <c r="J1457" s="7" t="s">
        <v>944</v>
      </c>
    </row>
    <row r="1458" spans="1:10" ht="28.5">
      <c r="A1458" t="s">
        <v>943</v>
      </c>
      <c r="B1458" t="s">
        <v>1394</v>
      </c>
      <c r="C1458" t="s">
        <v>2150</v>
      </c>
      <c r="D1458" t="s">
        <v>2151</v>
      </c>
      <c r="E1458" t="s">
        <v>247</v>
      </c>
      <c r="F1458" t="s">
        <v>23</v>
      </c>
      <c r="G1458" t="s">
        <v>1388</v>
      </c>
      <c r="H1458" s="8">
        <v>0.42</v>
      </c>
      <c r="I1458" s="2">
        <v>4.7923679999999997</v>
      </c>
      <c r="J1458" s="7" t="s">
        <v>944</v>
      </c>
    </row>
    <row r="1459" spans="1:10" ht="28.5">
      <c r="A1459" t="s">
        <v>943</v>
      </c>
      <c r="B1459" t="s">
        <v>1394</v>
      </c>
      <c r="C1459" t="s">
        <v>2154</v>
      </c>
      <c r="D1459" t="s">
        <v>2155</v>
      </c>
      <c r="E1459" t="s">
        <v>639</v>
      </c>
      <c r="F1459" t="s">
        <v>50</v>
      </c>
      <c r="G1459" t="s">
        <v>1388</v>
      </c>
      <c r="H1459" s="8">
        <v>0.12</v>
      </c>
      <c r="I1459" s="2">
        <v>1.369248</v>
      </c>
      <c r="J1459" s="7" t="s">
        <v>944</v>
      </c>
    </row>
    <row r="1460" spans="1:10" ht="28.5">
      <c r="A1460" t="s">
        <v>943</v>
      </c>
      <c r="B1460" t="s">
        <v>1394</v>
      </c>
      <c r="C1460" t="s">
        <v>2156</v>
      </c>
      <c r="D1460" t="s">
        <v>2157</v>
      </c>
      <c r="E1460" t="s">
        <v>243</v>
      </c>
      <c r="F1460" t="s">
        <v>50</v>
      </c>
      <c r="G1460" t="s">
        <v>1388</v>
      </c>
      <c r="H1460" s="8">
        <v>0.44</v>
      </c>
      <c r="I1460" s="2">
        <v>5.0205760000000001</v>
      </c>
      <c r="J1460" s="7" t="s">
        <v>944</v>
      </c>
    </row>
    <row r="1461" spans="1:10" ht="28.5">
      <c r="A1461" t="s">
        <v>943</v>
      </c>
      <c r="B1461" t="s">
        <v>1394</v>
      </c>
      <c r="C1461" t="s">
        <v>2160</v>
      </c>
      <c r="D1461" t="s">
        <v>2161</v>
      </c>
      <c r="E1461" t="s">
        <v>369</v>
      </c>
      <c r="F1461" t="s">
        <v>124</v>
      </c>
      <c r="G1461" t="s">
        <v>1388</v>
      </c>
      <c r="H1461" s="8">
        <v>0.19</v>
      </c>
      <c r="I1461" s="2">
        <v>2.1679759999999999</v>
      </c>
      <c r="J1461" s="7" t="s">
        <v>944</v>
      </c>
    </row>
    <row r="1462" spans="1:10" ht="28.5">
      <c r="A1462" t="s">
        <v>943</v>
      </c>
      <c r="B1462" t="s">
        <v>1394</v>
      </c>
      <c r="C1462" t="s">
        <v>2166</v>
      </c>
      <c r="D1462" t="s">
        <v>2167</v>
      </c>
      <c r="E1462" t="s">
        <v>503</v>
      </c>
      <c r="F1462" t="s">
        <v>124</v>
      </c>
      <c r="G1462" t="s">
        <v>1388</v>
      </c>
      <c r="H1462" s="8">
        <v>0.11</v>
      </c>
      <c r="I1462" s="2">
        <v>1.255144</v>
      </c>
      <c r="J1462" s="7" t="s">
        <v>944</v>
      </c>
    </row>
    <row r="1463" spans="1:10" ht="28.5">
      <c r="A1463" t="s">
        <v>943</v>
      </c>
      <c r="B1463" t="s">
        <v>1394</v>
      </c>
      <c r="C1463" t="s">
        <v>2176</v>
      </c>
      <c r="D1463" t="s">
        <v>2177</v>
      </c>
      <c r="E1463" t="s">
        <v>623</v>
      </c>
      <c r="F1463" t="s">
        <v>23</v>
      </c>
      <c r="G1463" t="s">
        <v>1388</v>
      </c>
      <c r="H1463" s="8">
        <v>0.08</v>
      </c>
      <c r="I1463" s="2">
        <v>0.91283199999999998</v>
      </c>
      <c r="J1463" s="7" t="s">
        <v>944</v>
      </c>
    </row>
    <row r="1464" spans="1:10" ht="28.5">
      <c r="A1464" t="s">
        <v>943</v>
      </c>
      <c r="B1464" t="s">
        <v>1394</v>
      </c>
      <c r="C1464" t="s">
        <v>2196</v>
      </c>
      <c r="D1464" t="s">
        <v>2197</v>
      </c>
      <c r="E1464" t="s">
        <v>695</v>
      </c>
      <c r="F1464" t="s">
        <v>41</v>
      </c>
      <c r="G1464" t="s">
        <v>1388</v>
      </c>
      <c r="H1464" s="8">
        <v>0.08</v>
      </c>
      <c r="I1464" s="2">
        <v>0.91283199999999998</v>
      </c>
      <c r="J1464" s="7" t="s">
        <v>944</v>
      </c>
    </row>
    <row r="1465" spans="1:10" ht="28.5">
      <c r="A1465" t="s">
        <v>943</v>
      </c>
      <c r="B1465" t="s">
        <v>1394</v>
      </c>
      <c r="C1465" t="s">
        <v>2206</v>
      </c>
      <c r="D1465" t="s">
        <v>2207</v>
      </c>
      <c r="E1465" t="s">
        <v>454</v>
      </c>
      <c r="F1465" t="s">
        <v>50</v>
      </c>
      <c r="G1465" t="s">
        <v>1388</v>
      </c>
      <c r="H1465" s="8">
        <v>0.18</v>
      </c>
      <c r="I1465" s="2">
        <v>2.0538719999999997</v>
      </c>
      <c r="J1465" s="7" t="s">
        <v>944</v>
      </c>
    </row>
    <row r="1466" spans="1:10" ht="28.5">
      <c r="A1466" t="s">
        <v>943</v>
      </c>
      <c r="B1466" t="s">
        <v>1394</v>
      </c>
      <c r="C1466" t="s">
        <v>2218</v>
      </c>
      <c r="D1466" t="s">
        <v>2219</v>
      </c>
      <c r="E1466" t="s">
        <v>420</v>
      </c>
      <c r="F1466" t="s">
        <v>253</v>
      </c>
      <c r="G1466" t="s">
        <v>1388</v>
      </c>
      <c r="H1466" s="8">
        <v>0.18</v>
      </c>
      <c r="I1466" s="2">
        <v>2.0538719999999997</v>
      </c>
      <c r="J1466" s="7" t="s">
        <v>944</v>
      </c>
    </row>
    <row r="1467" spans="1:10" ht="28.5">
      <c r="A1467" t="s">
        <v>943</v>
      </c>
      <c r="B1467" t="s">
        <v>1394</v>
      </c>
      <c r="C1467" t="s">
        <v>2220</v>
      </c>
      <c r="D1467" t="s">
        <v>2221</v>
      </c>
      <c r="E1467" t="s">
        <v>730</v>
      </c>
      <c r="F1467" t="s">
        <v>253</v>
      </c>
      <c r="G1467" t="s">
        <v>1388</v>
      </c>
      <c r="H1467" s="8">
        <v>0.06</v>
      </c>
      <c r="I1467" s="2">
        <v>0.68462400000000001</v>
      </c>
      <c r="J1467" s="7" t="s">
        <v>944</v>
      </c>
    </row>
    <row r="1468" spans="1:10" ht="28.5">
      <c r="A1468" t="s">
        <v>943</v>
      </c>
      <c r="B1468" t="s">
        <v>1394</v>
      </c>
      <c r="C1468" t="s">
        <v>2226</v>
      </c>
      <c r="D1468" t="s">
        <v>2227</v>
      </c>
      <c r="E1468" t="s">
        <v>704</v>
      </c>
      <c r="F1468" t="s">
        <v>50</v>
      </c>
      <c r="G1468" t="s">
        <v>1388</v>
      </c>
      <c r="H1468" s="8">
        <v>0.1</v>
      </c>
      <c r="I1468" s="2">
        <v>1.1410400000000001</v>
      </c>
      <c r="J1468" s="7" t="s">
        <v>944</v>
      </c>
    </row>
    <row r="1469" spans="1:10" ht="28.5">
      <c r="A1469" t="s">
        <v>943</v>
      </c>
      <c r="B1469" t="s">
        <v>1394</v>
      </c>
      <c r="C1469" t="s">
        <v>2236</v>
      </c>
      <c r="D1469" t="s">
        <v>2237</v>
      </c>
      <c r="E1469" t="s">
        <v>237</v>
      </c>
      <c r="F1469" t="s">
        <v>33</v>
      </c>
      <c r="G1469" t="s">
        <v>1388</v>
      </c>
      <c r="H1469" s="8">
        <v>0.4</v>
      </c>
      <c r="I1469" s="2">
        <v>4.5641600000000002</v>
      </c>
      <c r="J1469" s="7" t="s">
        <v>944</v>
      </c>
    </row>
    <row r="1470" spans="1:10" ht="28.5">
      <c r="A1470" t="s">
        <v>943</v>
      </c>
      <c r="B1470" t="s">
        <v>1394</v>
      </c>
      <c r="C1470" t="s">
        <v>2247</v>
      </c>
      <c r="D1470" t="s">
        <v>2248</v>
      </c>
      <c r="E1470" t="s">
        <v>1128</v>
      </c>
      <c r="F1470" t="s">
        <v>108</v>
      </c>
      <c r="G1470" t="s">
        <v>1388</v>
      </c>
      <c r="H1470" s="8">
        <v>0.02</v>
      </c>
      <c r="I1470" s="2">
        <v>0.22820799999999999</v>
      </c>
      <c r="J1470" s="7" t="s">
        <v>944</v>
      </c>
    </row>
    <row r="1471" spans="1:10" ht="28.5">
      <c r="A1471" t="s">
        <v>943</v>
      </c>
      <c r="B1471" t="s">
        <v>1394</v>
      </c>
      <c r="C1471" t="s">
        <v>2253</v>
      </c>
      <c r="D1471" t="s">
        <v>2254</v>
      </c>
      <c r="E1471" t="s">
        <v>936</v>
      </c>
      <c r="F1471" t="s">
        <v>41</v>
      </c>
      <c r="G1471" t="s">
        <v>1388</v>
      </c>
      <c r="H1471" s="8">
        <v>0.05</v>
      </c>
      <c r="I1471" s="2">
        <v>0.57052000000000003</v>
      </c>
      <c r="J1471" s="7" t="s">
        <v>944</v>
      </c>
    </row>
    <row r="1472" spans="1:10" ht="28.5">
      <c r="A1472" t="s">
        <v>943</v>
      </c>
      <c r="B1472" t="s">
        <v>1394</v>
      </c>
      <c r="C1472" t="s">
        <v>2257</v>
      </c>
      <c r="D1472" t="s">
        <v>2257</v>
      </c>
      <c r="E1472" t="s">
        <v>258</v>
      </c>
      <c r="F1472" t="s">
        <v>253</v>
      </c>
      <c r="G1472" t="s">
        <v>1388</v>
      </c>
      <c r="H1472" s="8">
        <v>0.3</v>
      </c>
      <c r="I1472" s="2">
        <v>3.4231199999999995</v>
      </c>
      <c r="J1472" s="7" t="s">
        <v>944</v>
      </c>
    </row>
    <row r="1473" spans="1:10" ht="28.5">
      <c r="A1473" t="s">
        <v>943</v>
      </c>
      <c r="B1473" t="s">
        <v>1394</v>
      </c>
      <c r="C1473" t="s">
        <v>2258</v>
      </c>
      <c r="D1473" t="s">
        <v>2259</v>
      </c>
      <c r="E1473" t="s">
        <v>565</v>
      </c>
      <c r="F1473" t="s">
        <v>124</v>
      </c>
      <c r="G1473" t="s">
        <v>1388</v>
      </c>
      <c r="H1473" s="8">
        <v>0.12</v>
      </c>
      <c r="I1473" s="2">
        <v>1.369248</v>
      </c>
      <c r="J1473" s="7" t="s">
        <v>944</v>
      </c>
    </row>
    <row r="1474" spans="1:10" ht="28.5">
      <c r="A1474" t="s">
        <v>943</v>
      </c>
      <c r="B1474" t="s">
        <v>1394</v>
      </c>
      <c r="C1474" t="s">
        <v>2260</v>
      </c>
      <c r="D1474" t="s">
        <v>2261</v>
      </c>
      <c r="E1474" t="s">
        <v>294</v>
      </c>
      <c r="F1474" t="s">
        <v>253</v>
      </c>
      <c r="G1474" t="s">
        <v>1388</v>
      </c>
      <c r="H1474" s="8">
        <v>0.27</v>
      </c>
      <c r="I1474" s="2">
        <v>3.0808080000000002</v>
      </c>
      <c r="J1474" s="7" t="s">
        <v>944</v>
      </c>
    </row>
    <row r="1475" spans="1:10" ht="28.5">
      <c r="A1475" t="s">
        <v>943</v>
      </c>
      <c r="B1475" t="s">
        <v>1394</v>
      </c>
      <c r="C1475" t="s">
        <v>2262</v>
      </c>
      <c r="D1475" t="s">
        <v>2262</v>
      </c>
      <c r="E1475" t="s">
        <v>363</v>
      </c>
      <c r="F1475" t="s">
        <v>124</v>
      </c>
      <c r="G1475" t="s">
        <v>1388</v>
      </c>
      <c r="H1475" s="8">
        <v>0.2</v>
      </c>
      <c r="I1475" s="2">
        <v>2.2820800000000001</v>
      </c>
      <c r="J1475" s="7" t="s">
        <v>944</v>
      </c>
    </row>
    <row r="1476" spans="1:10" ht="28.5">
      <c r="A1476" t="s">
        <v>943</v>
      </c>
      <c r="B1476" t="s">
        <v>1394</v>
      </c>
      <c r="C1476" t="s">
        <v>2281</v>
      </c>
      <c r="D1476" t="s">
        <v>2282</v>
      </c>
      <c r="E1476" t="s">
        <v>552</v>
      </c>
      <c r="F1476" t="s">
        <v>124</v>
      </c>
      <c r="G1476" t="s">
        <v>1388</v>
      </c>
      <c r="H1476" s="8">
        <v>0.11</v>
      </c>
      <c r="I1476" s="2">
        <v>1.255144</v>
      </c>
      <c r="J1476" s="7" t="s">
        <v>944</v>
      </c>
    </row>
    <row r="1477" spans="1:10" ht="28.5">
      <c r="A1477" t="s">
        <v>943</v>
      </c>
      <c r="B1477" t="s">
        <v>1394</v>
      </c>
      <c r="C1477" t="s">
        <v>2283</v>
      </c>
      <c r="D1477" t="s">
        <v>2284</v>
      </c>
      <c r="E1477" t="s">
        <v>969</v>
      </c>
      <c r="F1477" t="s">
        <v>41</v>
      </c>
      <c r="G1477" t="s">
        <v>1388</v>
      </c>
      <c r="H1477" s="8">
        <v>0.03</v>
      </c>
      <c r="I1477" s="2">
        <v>0.34231200000000001</v>
      </c>
      <c r="J1477" s="7" t="s">
        <v>944</v>
      </c>
    </row>
    <row r="1478" spans="1:10" ht="28.5">
      <c r="A1478" t="s">
        <v>943</v>
      </c>
      <c r="B1478" t="s">
        <v>1394</v>
      </c>
      <c r="C1478" t="s">
        <v>2287</v>
      </c>
      <c r="D1478" t="s">
        <v>2288</v>
      </c>
      <c r="E1478" t="s">
        <v>325</v>
      </c>
      <c r="F1478" t="s">
        <v>25</v>
      </c>
      <c r="G1478" t="s">
        <v>1388</v>
      </c>
      <c r="H1478" s="8">
        <v>0.3</v>
      </c>
      <c r="I1478" s="2">
        <v>3.4231199999999995</v>
      </c>
      <c r="J1478" s="7" t="s">
        <v>944</v>
      </c>
    </row>
    <row r="1479" spans="1:10" ht="28.5">
      <c r="A1479" t="s">
        <v>943</v>
      </c>
      <c r="B1479" t="s">
        <v>1394</v>
      </c>
      <c r="C1479" t="s">
        <v>2291</v>
      </c>
      <c r="D1479" t="s">
        <v>2292</v>
      </c>
      <c r="E1479" t="s">
        <v>449</v>
      </c>
      <c r="F1479" t="s">
        <v>23</v>
      </c>
      <c r="G1479" t="s">
        <v>1388</v>
      </c>
      <c r="H1479" s="8">
        <v>0.14000000000000001</v>
      </c>
      <c r="I1479" s="2">
        <v>1.597456</v>
      </c>
      <c r="J1479" s="7" t="s">
        <v>944</v>
      </c>
    </row>
    <row r="1480" spans="1:10" ht="28.5">
      <c r="A1480" t="s">
        <v>943</v>
      </c>
      <c r="B1480" t="s">
        <v>1394</v>
      </c>
      <c r="C1480" t="s">
        <v>2297</v>
      </c>
      <c r="D1480" t="s">
        <v>2298</v>
      </c>
      <c r="E1480" t="s">
        <v>727</v>
      </c>
      <c r="F1480" t="s">
        <v>108</v>
      </c>
      <c r="G1480" t="s">
        <v>1388</v>
      </c>
      <c r="H1480" s="8">
        <v>0.06</v>
      </c>
      <c r="I1480" s="2">
        <v>0.68462400000000001</v>
      </c>
      <c r="J1480" s="7" t="s">
        <v>944</v>
      </c>
    </row>
    <row r="1481" spans="1:10" ht="28.5">
      <c r="A1481" t="s">
        <v>943</v>
      </c>
      <c r="B1481" t="s">
        <v>1394</v>
      </c>
      <c r="C1481" t="s">
        <v>2304</v>
      </c>
      <c r="D1481" t="s">
        <v>2305</v>
      </c>
      <c r="E1481" t="s">
        <v>629</v>
      </c>
      <c r="F1481" t="s">
        <v>23</v>
      </c>
      <c r="G1481" t="s">
        <v>1388</v>
      </c>
      <c r="H1481" s="8">
        <v>0.1</v>
      </c>
      <c r="I1481" s="2">
        <v>1.1410400000000001</v>
      </c>
      <c r="J1481" s="7" t="s">
        <v>944</v>
      </c>
    </row>
    <row r="1482" spans="1:10" ht="28.5">
      <c r="A1482" t="s">
        <v>943</v>
      </c>
      <c r="B1482" t="s">
        <v>1394</v>
      </c>
      <c r="C1482" t="s">
        <v>2310</v>
      </c>
      <c r="D1482" t="s">
        <v>2311</v>
      </c>
      <c r="E1482" t="s">
        <v>551</v>
      </c>
      <c r="F1482" t="s">
        <v>253</v>
      </c>
      <c r="G1482" t="s">
        <v>1388</v>
      </c>
      <c r="H1482" s="8">
        <v>0.11</v>
      </c>
      <c r="I1482" s="2">
        <v>1.255144</v>
      </c>
      <c r="J1482" s="7" t="s">
        <v>944</v>
      </c>
    </row>
    <row r="1483" spans="1:10" ht="28.5">
      <c r="A1483" t="s">
        <v>943</v>
      </c>
      <c r="B1483" t="s">
        <v>1394</v>
      </c>
      <c r="C1483" t="s">
        <v>2316</v>
      </c>
      <c r="D1483" t="s">
        <v>2317</v>
      </c>
      <c r="E1483" t="s">
        <v>955</v>
      </c>
      <c r="F1483" t="s">
        <v>41</v>
      </c>
      <c r="G1483" t="s">
        <v>1388</v>
      </c>
      <c r="H1483" s="8">
        <v>0.04</v>
      </c>
      <c r="I1483" s="2">
        <v>0.45641599999999999</v>
      </c>
      <c r="J1483" s="7" t="s">
        <v>944</v>
      </c>
    </row>
    <row r="1484" spans="1:10" ht="28.5">
      <c r="A1484" t="s">
        <v>943</v>
      </c>
      <c r="B1484" t="s">
        <v>1394</v>
      </c>
      <c r="C1484" t="s">
        <v>2318</v>
      </c>
      <c r="D1484" t="s">
        <v>2319</v>
      </c>
      <c r="E1484" t="s">
        <v>422</v>
      </c>
      <c r="F1484" t="s">
        <v>253</v>
      </c>
      <c r="G1484" t="s">
        <v>1388</v>
      </c>
      <c r="H1484" s="8">
        <v>0.12</v>
      </c>
      <c r="I1484" s="2">
        <v>1.369248</v>
      </c>
      <c r="J1484" s="7" t="s">
        <v>944</v>
      </c>
    </row>
    <row r="1485" spans="1:10" ht="28.5">
      <c r="A1485" t="s">
        <v>943</v>
      </c>
      <c r="B1485" t="s">
        <v>1394</v>
      </c>
      <c r="C1485" t="s">
        <v>2320</v>
      </c>
      <c r="D1485" t="s">
        <v>2321</v>
      </c>
      <c r="E1485" t="s">
        <v>1124</v>
      </c>
      <c r="F1485" t="s">
        <v>23</v>
      </c>
      <c r="G1485" t="s">
        <v>1388</v>
      </c>
      <c r="H1485" s="8">
        <v>0.02</v>
      </c>
      <c r="I1485" s="2">
        <v>0.22820799999999999</v>
      </c>
      <c r="J1485" s="7" t="s">
        <v>944</v>
      </c>
    </row>
    <row r="1486" spans="1:10" ht="28.5">
      <c r="A1486" t="s">
        <v>943</v>
      </c>
      <c r="B1486" t="s">
        <v>1394</v>
      </c>
      <c r="C1486" t="s">
        <v>2322</v>
      </c>
      <c r="D1486" t="s">
        <v>2323</v>
      </c>
      <c r="E1486" t="s">
        <v>724</v>
      </c>
      <c r="F1486" t="s">
        <v>124</v>
      </c>
      <c r="G1486" t="s">
        <v>1388</v>
      </c>
      <c r="H1486" s="8">
        <v>0.06</v>
      </c>
      <c r="I1486" s="2">
        <v>0.68462400000000001</v>
      </c>
      <c r="J1486" s="7" t="s">
        <v>944</v>
      </c>
    </row>
    <row r="1487" spans="1:10" ht="28.5">
      <c r="A1487" t="s">
        <v>943</v>
      </c>
      <c r="B1487" t="s">
        <v>1394</v>
      </c>
      <c r="C1487" t="s">
        <v>2332</v>
      </c>
      <c r="D1487" t="s">
        <v>2333</v>
      </c>
      <c r="E1487" t="s">
        <v>421</v>
      </c>
      <c r="F1487" t="s">
        <v>25</v>
      </c>
      <c r="G1487" t="s">
        <v>1388</v>
      </c>
      <c r="H1487" s="8">
        <v>0.18</v>
      </c>
      <c r="I1487" s="2">
        <v>2.0538719999999997</v>
      </c>
      <c r="J1487" s="7" t="s">
        <v>944</v>
      </c>
    </row>
    <row r="1488" spans="1:10" ht="28.5">
      <c r="A1488" t="s">
        <v>943</v>
      </c>
      <c r="B1488" t="s">
        <v>1394</v>
      </c>
      <c r="C1488" t="s">
        <v>2337</v>
      </c>
      <c r="D1488" t="s">
        <v>2338</v>
      </c>
      <c r="E1488" t="s">
        <v>505</v>
      </c>
      <c r="F1488" t="s">
        <v>23</v>
      </c>
      <c r="G1488" t="s">
        <v>1388</v>
      </c>
      <c r="H1488" s="8">
        <v>0.11</v>
      </c>
      <c r="I1488" s="2">
        <v>1.255144</v>
      </c>
      <c r="J1488" s="7" t="s">
        <v>944</v>
      </c>
    </row>
    <row r="1489" spans="1:10" ht="28.5">
      <c r="A1489" t="s">
        <v>943</v>
      </c>
      <c r="B1489" t="s">
        <v>1394</v>
      </c>
      <c r="C1489" t="s">
        <v>2347</v>
      </c>
      <c r="D1489" t="s">
        <v>2348</v>
      </c>
      <c r="E1489" t="s">
        <v>257</v>
      </c>
      <c r="F1489" t="s">
        <v>50</v>
      </c>
      <c r="G1489" t="s">
        <v>1388</v>
      </c>
      <c r="H1489" s="8">
        <v>0.36</v>
      </c>
      <c r="I1489" s="2">
        <v>4.1077439999999994</v>
      </c>
      <c r="J1489" s="7" t="s">
        <v>944</v>
      </c>
    </row>
    <row r="1490" spans="1:10" ht="28.5">
      <c r="A1490" t="s">
        <v>943</v>
      </c>
      <c r="B1490" t="s">
        <v>1394</v>
      </c>
      <c r="C1490" t="s">
        <v>2349</v>
      </c>
      <c r="D1490" t="s">
        <v>2350</v>
      </c>
      <c r="E1490" t="s">
        <v>697</v>
      </c>
      <c r="F1490" t="s">
        <v>50</v>
      </c>
      <c r="G1490" t="s">
        <v>1388</v>
      </c>
      <c r="H1490" s="8">
        <v>0.08</v>
      </c>
      <c r="I1490" s="2">
        <v>0.91283199999999998</v>
      </c>
      <c r="J1490" s="7" t="s">
        <v>944</v>
      </c>
    </row>
    <row r="1491" spans="1:10" ht="28.5">
      <c r="A1491" t="s">
        <v>943</v>
      </c>
      <c r="B1491" t="s">
        <v>1394</v>
      </c>
      <c r="C1491" t="s">
        <v>2359</v>
      </c>
      <c r="D1491" t="s">
        <v>2360</v>
      </c>
      <c r="E1491" t="s">
        <v>707</v>
      </c>
      <c r="F1491" t="s">
        <v>23</v>
      </c>
      <c r="G1491" t="s">
        <v>1388</v>
      </c>
      <c r="H1491" s="8">
        <v>7.0000000000000007E-2</v>
      </c>
      <c r="I1491" s="2">
        <v>0.79872799999999999</v>
      </c>
      <c r="J1491" s="7" t="s">
        <v>944</v>
      </c>
    </row>
    <row r="1492" spans="1:10" ht="28.5">
      <c r="A1492" t="s">
        <v>943</v>
      </c>
      <c r="B1492" t="s">
        <v>1394</v>
      </c>
      <c r="C1492" t="s">
        <v>2367</v>
      </c>
      <c r="D1492" t="s">
        <v>2368</v>
      </c>
      <c r="E1492" t="s">
        <v>728</v>
      </c>
      <c r="F1492" t="s">
        <v>23</v>
      </c>
      <c r="G1492" t="s">
        <v>1388</v>
      </c>
      <c r="H1492" s="8">
        <v>0.06</v>
      </c>
      <c r="I1492" s="2">
        <v>0.68462400000000001</v>
      </c>
      <c r="J1492" s="7" t="s">
        <v>944</v>
      </c>
    </row>
    <row r="1493" spans="1:10" ht="28.5">
      <c r="A1493" t="s">
        <v>943</v>
      </c>
      <c r="B1493" t="s">
        <v>1394</v>
      </c>
      <c r="C1493" t="s">
        <v>2371</v>
      </c>
      <c r="D1493" t="s">
        <v>2372</v>
      </c>
      <c r="E1493" t="s">
        <v>345</v>
      </c>
      <c r="F1493" t="s">
        <v>25</v>
      </c>
      <c r="G1493" t="s">
        <v>1388</v>
      </c>
      <c r="H1493" s="8">
        <v>0.3</v>
      </c>
      <c r="I1493" s="2">
        <v>3.4231199999999995</v>
      </c>
      <c r="J1493" s="7" t="s">
        <v>944</v>
      </c>
    </row>
    <row r="1494" spans="1:10" ht="28.5">
      <c r="A1494" t="s">
        <v>943</v>
      </c>
      <c r="B1494" t="s">
        <v>1394</v>
      </c>
      <c r="C1494" t="s">
        <v>2377</v>
      </c>
      <c r="D1494" t="s">
        <v>2378</v>
      </c>
      <c r="E1494" t="s">
        <v>508</v>
      </c>
      <c r="F1494" t="s">
        <v>23</v>
      </c>
      <c r="G1494" t="s">
        <v>1388</v>
      </c>
      <c r="H1494" s="8">
        <v>0.13</v>
      </c>
      <c r="I1494" s="2">
        <v>1.4833519999999998</v>
      </c>
      <c r="J1494" s="7" t="s">
        <v>944</v>
      </c>
    </row>
    <row r="1495" spans="1:10" ht="28.5">
      <c r="A1495" t="s">
        <v>943</v>
      </c>
      <c r="B1495" t="s">
        <v>1394</v>
      </c>
      <c r="C1495" t="s">
        <v>2385</v>
      </c>
      <c r="D1495" t="s">
        <v>2386</v>
      </c>
      <c r="E1495" t="s">
        <v>224</v>
      </c>
      <c r="F1495" t="s">
        <v>38</v>
      </c>
      <c r="G1495" t="s">
        <v>1388</v>
      </c>
      <c r="H1495" s="8">
        <v>0.57999999999999996</v>
      </c>
      <c r="I1495" s="2">
        <v>6.6180319999999995</v>
      </c>
      <c r="J1495" s="7" t="s">
        <v>944</v>
      </c>
    </row>
    <row r="1496" spans="1:10" ht="28.5">
      <c r="A1496" t="s">
        <v>943</v>
      </c>
      <c r="B1496" t="s">
        <v>1394</v>
      </c>
      <c r="C1496" t="s">
        <v>2387</v>
      </c>
      <c r="D1496" t="s">
        <v>2388</v>
      </c>
      <c r="E1496" t="s">
        <v>641</v>
      </c>
      <c r="F1496" t="s">
        <v>41</v>
      </c>
      <c r="G1496" t="s">
        <v>1388</v>
      </c>
      <c r="H1496" s="8">
        <v>0.09</v>
      </c>
      <c r="I1496" s="2">
        <v>1.0269359999999998</v>
      </c>
      <c r="J1496" s="7" t="s">
        <v>944</v>
      </c>
    </row>
    <row r="1497" spans="1:10" ht="28.5">
      <c r="A1497" t="s">
        <v>943</v>
      </c>
      <c r="B1497" t="s">
        <v>1394</v>
      </c>
      <c r="C1497" t="s">
        <v>2396</v>
      </c>
      <c r="D1497" t="s">
        <v>2397</v>
      </c>
      <c r="E1497" t="s">
        <v>498</v>
      </c>
      <c r="F1497" t="s">
        <v>27</v>
      </c>
      <c r="G1497" t="s">
        <v>1388</v>
      </c>
      <c r="H1497" s="8">
        <v>0.08</v>
      </c>
      <c r="I1497" s="2">
        <v>0.91283199999999998</v>
      </c>
      <c r="J1497" s="7" t="s">
        <v>944</v>
      </c>
    </row>
    <row r="1498" spans="1:10" ht="28.5">
      <c r="A1498" t="s">
        <v>943</v>
      </c>
      <c r="B1498" t="s">
        <v>1394</v>
      </c>
      <c r="C1498" t="s">
        <v>2398</v>
      </c>
      <c r="D1498" t="s">
        <v>2399</v>
      </c>
      <c r="E1498" t="s">
        <v>498</v>
      </c>
      <c r="F1498" t="s">
        <v>27</v>
      </c>
      <c r="G1498" t="s">
        <v>1388</v>
      </c>
      <c r="H1498" s="8">
        <v>0.06</v>
      </c>
      <c r="I1498" s="2">
        <v>0.68462400000000001</v>
      </c>
      <c r="J1498" s="7" t="s">
        <v>944</v>
      </c>
    </row>
    <row r="1499" spans="1:10" ht="28.5">
      <c r="A1499" t="s">
        <v>943</v>
      </c>
      <c r="B1499" t="s">
        <v>1394</v>
      </c>
      <c r="C1499" t="s">
        <v>2404</v>
      </c>
      <c r="D1499" t="s">
        <v>2405</v>
      </c>
      <c r="E1499" t="s">
        <v>716</v>
      </c>
      <c r="F1499" t="s">
        <v>33</v>
      </c>
      <c r="G1499" t="s">
        <v>1388</v>
      </c>
      <c r="H1499" s="8">
        <v>0.09</v>
      </c>
      <c r="I1499" s="2">
        <v>1.0269359999999998</v>
      </c>
      <c r="J1499" s="7" t="s">
        <v>944</v>
      </c>
    </row>
    <row r="1500" spans="1:10" ht="28.5">
      <c r="A1500" t="s">
        <v>943</v>
      </c>
      <c r="B1500" t="s">
        <v>1394</v>
      </c>
      <c r="C1500" t="s">
        <v>2406</v>
      </c>
      <c r="D1500" t="s">
        <v>2407</v>
      </c>
      <c r="E1500" t="s">
        <v>543</v>
      </c>
      <c r="F1500" t="s">
        <v>33</v>
      </c>
      <c r="G1500" t="s">
        <v>1388</v>
      </c>
      <c r="H1500" s="8">
        <v>0.14000000000000001</v>
      </c>
      <c r="I1500" s="2">
        <v>1.597456</v>
      </c>
      <c r="J1500" s="7" t="s">
        <v>944</v>
      </c>
    </row>
    <row r="1501" spans="1:10" ht="28.5">
      <c r="A1501" t="s">
        <v>943</v>
      </c>
      <c r="B1501" t="s">
        <v>1394</v>
      </c>
      <c r="C1501" t="s">
        <v>2412</v>
      </c>
      <c r="D1501" t="s">
        <v>2413</v>
      </c>
      <c r="E1501" t="s">
        <v>823</v>
      </c>
      <c r="F1501" t="s">
        <v>50</v>
      </c>
      <c r="G1501" t="s">
        <v>1388</v>
      </c>
      <c r="H1501" s="8">
        <v>0.06</v>
      </c>
      <c r="I1501" s="2">
        <v>0.68462400000000001</v>
      </c>
      <c r="J1501" s="7" t="s">
        <v>944</v>
      </c>
    </row>
    <row r="1502" spans="1:10" ht="28.5">
      <c r="A1502" t="s">
        <v>943</v>
      </c>
      <c r="B1502" t="s">
        <v>1394</v>
      </c>
      <c r="C1502" t="s">
        <v>2414</v>
      </c>
      <c r="D1502" t="s">
        <v>2415</v>
      </c>
      <c r="E1502" t="s">
        <v>277</v>
      </c>
      <c r="F1502" t="s">
        <v>25</v>
      </c>
      <c r="G1502" t="s">
        <v>1388</v>
      </c>
      <c r="H1502" s="8">
        <v>0.42</v>
      </c>
      <c r="I1502" s="2">
        <v>4.7923679999999997</v>
      </c>
      <c r="J1502" s="7" t="s">
        <v>944</v>
      </c>
    </row>
    <row r="1503" spans="1:10" ht="28.5">
      <c r="A1503" t="s">
        <v>943</v>
      </c>
      <c r="B1503" t="s">
        <v>1394</v>
      </c>
      <c r="C1503" t="s">
        <v>2418</v>
      </c>
      <c r="D1503" t="s">
        <v>2419</v>
      </c>
      <c r="E1503" t="s">
        <v>322</v>
      </c>
      <c r="F1503" t="s">
        <v>25</v>
      </c>
      <c r="G1503" t="s">
        <v>1388</v>
      </c>
      <c r="H1503" s="8">
        <v>0.28000000000000003</v>
      </c>
      <c r="I1503" s="2">
        <v>3.194912</v>
      </c>
      <c r="J1503" s="7" t="s">
        <v>944</v>
      </c>
    </row>
    <row r="1504" spans="1:10" ht="28.5">
      <c r="A1504" t="s">
        <v>943</v>
      </c>
      <c r="B1504" t="s">
        <v>1394</v>
      </c>
      <c r="C1504" t="s">
        <v>2434</v>
      </c>
      <c r="D1504" t="s">
        <v>2435</v>
      </c>
      <c r="E1504" t="s">
        <v>572</v>
      </c>
      <c r="F1504" t="s">
        <v>33</v>
      </c>
      <c r="G1504" t="s">
        <v>1388</v>
      </c>
      <c r="H1504" s="8">
        <v>0.09</v>
      </c>
      <c r="I1504" s="2">
        <v>1.0269359999999998</v>
      </c>
      <c r="J1504" s="7" t="s">
        <v>944</v>
      </c>
    </row>
    <row r="1505" spans="1:10" ht="28.5">
      <c r="A1505" t="s">
        <v>943</v>
      </c>
      <c r="B1505" t="s">
        <v>1394</v>
      </c>
      <c r="C1505" t="s">
        <v>2444</v>
      </c>
      <c r="D1505" t="s">
        <v>2445</v>
      </c>
      <c r="E1505" t="s">
        <v>418</v>
      </c>
      <c r="F1505" t="s">
        <v>25</v>
      </c>
      <c r="G1505" t="s">
        <v>1388</v>
      </c>
      <c r="H1505" s="8">
        <v>0.21</v>
      </c>
      <c r="I1505" s="2">
        <v>2.3961839999999999</v>
      </c>
      <c r="J1505" s="7" t="s">
        <v>944</v>
      </c>
    </row>
    <row r="1506" spans="1:10" ht="28.5">
      <c r="A1506" t="s">
        <v>943</v>
      </c>
      <c r="B1506" t="s">
        <v>1394</v>
      </c>
      <c r="C1506" t="s">
        <v>2448</v>
      </c>
      <c r="D1506" t="s">
        <v>2449</v>
      </c>
      <c r="E1506" t="s">
        <v>642</v>
      </c>
      <c r="F1506" t="s">
        <v>108</v>
      </c>
      <c r="G1506" t="s">
        <v>1388</v>
      </c>
      <c r="H1506" s="8">
        <v>0.09</v>
      </c>
      <c r="I1506" s="2">
        <v>1.0269359999999998</v>
      </c>
      <c r="J1506" s="7" t="s">
        <v>944</v>
      </c>
    </row>
    <row r="1507" spans="1:10" ht="28.5">
      <c r="A1507" t="s">
        <v>943</v>
      </c>
      <c r="B1507" t="s">
        <v>1394</v>
      </c>
      <c r="C1507" t="s">
        <v>2450</v>
      </c>
      <c r="D1507" t="s">
        <v>2451</v>
      </c>
      <c r="E1507" t="s">
        <v>195</v>
      </c>
      <c r="F1507" t="s">
        <v>38</v>
      </c>
      <c r="G1507" t="s">
        <v>1388</v>
      </c>
      <c r="H1507" s="8">
        <v>1.06</v>
      </c>
      <c r="I1507" s="2">
        <v>12.095024</v>
      </c>
      <c r="J1507" s="7" t="s">
        <v>944</v>
      </c>
    </row>
    <row r="1508" spans="1:10" ht="28.5">
      <c r="A1508" t="s">
        <v>943</v>
      </c>
      <c r="B1508" t="s">
        <v>1394</v>
      </c>
      <c r="C1508" t="s">
        <v>2464</v>
      </c>
      <c r="D1508" t="s">
        <v>2465</v>
      </c>
      <c r="E1508" t="s">
        <v>203</v>
      </c>
      <c r="F1508" t="s">
        <v>33</v>
      </c>
      <c r="G1508" t="s">
        <v>1388</v>
      </c>
      <c r="H1508" s="8">
        <v>0.44</v>
      </c>
      <c r="I1508" s="2">
        <v>5.0205760000000001</v>
      </c>
      <c r="J1508" s="7" t="s">
        <v>944</v>
      </c>
    </row>
    <row r="1509" spans="1:10" ht="28.5">
      <c r="A1509" t="s">
        <v>943</v>
      </c>
      <c r="B1509" t="s">
        <v>1394</v>
      </c>
      <c r="C1509" t="s">
        <v>2470</v>
      </c>
      <c r="D1509" t="s">
        <v>2471</v>
      </c>
      <c r="E1509" t="s">
        <v>215</v>
      </c>
      <c r="F1509" t="s">
        <v>33</v>
      </c>
      <c r="G1509" t="s">
        <v>1388</v>
      </c>
      <c r="H1509" s="8">
        <v>0.51</v>
      </c>
      <c r="I1509" s="2">
        <v>5.8193039999999998</v>
      </c>
      <c r="J1509" s="7" t="s">
        <v>944</v>
      </c>
    </row>
    <row r="1510" spans="1:10" ht="28.5">
      <c r="A1510" t="s">
        <v>943</v>
      </c>
      <c r="B1510" t="s">
        <v>1394</v>
      </c>
      <c r="C1510" t="s">
        <v>2474</v>
      </c>
      <c r="D1510" t="s">
        <v>2475</v>
      </c>
      <c r="E1510" t="s">
        <v>511</v>
      </c>
      <c r="F1510" t="s">
        <v>23</v>
      </c>
      <c r="G1510" t="s">
        <v>1388</v>
      </c>
      <c r="H1510" s="8">
        <v>0.15</v>
      </c>
      <c r="I1510" s="2">
        <v>1.7115599999999997</v>
      </c>
      <c r="J1510" s="7" t="s">
        <v>944</v>
      </c>
    </row>
    <row r="1511" spans="1:10" ht="28.5">
      <c r="A1511" t="s">
        <v>943</v>
      </c>
      <c r="B1511" t="s">
        <v>1394</v>
      </c>
      <c r="C1511" t="s">
        <v>2484</v>
      </c>
      <c r="D1511" t="s">
        <v>2485</v>
      </c>
      <c r="E1511" t="s">
        <v>1130</v>
      </c>
      <c r="F1511" t="s">
        <v>23</v>
      </c>
      <c r="G1511" t="s">
        <v>1388</v>
      </c>
      <c r="H1511" s="8">
        <v>0.01</v>
      </c>
      <c r="I1511" s="2">
        <v>0.114104</v>
      </c>
      <c r="J1511" s="7" t="s">
        <v>944</v>
      </c>
    </row>
    <row r="1512" spans="1:10" ht="28.5">
      <c r="A1512" t="s">
        <v>943</v>
      </c>
      <c r="B1512" t="s">
        <v>1394</v>
      </c>
      <c r="C1512" t="s">
        <v>2492</v>
      </c>
      <c r="D1512" t="s">
        <v>2493</v>
      </c>
      <c r="E1512" t="s">
        <v>792</v>
      </c>
      <c r="F1512" t="s">
        <v>50</v>
      </c>
      <c r="G1512" t="s">
        <v>1388</v>
      </c>
      <c r="H1512" s="8">
        <v>0.08</v>
      </c>
      <c r="I1512" s="2">
        <v>0.91283199999999998</v>
      </c>
      <c r="J1512" s="7" t="s">
        <v>944</v>
      </c>
    </row>
    <row r="1513" spans="1:10" ht="28.5">
      <c r="A1513" t="s">
        <v>943</v>
      </c>
      <c r="B1513" t="s">
        <v>1394</v>
      </c>
      <c r="C1513" t="s">
        <v>2500</v>
      </c>
      <c r="D1513" t="s">
        <v>2504</v>
      </c>
      <c r="E1513" t="s">
        <v>514</v>
      </c>
      <c r="F1513" t="s">
        <v>41</v>
      </c>
      <c r="G1513" t="s">
        <v>1388</v>
      </c>
      <c r="H1513" s="8">
        <v>0.12</v>
      </c>
      <c r="I1513" s="2">
        <v>1.369248</v>
      </c>
      <c r="J1513" s="7" t="s">
        <v>944</v>
      </c>
    </row>
    <row r="1514" spans="1:10" ht="28.5">
      <c r="A1514" t="s">
        <v>943</v>
      </c>
      <c r="B1514" t="s">
        <v>1394</v>
      </c>
      <c r="C1514" t="s">
        <v>2505</v>
      </c>
      <c r="D1514" t="s">
        <v>2506</v>
      </c>
      <c r="E1514" t="s">
        <v>827</v>
      </c>
      <c r="F1514" t="s">
        <v>108</v>
      </c>
      <c r="G1514" t="s">
        <v>1388</v>
      </c>
      <c r="H1514" s="8">
        <v>0.06</v>
      </c>
      <c r="I1514" s="2">
        <v>0.68462400000000001</v>
      </c>
      <c r="J1514" s="7" t="s">
        <v>944</v>
      </c>
    </row>
    <row r="1515" spans="1:10" ht="28.5">
      <c r="A1515" t="s">
        <v>943</v>
      </c>
      <c r="B1515" t="s">
        <v>1394</v>
      </c>
      <c r="C1515" t="s">
        <v>2512</v>
      </c>
      <c r="D1515" t="s">
        <v>2513</v>
      </c>
      <c r="E1515" t="s">
        <v>558</v>
      </c>
      <c r="F1515" t="s">
        <v>108</v>
      </c>
      <c r="G1515" t="s">
        <v>1388</v>
      </c>
      <c r="H1515" s="8">
        <v>0.13</v>
      </c>
      <c r="I1515" s="2">
        <v>1.4833519999999998</v>
      </c>
      <c r="J1515" s="7" t="s">
        <v>944</v>
      </c>
    </row>
    <row r="1516" spans="1:10" ht="28.5">
      <c r="A1516" t="s">
        <v>943</v>
      </c>
      <c r="B1516" t="s">
        <v>1394</v>
      </c>
      <c r="C1516" t="s">
        <v>2514</v>
      </c>
      <c r="D1516" t="s">
        <v>2515</v>
      </c>
      <c r="E1516" t="s">
        <v>718</v>
      </c>
      <c r="F1516" t="s">
        <v>108</v>
      </c>
      <c r="G1516" t="s">
        <v>1388</v>
      </c>
      <c r="H1516" s="8">
        <v>0.09</v>
      </c>
      <c r="I1516" s="2">
        <v>1.0269359999999998</v>
      </c>
      <c r="J1516" s="7" t="s">
        <v>944</v>
      </c>
    </row>
    <row r="1517" spans="1:10" ht="28.5">
      <c r="A1517" t="s">
        <v>943</v>
      </c>
      <c r="B1517" t="s">
        <v>1394</v>
      </c>
      <c r="C1517" t="s">
        <v>2524</v>
      </c>
      <c r="D1517" t="s">
        <v>2525</v>
      </c>
      <c r="E1517" t="s">
        <v>193</v>
      </c>
      <c r="F1517" t="s">
        <v>25</v>
      </c>
      <c r="G1517" t="s">
        <v>1388</v>
      </c>
      <c r="H1517" s="8">
        <v>1.17</v>
      </c>
      <c r="I1517" s="2">
        <v>13.350167999999998</v>
      </c>
      <c r="J1517" s="7" t="s">
        <v>944</v>
      </c>
    </row>
    <row r="1518" spans="1:10" ht="28.5">
      <c r="A1518" t="s">
        <v>943</v>
      </c>
      <c r="B1518" t="s">
        <v>1394</v>
      </c>
      <c r="C1518" t="s">
        <v>2528</v>
      </c>
      <c r="D1518" t="s">
        <v>2529</v>
      </c>
      <c r="E1518" t="s">
        <v>1332</v>
      </c>
      <c r="F1518" t="s">
        <v>50</v>
      </c>
      <c r="G1518" t="s">
        <v>1388</v>
      </c>
      <c r="H1518" s="8">
        <v>0.02</v>
      </c>
      <c r="I1518" s="2">
        <v>0.22820799999999999</v>
      </c>
      <c r="J1518" s="7" t="s">
        <v>944</v>
      </c>
    </row>
    <row r="1519" spans="1:10" ht="28.5">
      <c r="A1519" t="s">
        <v>943</v>
      </c>
      <c r="B1519" t="s">
        <v>1394</v>
      </c>
      <c r="C1519" t="s">
        <v>2544</v>
      </c>
      <c r="D1519" t="s">
        <v>2545</v>
      </c>
      <c r="E1519" t="s">
        <v>235</v>
      </c>
      <c r="F1519" t="s">
        <v>38</v>
      </c>
      <c r="G1519" t="s">
        <v>1388</v>
      </c>
      <c r="H1519" s="8">
        <v>0.56000000000000005</v>
      </c>
      <c r="I1519" s="2">
        <v>6.3898239999999999</v>
      </c>
      <c r="J1519" s="7" t="s">
        <v>944</v>
      </c>
    </row>
    <row r="1520" spans="1:10" ht="28.5">
      <c r="A1520" t="s">
        <v>943</v>
      </c>
      <c r="B1520" t="s">
        <v>1394</v>
      </c>
      <c r="C1520" t="s">
        <v>2560</v>
      </c>
      <c r="D1520" t="s">
        <v>2561</v>
      </c>
      <c r="E1520" t="s">
        <v>307</v>
      </c>
      <c r="F1520" t="s">
        <v>25</v>
      </c>
      <c r="G1520" t="s">
        <v>1388</v>
      </c>
      <c r="H1520" s="8">
        <v>0.33</v>
      </c>
      <c r="I1520" s="2">
        <v>3.7654320000000001</v>
      </c>
      <c r="J1520" s="7" t="s">
        <v>944</v>
      </c>
    </row>
    <row r="1521" spans="1:10" ht="28.5">
      <c r="A1521" t="s">
        <v>943</v>
      </c>
      <c r="B1521" t="s">
        <v>1394</v>
      </c>
      <c r="C1521" t="s">
        <v>1430</v>
      </c>
      <c r="D1521" t="s">
        <v>1431</v>
      </c>
      <c r="E1521" t="s">
        <v>36</v>
      </c>
      <c r="F1521" t="s">
        <v>23</v>
      </c>
      <c r="G1521" t="s">
        <v>1388</v>
      </c>
      <c r="H1521" s="8">
        <v>1.01</v>
      </c>
      <c r="I1521" s="2">
        <v>11.524504</v>
      </c>
      <c r="J1521" s="7" t="s">
        <v>944</v>
      </c>
    </row>
    <row r="1522" spans="1:10" ht="28.5">
      <c r="A1522" t="s">
        <v>943</v>
      </c>
      <c r="B1522" t="s">
        <v>1394</v>
      </c>
      <c r="C1522" t="s">
        <v>2564</v>
      </c>
      <c r="D1522" t="s">
        <v>2565</v>
      </c>
      <c r="E1522" t="s">
        <v>833</v>
      </c>
      <c r="F1522" t="s">
        <v>263</v>
      </c>
      <c r="G1522" t="s">
        <v>1388</v>
      </c>
      <c r="H1522" s="8">
        <v>0.06</v>
      </c>
      <c r="I1522" s="2">
        <v>0.68462400000000001</v>
      </c>
      <c r="J1522" s="7" t="s">
        <v>944</v>
      </c>
    </row>
    <row r="1523" spans="1:10" ht="28.5">
      <c r="A1523" t="s">
        <v>943</v>
      </c>
      <c r="B1523" t="s">
        <v>1394</v>
      </c>
      <c r="C1523" t="s">
        <v>2508</v>
      </c>
      <c r="D1523" t="s">
        <v>2568</v>
      </c>
      <c r="E1523" t="s">
        <v>501</v>
      </c>
      <c r="F1523" t="s">
        <v>23</v>
      </c>
      <c r="G1523" t="s">
        <v>1388</v>
      </c>
      <c r="H1523" s="8">
        <v>0.11</v>
      </c>
      <c r="I1523" s="2">
        <v>1.255144</v>
      </c>
      <c r="J1523" s="7" t="s">
        <v>944</v>
      </c>
    </row>
    <row r="1524" spans="1:10" ht="28.5">
      <c r="A1524" t="s">
        <v>943</v>
      </c>
      <c r="B1524" t="s">
        <v>1394</v>
      </c>
      <c r="C1524" t="s">
        <v>2580</v>
      </c>
      <c r="D1524" t="s">
        <v>2581</v>
      </c>
      <c r="E1524" t="s">
        <v>1336</v>
      </c>
      <c r="F1524" t="s">
        <v>41</v>
      </c>
      <c r="G1524" t="s">
        <v>1388</v>
      </c>
      <c r="H1524" s="8">
        <v>0.02</v>
      </c>
      <c r="I1524" s="2">
        <v>0.22820799999999999</v>
      </c>
      <c r="J1524" s="7" t="s">
        <v>944</v>
      </c>
    </row>
    <row r="1525" spans="1:10" ht="28.5">
      <c r="A1525" t="s">
        <v>943</v>
      </c>
      <c r="B1525" t="s">
        <v>1394</v>
      </c>
      <c r="C1525" t="s">
        <v>2582</v>
      </c>
      <c r="D1525" t="s">
        <v>2583</v>
      </c>
      <c r="E1525" t="s">
        <v>951</v>
      </c>
      <c r="F1525" t="s">
        <v>124</v>
      </c>
      <c r="G1525" t="s">
        <v>1388</v>
      </c>
      <c r="H1525" s="8">
        <v>0.04</v>
      </c>
      <c r="I1525" s="2">
        <v>0.45641599999999999</v>
      </c>
      <c r="J1525" s="7" t="s">
        <v>944</v>
      </c>
    </row>
    <row r="1526" spans="1:10" ht="28.5">
      <c r="A1526" t="s">
        <v>943</v>
      </c>
      <c r="B1526" t="s">
        <v>1394</v>
      </c>
      <c r="C1526" t="s">
        <v>2596</v>
      </c>
      <c r="D1526" t="s">
        <v>2597</v>
      </c>
      <c r="E1526" t="s">
        <v>348</v>
      </c>
      <c r="F1526" t="s">
        <v>108</v>
      </c>
      <c r="G1526" t="s">
        <v>1388</v>
      </c>
      <c r="H1526" s="8">
        <v>0.27</v>
      </c>
      <c r="I1526" s="2">
        <v>3.0808080000000002</v>
      </c>
      <c r="J1526" s="7" t="s">
        <v>944</v>
      </c>
    </row>
    <row r="1527" spans="1:10" ht="28.5">
      <c r="A1527" t="s">
        <v>943</v>
      </c>
      <c r="B1527" t="s">
        <v>1394</v>
      </c>
      <c r="C1527" t="s">
        <v>2600</v>
      </c>
      <c r="D1527" t="s">
        <v>2601</v>
      </c>
      <c r="E1527" t="s">
        <v>696</v>
      </c>
      <c r="F1527" t="s">
        <v>33</v>
      </c>
      <c r="G1527" t="s">
        <v>1388</v>
      </c>
      <c r="H1527" s="8">
        <v>0.08</v>
      </c>
      <c r="I1527" s="2">
        <v>0.91283199999999998</v>
      </c>
      <c r="J1527" s="7" t="s">
        <v>944</v>
      </c>
    </row>
    <row r="1528" spans="1:10" ht="28.5">
      <c r="A1528" t="s">
        <v>943</v>
      </c>
      <c r="B1528" t="s">
        <v>1394</v>
      </c>
      <c r="C1528" t="s">
        <v>2606</v>
      </c>
      <c r="D1528" t="s">
        <v>2607</v>
      </c>
      <c r="E1528" t="s">
        <v>967</v>
      </c>
      <c r="F1528" t="s">
        <v>23</v>
      </c>
      <c r="G1528" t="s">
        <v>1388</v>
      </c>
      <c r="H1528" s="8">
        <v>0.03</v>
      </c>
      <c r="I1528" s="2">
        <v>0.34231200000000001</v>
      </c>
      <c r="J1528" s="7" t="s">
        <v>944</v>
      </c>
    </row>
    <row r="1529" spans="1:10" ht="28.5">
      <c r="A1529" t="s">
        <v>943</v>
      </c>
      <c r="B1529" t="s">
        <v>1394</v>
      </c>
      <c r="C1529" t="s">
        <v>2608</v>
      </c>
      <c r="D1529" t="s">
        <v>2609</v>
      </c>
      <c r="E1529" t="s">
        <v>968</v>
      </c>
      <c r="F1529" t="s">
        <v>23</v>
      </c>
      <c r="G1529" t="s">
        <v>1388</v>
      </c>
      <c r="H1529" s="8">
        <v>0.03</v>
      </c>
      <c r="I1529" s="2">
        <v>0.34231200000000001</v>
      </c>
      <c r="J1529" s="7" t="s">
        <v>944</v>
      </c>
    </row>
    <row r="1530" spans="1:10" ht="28.5">
      <c r="A1530" t="s">
        <v>943</v>
      </c>
      <c r="B1530" t="s">
        <v>1394</v>
      </c>
      <c r="C1530" t="s">
        <v>2614</v>
      </c>
      <c r="D1530" t="s">
        <v>2615</v>
      </c>
      <c r="E1530" t="s">
        <v>619</v>
      </c>
      <c r="F1530" t="s">
        <v>27</v>
      </c>
      <c r="G1530" t="s">
        <v>1388</v>
      </c>
      <c r="H1530" s="8">
        <v>0.11</v>
      </c>
      <c r="I1530" s="2">
        <v>1.255144</v>
      </c>
      <c r="J1530" s="7" t="s">
        <v>944</v>
      </c>
    </row>
    <row r="1531" spans="1:10" ht="28.5">
      <c r="A1531" t="s">
        <v>943</v>
      </c>
      <c r="B1531" t="s">
        <v>1394</v>
      </c>
      <c r="C1531" t="s">
        <v>2618</v>
      </c>
      <c r="D1531" t="s">
        <v>2619</v>
      </c>
      <c r="E1531" t="s">
        <v>239</v>
      </c>
      <c r="F1531" t="s">
        <v>23</v>
      </c>
      <c r="G1531" t="s">
        <v>1388</v>
      </c>
      <c r="H1531" s="8">
        <v>0.33</v>
      </c>
      <c r="I1531" s="2">
        <v>3.7654320000000001</v>
      </c>
      <c r="J1531" s="7" t="s">
        <v>944</v>
      </c>
    </row>
    <row r="1532" spans="1:10" ht="28.5">
      <c r="A1532" t="s">
        <v>943</v>
      </c>
      <c r="B1532" t="s">
        <v>1394</v>
      </c>
      <c r="C1532" t="s">
        <v>2622</v>
      </c>
      <c r="D1532" t="s">
        <v>2623</v>
      </c>
      <c r="E1532" t="s">
        <v>618</v>
      </c>
      <c r="F1532" t="s">
        <v>124</v>
      </c>
      <c r="G1532" t="s">
        <v>1388</v>
      </c>
      <c r="H1532" s="8">
        <v>0.11</v>
      </c>
      <c r="I1532" s="2">
        <v>1.255144</v>
      </c>
      <c r="J1532" s="7" t="s">
        <v>944</v>
      </c>
    </row>
    <row r="1533" spans="1:10" ht="28.5">
      <c r="A1533" t="s">
        <v>943</v>
      </c>
      <c r="B1533" t="s">
        <v>1394</v>
      </c>
      <c r="C1533" t="s">
        <v>2572</v>
      </c>
      <c r="D1533" t="s">
        <v>2641</v>
      </c>
      <c r="E1533" t="s">
        <v>705</v>
      </c>
      <c r="F1533" t="s">
        <v>50</v>
      </c>
      <c r="G1533" t="s">
        <v>1388</v>
      </c>
      <c r="H1533" s="8">
        <v>0.1</v>
      </c>
      <c r="I1533" s="2">
        <v>1.1410400000000001</v>
      </c>
      <c r="J1533" s="7" t="s">
        <v>944</v>
      </c>
    </row>
    <row r="1534" spans="1:10" ht="28.5">
      <c r="A1534" t="s">
        <v>943</v>
      </c>
      <c r="B1534" t="s">
        <v>1394</v>
      </c>
      <c r="C1534" t="s">
        <v>2644</v>
      </c>
      <c r="D1534" t="s">
        <v>2645</v>
      </c>
      <c r="E1534" t="s">
        <v>645</v>
      </c>
      <c r="F1534" t="s">
        <v>41</v>
      </c>
      <c r="G1534" t="s">
        <v>1388</v>
      </c>
      <c r="H1534" s="8">
        <v>0.09</v>
      </c>
      <c r="I1534" s="2">
        <v>1.0269359999999998</v>
      </c>
      <c r="J1534" s="7" t="s">
        <v>944</v>
      </c>
    </row>
    <row r="1535" spans="1:10" ht="28.5">
      <c r="A1535" t="s">
        <v>943</v>
      </c>
      <c r="B1535" t="s">
        <v>1394</v>
      </c>
      <c r="C1535" t="s">
        <v>2648</v>
      </c>
      <c r="D1535" t="s">
        <v>2649</v>
      </c>
      <c r="E1535" t="s">
        <v>246</v>
      </c>
      <c r="F1535" t="s">
        <v>23</v>
      </c>
      <c r="G1535" t="s">
        <v>1388</v>
      </c>
      <c r="H1535" s="8">
        <v>0.31</v>
      </c>
      <c r="I1535" s="2">
        <v>3.5372240000000001</v>
      </c>
      <c r="J1535" s="7" t="s">
        <v>944</v>
      </c>
    </row>
    <row r="1536" spans="1:10" ht="28.5">
      <c r="A1536" t="s">
        <v>943</v>
      </c>
      <c r="B1536" t="s">
        <v>1394</v>
      </c>
      <c r="C1536" t="s">
        <v>2660</v>
      </c>
      <c r="D1536" t="s">
        <v>2661</v>
      </c>
      <c r="E1536" t="s">
        <v>971</v>
      </c>
      <c r="F1536" t="s">
        <v>33</v>
      </c>
      <c r="G1536" t="s">
        <v>1388</v>
      </c>
      <c r="H1536" s="8">
        <v>0.03</v>
      </c>
      <c r="I1536" s="2">
        <v>0.34231200000000001</v>
      </c>
      <c r="J1536" s="7" t="s">
        <v>944</v>
      </c>
    </row>
    <row r="1537" spans="1:10" ht="28.5">
      <c r="A1537" t="s">
        <v>943</v>
      </c>
      <c r="B1537" t="s">
        <v>1394</v>
      </c>
      <c r="C1537" t="s">
        <v>2668</v>
      </c>
      <c r="D1537" t="s">
        <v>2669</v>
      </c>
      <c r="E1537" t="s">
        <v>822</v>
      </c>
      <c r="F1537" t="s">
        <v>23</v>
      </c>
      <c r="G1537" t="s">
        <v>1388</v>
      </c>
      <c r="H1537" s="8">
        <v>0.06</v>
      </c>
      <c r="I1537" s="2">
        <v>0.68462400000000001</v>
      </c>
      <c r="J1537" s="7" t="s">
        <v>944</v>
      </c>
    </row>
    <row r="1538" spans="1:10" ht="28.5">
      <c r="A1538" t="s">
        <v>943</v>
      </c>
      <c r="B1538" t="s">
        <v>1394</v>
      </c>
      <c r="C1538" t="s">
        <v>2670</v>
      </c>
      <c r="D1538" t="s">
        <v>2671</v>
      </c>
      <c r="E1538" t="s">
        <v>721</v>
      </c>
      <c r="F1538" t="s">
        <v>38</v>
      </c>
      <c r="G1538" t="s">
        <v>1388</v>
      </c>
      <c r="H1538" s="8">
        <v>0.09</v>
      </c>
      <c r="I1538" s="2">
        <v>1.0269359999999998</v>
      </c>
      <c r="J1538" s="7" t="s">
        <v>944</v>
      </c>
    </row>
    <row r="1539" spans="1:10" ht="28.5">
      <c r="A1539" t="s">
        <v>943</v>
      </c>
      <c r="B1539" t="s">
        <v>1394</v>
      </c>
      <c r="C1539" t="s">
        <v>2674</v>
      </c>
      <c r="D1539" t="s">
        <v>2675</v>
      </c>
      <c r="E1539" t="s">
        <v>229</v>
      </c>
      <c r="F1539" t="s">
        <v>50</v>
      </c>
      <c r="G1539" t="s">
        <v>1388</v>
      </c>
      <c r="H1539" s="8">
        <v>0.51</v>
      </c>
      <c r="I1539" s="2">
        <v>5.8193039999999998</v>
      </c>
      <c r="J1539" s="7" t="s">
        <v>944</v>
      </c>
    </row>
    <row r="1540" spans="1:10" ht="28.5">
      <c r="A1540" t="s">
        <v>943</v>
      </c>
      <c r="B1540" t="s">
        <v>1394</v>
      </c>
      <c r="C1540" t="s">
        <v>2684</v>
      </c>
      <c r="D1540" t="s">
        <v>2685</v>
      </c>
      <c r="E1540" t="s">
        <v>460</v>
      </c>
      <c r="F1540" t="s">
        <v>23</v>
      </c>
      <c r="G1540" t="s">
        <v>1388</v>
      </c>
      <c r="H1540" s="8">
        <v>0.12</v>
      </c>
      <c r="I1540" s="2">
        <v>1.369248</v>
      </c>
      <c r="J1540" s="7" t="s">
        <v>944</v>
      </c>
    </row>
    <row r="1541" spans="1:10" ht="28.5">
      <c r="A1541" t="s">
        <v>943</v>
      </c>
      <c r="B1541" t="s">
        <v>1394</v>
      </c>
      <c r="C1541" t="s">
        <v>2686</v>
      </c>
      <c r="D1541" t="s">
        <v>2687</v>
      </c>
      <c r="E1541" t="s">
        <v>456</v>
      </c>
      <c r="F1541" t="s">
        <v>23</v>
      </c>
      <c r="G1541" t="s">
        <v>1388</v>
      </c>
      <c r="H1541" s="8">
        <v>0.15</v>
      </c>
      <c r="I1541" s="2">
        <v>1.7115599999999997</v>
      </c>
      <c r="J1541" s="7" t="s">
        <v>944</v>
      </c>
    </row>
    <row r="1542" spans="1:10" ht="28.5">
      <c r="A1542" t="s">
        <v>943</v>
      </c>
      <c r="B1542" t="s">
        <v>1394</v>
      </c>
      <c r="C1542" t="s">
        <v>2688</v>
      </c>
      <c r="D1542" t="s">
        <v>2689</v>
      </c>
      <c r="E1542" t="s">
        <v>1134</v>
      </c>
      <c r="F1542" t="s">
        <v>23</v>
      </c>
      <c r="G1542" t="s">
        <v>1388</v>
      </c>
      <c r="H1542" s="8">
        <v>0.03</v>
      </c>
      <c r="I1542" s="2">
        <v>0.34231200000000001</v>
      </c>
      <c r="J1542" s="7" t="s">
        <v>944</v>
      </c>
    </row>
    <row r="1543" spans="1:10" ht="28.5">
      <c r="A1543" t="s">
        <v>943</v>
      </c>
      <c r="B1543" t="s">
        <v>1394</v>
      </c>
      <c r="C1543" t="s">
        <v>2690</v>
      </c>
      <c r="D1543" t="s">
        <v>2691</v>
      </c>
      <c r="E1543" t="s">
        <v>362</v>
      </c>
      <c r="F1543" t="s">
        <v>108</v>
      </c>
      <c r="G1543" t="s">
        <v>1388</v>
      </c>
      <c r="H1543" s="8">
        <v>0.2</v>
      </c>
      <c r="I1543" s="2">
        <v>2.2820800000000001</v>
      </c>
      <c r="J1543" s="7" t="s">
        <v>944</v>
      </c>
    </row>
    <row r="1544" spans="1:10" ht="28.5">
      <c r="A1544" t="s">
        <v>943</v>
      </c>
      <c r="B1544" t="s">
        <v>1394</v>
      </c>
      <c r="C1544" t="s">
        <v>2692</v>
      </c>
      <c r="D1544" t="s">
        <v>2693</v>
      </c>
      <c r="E1544" t="s">
        <v>541</v>
      </c>
      <c r="F1544" t="s">
        <v>50</v>
      </c>
      <c r="G1544" t="s">
        <v>1388</v>
      </c>
      <c r="H1544" s="8">
        <v>0.17</v>
      </c>
      <c r="I1544" s="2">
        <v>1.9397679999999999</v>
      </c>
      <c r="J1544" s="7" t="s">
        <v>944</v>
      </c>
    </row>
    <row r="1545" spans="1:10" ht="28.5">
      <c r="A1545" t="s">
        <v>943</v>
      </c>
      <c r="B1545" t="s">
        <v>1394</v>
      </c>
      <c r="C1545" t="s">
        <v>2698</v>
      </c>
      <c r="D1545" t="s">
        <v>2699</v>
      </c>
      <c r="E1545" t="s">
        <v>798</v>
      </c>
      <c r="F1545" t="s">
        <v>41</v>
      </c>
      <c r="G1545" t="s">
        <v>1388</v>
      </c>
      <c r="H1545" s="8">
        <v>0.08</v>
      </c>
      <c r="I1545" s="2">
        <v>0.91283199999999998</v>
      </c>
      <c r="J1545" s="7" t="s">
        <v>944</v>
      </c>
    </row>
    <row r="1546" spans="1:10" ht="28.5">
      <c r="A1546" t="s">
        <v>943</v>
      </c>
      <c r="B1546" t="s">
        <v>1394</v>
      </c>
      <c r="C1546" t="s">
        <v>2706</v>
      </c>
      <c r="D1546" t="s">
        <v>2707</v>
      </c>
      <c r="E1546" t="s">
        <v>630</v>
      </c>
      <c r="F1546" t="s">
        <v>50</v>
      </c>
      <c r="G1546" t="s">
        <v>1388</v>
      </c>
      <c r="H1546" s="8">
        <v>0.1</v>
      </c>
      <c r="I1546" s="2">
        <v>1.1410400000000001</v>
      </c>
      <c r="J1546" s="7" t="s">
        <v>944</v>
      </c>
    </row>
    <row r="1547" spans="1:10" ht="28.5">
      <c r="A1547" t="s">
        <v>943</v>
      </c>
      <c r="B1547" t="s">
        <v>1394</v>
      </c>
      <c r="C1547" t="s">
        <v>2708</v>
      </c>
      <c r="D1547" t="s">
        <v>2709</v>
      </c>
      <c r="E1547" t="s">
        <v>546</v>
      </c>
      <c r="F1547" t="s">
        <v>253</v>
      </c>
      <c r="G1547" t="s">
        <v>1388</v>
      </c>
      <c r="H1547" s="8">
        <v>0.14000000000000001</v>
      </c>
      <c r="I1547" s="2">
        <v>1.597456</v>
      </c>
      <c r="J1547" s="7" t="s">
        <v>944</v>
      </c>
    </row>
    <row r="1548" spans="1:10" ht="28.5">
      <c r="A1548" t="s">
        <v>943</v>
      </c>
      <c r="B1548" t="s">
        <v>1394</v>
      </c>
      <c r="C1548" t="s">
        <v>2714</v>
      </c>
      <c r="D1548" t="s">
        <v>2715</v>
      </c>
      <c r="E1548" t="s">
        <v>813</v>
      </c>
      <c r="F1548" t="s">
        <v>50</v>
      </c>
      <c r="G1548" t="s">
        <v>1388</v>
      </c>
      <c r="H1548" s="8">
        <v>7.0000000000000007E-2</v>
      </c>
      <c r="I1548" s="2">
        <v>0.79872799999999999</v>
      </c>
      <c r="J1548" s="7" t="s">
        <v>944</v>
      </c>
    </row>
    <row r="1549" spans="1:10" ht="28.5">
      <c r="A1549" t="s">
        <v>943</v>
      </c>
      <c r="B1549" t="s">
        <v>1394</v>
      </c>
      <c r="C1549" t="s">
        <v>2718</v>
      </c>
      <c r="D1549" t="s">
        <v>2719</v>
      </c>
      <c r="E1549" t="s">
        <v>256</v>
      </c>
      <c r="F1549" t="s">
        <v>27</v>
      </c>
      <c r="G1549" t="s">
        <v>1388</v>
      </c>
      <c r="H1549" s="8">
        <v>0.42</v>
      </c>
      <c r="I1549" s="2">
        <v>4.7923679999999997</v>
      </c>
      <c r="J1549" s="7" t="s">
        <v>944</v>
      </c>
    </row>
    <row r="1550" spans="1:10" ht="28.5">
      <c r="A1550" t="s">
        <v>943</v>
      </c>
      <c r="B1550" t="s">
        <v>1394</v>
      </c>
      <c r="C1550" t="s">
        <v>2722</v>
      </c>
      <c r="D1550" t="s">
        <v>2723</v>
      </c>
      <c r="E1550" t="s">
        <v>714</v>
      </c>
      <c r="F1550" t="s">
        <v>50</v>
      </c>
      <c r="G1550" t="s">
        <v>1388</v>
      </c>
      <c r="H1550" s="8">
        <v>0.09</v>
      </c>
      <c r="I1550" s="2">
        <v>1.0269359999999998</v>
      </c>
      <c r="J1550" s="7" t="s">
        <v>944</v>
      </c>
    </row>
    <row r="1551" spans="1:10" ht="28.5">
      <c r="A1551" t="s">
        <v>943</v>
      </c>
      <c r="B1551" t="s">
        <v>1394</v>
      </c>
      <c r="C1551" t="s">
        <v>2730</v>
      </c>
      <c r="D1551" t="s">
        <v>2731</v>
      </c>
      <c r="E1551" t="s">
        <v>324</v>
      </c>
      <c r="F1551" t="s">
        <v>108</v>
      </c>
      <c r="G1551" t="s">
        <v>1388</v>
      </c>
      <c r="H1551" s="8">
        <v>0.25</v>
      </c>
      <c r="I1551" s="2">
        <v>2.8525999999999998</v>
      </c>
      <c r="J1551" s="7" t="s">
        <v>944</v>
      </c>
    </row>
    <row r="1552" spans="1:10" ht="28.5">
      <c r="A1552" t="s">
        <v>943</v>
      </c>
      <c r="B1552" t="s">
        <v>1394</v>
      </c>
      <c r="C1552" t="s">
        <v>2732</v>
      </c>
      <c r="D1552" t="s">
        <v>2733</v>
      </c>
      <c r="E1552" t="s">
        <v>708</v>
      </c>
      <c r="F1552" t="s">
        <v>23</v>
      </c>
      <c r="G1552" t="s">
        <v>1388</v>
      </c>
      <c r="H1552" s="8">
        <v>7.0000000000000007E-2</v>
      </c>
      <c r="I1552" s="2">
        <v>0.79872799999999999</v>
      </c>
      <c r="J1552" s="7" t="s">
        <v>944</v>
      </c>
    </row>
    <row r="1553" spans="1:10" ht="28.5">
      <c r="A1553" t="s">
        <v>943</v>
      </c>
      <c r="B1553" t="s">
        <v>1394</v>
      </c>
      <c r="C1553" t="s">
        <v>2747</v>
      </c>
      <c r="D1553" t="s">
        <v>2748</v>
      </c>
      <c r="E1553" t="s">
        <v>828</v>
      </c>
      <c r="F1553" t="s">
        <v>38</v>
      </c>
      <c r="G1553" t="s">
        <v>1388</v>
      </c>
      <c r="H1553" s="8">
        <v>0.06</v>
      </c>
      <c r="I1553" s="2">
        <v>0.68462400000000001</v>
      </c>
      <c r="J1553" s="7" t="s">
        <v>944</v>
      </c>
    </row>
    <row r="1554" spans="1:10" ht="28.5">
      <c r="A1554" t="s">
        <v>943</v>
      </c>
      <c r="B1554" t="s">
        <v>1394</v>
      </c>
      <c r="C1554" t="s">
        <v>2753</v>
      </c>
      <c r="D1554" t="s">
        <v>2754</v>
      </c>
      <c r="E1554" t="s">
        <v>204</v>
      </c>
      <c r="F1554" t="s">
        <v>25</v>
      </c>
      <c r="G1554" t="s">
        <v>1388</v>
      </c>
      <c r="H1554" s="8">
        <v>0.59</v>
      </c>
      <c r="I1554" s="2">
        <v>6.7321359999999997</v>
      </c>
      <c r="J1554" s="7" t="s">
        <v>944</v>
      </c>
    </row>
    <row r="1555" spans="1:10" ht="28.5">
      <c r="A1555" t="s">
        <v>943</v>
      </c>
      <c r="B1555" t="s">
        <v>1394</v>
      </c>
      <c r="C1555" t="s">
        <v>2755</v>
      </c>
      <c r="D1555" t="s">
        <v>2756</v>
      </c>
      <c r="E1555" t="s">
        <v>559</v>
      </c>
      <c r="F1555" t="s">
        <v>108</v>
      </c>
      <c r="G1555" t="s">
        <v>1388</v>
      </c>
      <c r="H1555" s="8">
        <v>0.13</v>
      </c>
      <c r="I1555" s="2">
        <v>1.4833519999999998</v>
      </c>
      <c r="J1555" s="7" t="s">
        <v>944</v>
      </c>
    </row>
    <row r="1556" spans="1:10" ht="28.5">
      <c r="A1556" t="s">
        <v>943</v>
      </c>
      <c r="B1556" t="s">
        <v>1394</v>
      </c>
      <c r="C1556" t="s">
        <v>2765</v>
      </c>
      <c r="D1556" t="s">
        <v>2766</v>
      </c>
      <c r="E1556" t="s">
        <v>304</v>
      </c>
      <c r="F1556" t="s">
        <v>50</v>
      </c>
      <c r="G1556" t="s">
        <v>1388</v>
      </c>
      <c r="H1556" s="8">
        <v>0.31</v>
      </c>
      <c r="I1556" s="2">
        <v>3.5372240000000001</v>
      </c>
      <c r="J1556" s="7" t="s">
        <v>944</v>
      </c>
    </row>
    <row r="1557" spans="1:10" ht="28.5">
      <c r="A1557" t="s">
        <v>943</v>
      </c>
      <c r="B1557" t="s">
        <v>1394</v>
      </c>
      <c r="C1557" t="s">
        <v>2773</v>
      </c>
      <c r="D1557" t="s">
        <v>2774</v>
      </c>
      <c r="E1557" t="s">
        <v>349</v>
      </c>
      <c r="F1557" t="s">
        <v>108</v>
      </c>
      <c r="G1557" t="s">
        <v>1388</v>
      </c>
      <c r="H1557" s="8">
        <v>0.24</v>
      </c>
      <c r="I1557" s="2">
        <v>2.738496</v>
      </c>
      <c r="J1557" s="7" t="s">
        <v>944</v>
      </c>
    </row>
    <row r="1558" spans="1:10" ht="28.5">
      <c r="A1558" t="s">
        <v>943</v>
      </c>
      <c r="B1558" t="s">
        <v>1394</v>
      </c>
      <c r="C1558" t="s">
        <v>2777</v>
      </c>
      <c r="D1558" t="s">
        <v>2778</v>
      </c>
      <c r="E1558" t="s">
        <v>644</v>
      </c>
      <c r="F1558" t="s">
        <v>33</v>
      </c>
      <c r="G1558" t="s">
        <v>1388</v>
      </c>
      <c r="H1558" s="8">
        <v>0.09</v>
      </c>
      <c r="I1558" s="2">
        <v>1.0269359999999998</v>
      </c>
      <c r="J1558" s="7" t="s">
        <v>944</v>
      </c>
    </row>
    <row r="1559" spans="1:10" ht="28.5">
      <c r="A1559" t="s">
        <v>943</v>
      </c>
      <c r="B1559" t="s">
        <v>1394</v>
      </c>
      <c r="C1559" t="s">
        <v>2779</v>
      </c>
      <c r="D1559" t="s">
        <v>2780</v>
      </c>
      <c r="E1559" t="s">
        <v>291</v>
      </c>
      <c r="F1559" t="s">
        <v>108</v>
      </c>
      <c r="G1559" t="s">
        <v>1388</v>
      </c>
      <c r="H1559" s="8">
        <v>0.38</v>
      </c>
      <c r="I1559" s="2">
        <v>4.3359519999999998</v>
      </c>
      <c r="J1559" s="7" t="s">
        <v>944</v>
      </c>
    </row>
    <row r="1560" spans="1:10" ht="28.5">
      <c r="A1560" t="s">
        <v>943</v>
      </c>
      <c r="B1560" t="s">
        <v>1394</v>
      </c>
      <c r="C1560" t="s">
        <v>2783</v>
      </c>
      <c r="D1560" t="s">
        <v>2784</v>
      </c>
      <c r="E1560" t="s">
        <v>455</v>
      </c>
      <c r="F1560" t="s">
        <v>50</v>
      </c>
      <c r="G1560" t="s">
        <v>1388</v>
      </c>
      <c r="H1560" s="8">
        <v>0.18</v>
      </c>
      <c r="I1560" s="2">
        <v>2.0538719999999997</v>
      </c>
      <c r="J1560" s="7" t="s">
        <v>944</v>
      </c>
    </row>
    <row r="1561" spans="1:10" ht="28.5">
      <c r="A1561" t="s">
        <v>943</v>
      </c>
      <c r="B1561" t="s">
        <v>1394</v>
      </c>
      <c r="C1561" t="s">
        <v>2787</v>
      </c>
      <c r="D1561" t="s">
        <v>2788</v>
      </c>
      <c r="E1561" t="s">
        <v>276</v>
      </c>
      <c r="F1561" t="s">
        <v>25</v>
      </c>
      <c r="G1561" t="s">
        <v>1388</v>
      </c>
      <c r="H1561" s="8">
        <v>0.42</v>
      </c>
      <c r="I1561" s="2">
        <v>4.7923679999999997</v>
      </c>
      <c r="J1561" s="7" t="s">
        <v>944</v>
      </c>
    </row>
    <row r="1562" spans="1:10" ht="28.5">
      <c r="A1562" t="s">
        <v>943</v>
      </c>
      <c r="B1562" t="s">
        <v>1394</v>
      </c>
      <c r="C1562" t="s">
        <v>2789</v>
      </c>
      <c r="D1562" t="s">
        <v>2790</v>
      </c>
      <c r="E1562" t="s">
        <v>1125</v>
      </c>
      <c r="F1562" t="s">
        <v>33</v>
      </c>
      <c r="G1562" t="s">
        <v>1388</v>
      </c>
      <c r="H1562" s="8">
        <v>0.02</v>
      </c>
      <c r="I1562" s="2">
        <v>0.22820799999999999</v>
      </c>
      <c r="J1562" s="7" t="s">
        <v>944</v>
      </c>
    </row>
    <row r="1563" spans="1:10" ht="28.5">
      <c r="A1563" t="s">
        <v>943</v>
      </c>
      <c r="B1563" t="s">
        <v>1394</v>
      </c>
      <c r="C1563" t="s">
        <v>2793</v>
      </c>
      <c r="D1563" t="s">
        <v>2794</v>
      </c>
      <c r="E1563" t="s">
        <v>561</v>
      </c>
      <c r="F1563" t="s">
        <v>33</v>
      </c>
      <c r="G1563" t="s">
        <v>1388</v>
      </c>
      <c r="H1563" s="8">
        <v>0.1</v>
      </c>
      <c r="I1563" s="2">
        <v>1.1410400000000001</v>
      </c>
      <c r="J1563" s="7" t="s">
        <v>944</v>
      </c>
    </row>
    <row r="1564" spans="1:10" ht="28.5">
      <c r="A1564" t="s">
        <v>943</v>
      </c>
      <c r="B1564" t="s">
        <v>1394</v>
      </c>
      <c r="C1564" t="s">
        <v>2813</v>
      </c>
      <c r="D1564" t="s">
        <v>2814</v>
      </c>
      <c r="E1564" t="s">
        <v>512</v>
      </c>
      <c r="F1564" t="s">
        <v>38</v>
      </c>
      <c r="G1564" t="s">
        <v>1388</v>
      </c>
      <c r="H1564" s="8">
        <v>0.15</v>
      </c>
      <c r="I1564" s="2">
        <v>1.7115599999999997</v>
      </c>
      <c r="J1564" s="7" t="s">
        <v>944</v>
      </c>
    </row>
    <row r="1565" spans="1:10" ht="28.5">
      <c r="A1565" t="s">
        <v>943</v>
      </c>
      <c r="B1565" t="s">
        <v>1394</v>
      </c>
      <c r="C1565" t="s">
        <v>2827</v>
      </c>
      <c r="D1565" t="s">
        <v>2828</v>
      </c>
      <c r="E1565" t="s">
        <v>248</v>
      </c>
      <c r="F1565" t="s">
        <v>23</v>
      </c>
      <c r="G1565" t="s">
        <v>1388</v>
      </c>
      <c r="H1565" s="8">
        <v>0.33</v>
      </c>
      <c r="I1565" s="2">
        <v>3.7654320000000001</v>
      </c>
      <c r="J1565" s="7" t="s">
        <v>944</v>
      </c>
    </row>
    <row r="1566" spans="1:10" ht="28.5">
      <c r="A1566" t="s">
        <v>943</v>
      </c>
      <c r="B1566" t="s">
        <v>1394</v>
      </c>
      <c r="C1566" t="s">
        <v>2852</v>
      </c>
      <c r="D1566" t="s">
        <v>2853</v>
      </c>
      <c r="E1566" t="s">
        <v>1337</v>
      </c>
      <c r="F1566" t="s">
        <v>23</v>
      </c>
      <c r="G1566" t="s">
        <v>1388</v>
      </c>
      <c r="H1566" s="8">
        <v>0.01</v>
      </c>
      <c r="I1566" s="2">
        <v>0.114104</v>
      </c>
      <c r="J1566" s="7" t="s">
        <v>944</v>
      </c>
    </row>
    <row r="1567" spans="1:10" ht="28.5">
      <c r="A1567" t="s">
        <v>943</v>
      </c>
      <c r="B1567" t="s">
        <v>1394</v>
      </c>
      <c r="C1567" t="s">
        <v>2858</v>
      </c>
      <c r="D1567" t="s">
        <v>2859</v>
      </c>
      <c r="E1567" t="s">
        <v>830</v>
      </c>
      <c r="F1567" t="s">
        <v>27</v>
      </c>
      <c r="G1567" t="s">
        <v>1388</v>
      </c>
      <c r="H1567" s="8">
        <v>0.06</v>
      </c>
      <c r="I1567" s="2">
        <v>0.68462400000000001</v>
      </c>
      <c r="J1567" s="7" t="s">
        <v>944</v>
      </c>
    </row>
    <row r="1568" spans="1:10" ht="28.5">
      <c r="A1568" t="s">
        <v>943</v>
      </c>
      <c r="B1568" t="s">
        <v>1394</v>
      </c>
      <c r="C1568" t="s">
        <v>2862</v>
      </c>
      <c r="D1568" t="s">
        <v>2863</v>
      </c>
      <c r="E1568" t="s">
        <v>732</v>
      </c>
      <c r="F1568" t="s">
        <v>41</v>
      </c>
      <c r="G1568" t="s">
        <v>1388</v>
      </c>
      <c r="H1568" s="8">
        <v>0.06</v>
      </c>
      <c r="I1568" s="2">
        <v>0.68462400000000001</v>
      </c>
      <c r="J1568" s="7" t="s">
        <v>944</v>
      </c>
    </row>
    <row r="1569" spans="1:10" ht="28.5">
      <c r="A1569" t="s">
        <v>943</v>
      </c>
      <c r="B1569" t="s">
        <v>1394</v>
      </c>
      <c r="C1569" t="s">
        <v>2864</v>
      </c>
      <c r="D1569" t="s">
        <v>2865</v>
      </c>
      <c r="E1569" t="s">
        <v>960</v>
      </c>
      <c r="F1569" t="s">
        <v>23</v>
      </c>
      <c r="G1569" t="s">
        <v>1388</v>
      </c>
      <c r="H1569" s="8">
        <v>0.03</v>
      </c>
      <c r="I1569" s="2">
        <v>0.34231200000000001</v>
      </c>
      <c r="J1569" s="7" t="s">
        <v>944</v>
      </c>
    </row>
    <row r="1570" spans="1:10" ht="28.5">
      <c r="A1570" t="s">
        <v>943</v>
      </c>
      <c r="B1570" t="s">
        <v>1394</v>
      </c>
      <c r="C1570" t="s">
        <v>2866</v>
      </c>
      <c r="D1570" t="s">
        <v>2867</v>
      </c>
      <c r="E1570" t="s">
        <v>423</v>
      </c>
      <c r="F1570" t="s">
        <v>23</v>
      </c>
      <c r="G1570" t="s">
        <v>1388</v>
      </c>
      <c r="H1570" s="8">
        <v>0.12</v>
      </c>
      <c r="I1570" s="2">
        <v>1.369248</v>
      </c>
      <c r="J1570" s="7" t="s">
        <v>944</v>
      </c>
    </row>
    <row r="1571" spans="1:10" ht="28.5">
      <c r="A1571" t="s">
        <v>943</v>
      </c>
      <c r="B1571" t="s">
        <v>1394</v>
      </c>
      <c r="C1571" t="s">
        <v>2870</v>
      </c>
      <c r="D1571" t="s">
        <v>2871</v>
      </c>
      <c r="E1571" t="s">
        <v>450</v>
      </c>
      <c r="F1571" t="s">
        <v>38</v>
      </c>
      <c r="G1571" t="s">
        <v>1388</v>
      </c>
      <c r="H1571" s="8">
        <v>0.19</v>
      </c>
      <c r="I1571" s="2">
        <v>2.1679759999999999</v>
      </c>
      <c r="J1571" s="7" t="s">
        <v>944</v>
      </c>
    </row>
    <row r="1572" spans="1:10" ht="28.5">
      <c r="A1572" t="s">
        <v>943</v>
      </c>
      <c r="B1572" t="s">
        <v>1394</v>
      </c>
      <c r="C1572" t="s">
        <v>2874</v>
      </c>
      <c r="D1572" t="s">
        <v>2875</v>
      </c>
      <c r="E1572" t="s">
        <v>831</v>
      </c>
      <c r="F1572" t="s">
        <v>50</v>
      </c>
      <c r="G1572" t="s">
        <v>1388</v>
      </c>
      <c r="H1572" s="8">
        <v>0.06</v>
      </c>
      <c r="I1572" s="2">
        <v>0.68462400000000001</v>
      </c>
      <c r="J1572" s="7" t="s">
        <v>944</v>
      </c>
    </row>
    <row r="1573" spans="1:10" ht="28.5">
      <c r="A1573" t="s">
        <v>943</v>
      </c>
      <c r="B1573" t="s">
        <v>1394</v>
      </c>
      <c r="C1573" t="s">
        <v>2876</v>
      </c>
      <c r="D1573" t="s">
        <v>2877</v>
      </c>
      <c r="E1573" t="s">
        <v>295</v>
      </c>
      <c r="F1573" t="s">
        <v>23</v>
      </c>
      <c r="G1573" t="s">
        <v>1388</v>
      </c>
      <c r="H1573" s="8">
        <v>0.21</v>
      </c>
      <c r="I1573" s="2">
        <v>2.3961839999999999</v>
      </c>
      <c r="J1573" s="7" t="s">
        <v>944</v>
      </c>
    </row>
    <row r="1574" spans="1:10" ht="28.5">
      <c r="A1574" t="s">
        <v>943</v>
      </c>
      <c r="B1574" t="s">
        <v>1394</v>
      </c>
      <c r="C1574" t="s">
        <v>2884</v>
      </c>
      <c r="D1574" t="s">
        <v>2885</v>
      </c>
      <c r="E1574" t="s">
        <v>934</v>
      </c>
      <c r="F1574" t="s">
        <v>108</v>
      </c>
      <c r="G1574" t="s">
        <v>1388</v>
      </c>
      <c r="H1574" s="8">
        <v>0.05</v>
      </c>
      <c r="I1574" s="2">
        <v>0.57052000000000003</v>
      </c>
      <c r="J1574" s="7" t="s">
        <v>944</v>
      </c>
    </row>
    <row r="1575" spans="1:10" ht="28.5">
      <c r="A1575" t="s">
        <v>943</v>
      </c>
      <c r="B1575" t="s">
        <v>1394</v>
      </c>
      <c r="C1575" t="s">
        <v>2892</v>
      </c>
      <c r="D1575" t="s">
        <v>2893</v>
      </c>
      <c r="E1575" t="s">
        <v>274</v>
      </c>
      <c r="F1575" t="s">
        <v>50</v>
      </c>
      <c r="G1575" t="s">
        <v>1388</v>
      </c>
      <c r="H1575" s="8">
        <v>0.38</v>
      </c>
      <c r="I1575" s="2">
        <v>4.3359519999999998</v>
      </c>
      <c r="J1575" s="7" t="s">
        <v>944</v>
      </c>
    </row>
    <row r="1576" spans="1:10" ht="28.5">
      <c r="A1576" t="s">
        <v>943</v>
      </c>
      <c r="B1576" t="s">
        <v>1394</v>
      </c>
      <c r="C1576" t="s">
        <v>2908</v>
      </c>
      <c r="D1576" t="s">
        <v>2909</v>
      </c>
      <c r="E1576" t="s">
        <v>238</v>
      </c>
      <c r="F1576" t="s">
        <v>33</v>
      </c>
      <c r="G1576" t="s">
        <v>1388</v>
      </c>
      <c r="H1576" s="8">
        <v>0.31</v>
      </c>
      <c r="I1576" s="2">
        <v>3.5372240000000001</v>
      </c>
      <c r="J1576" s="7" t="s">
        <v>944</v>
      </c>
    </row>
    <row r="1577" spans="1:10" ht="28.5">
      <c r="A1577" t="s">
        <v>943</v>
      </c>
      <c r="B1577" t="s">
        <v>1394</v>
      </c>
      <c r="C1577" t="s">
        <v>2910</v>
      </c>
      <c r="D1577" t="s">
        <v>2911</v>
      </c>
      <c r="E1577" t="s">
        <v>965</v>
      </c>
      <c r="F1577" t="s">
        <v>50</v>
      </c>
      <c r="G1577" t="s">
        <v>1388</v>
      </c>
      <c r="H1577" s="8">
        <v>0.03</v>
      </c>
      <c r="I1577" s="2">
        <v>0.34231200000000001</v>
      </c>
      <c r="J1577" s="7" t="s">
        <v>944</v>
      </c>
    </row>
    <row r="1578" spans="1:10" ht="28.5">
      <c r="A1578" t="s">
        <v>943</v>
      </c>
      <c r="B1578" t="s">
        <v>1394</v>
      </c>
      <c r="C1578" t="s">
        <v>2914</v>
      </c>
      <c r="D1578" t="s">
        <v>2915</v>
      </c>
      <c r="E1578" t="s">
        <v>228</v>
      </c>
      <c r="F1578" t="s">
        <v>38</v>
      </c>
      <c r="G1578" t="s">
        <v>1388</v>
      </c>
      <c r="H1578" s="8">
        <v>0.6</v>
      </c>
      <c r="I1578" s="2">
        <v>6.846239999999999</v>
      </c>
      <c r="J1578" s="7" t="s">
        <v>944</v>
      </c>
    </row>
    <row r="1579" spans="1:10" ht="28.5">
      <c r="A1579" t="s">
        <v>943</v>
      </c>
      <c r="B1579" t="s">
        <v>1394</v>
      </c>
      <c r="C1579" t="s">
        <v>1445</v>
      </c>
      <c r="D1579" t="s">
        <v>2916</v>
      </c>
      <c r="E1579" t="s">
        <v>627</v>
      </c>
      <c r="F1579" t="s">
        <v>33</v>
      </c>
      <c r="G1579" t="s">
        <v>1388</v>
      </c>
      <c r="H1579" s="8">
        <v>0.1</v>
      </c>
      <c r="I1579" s="2">
        <v>1.1410400000000001</v>
      </c>
      <c r="J1579" s="7" t="s">
        <v>944</v>
      </c>
    </row>
    <row r="1580" spans="1:10" ht="28.5">
      <c r="A1580" t="s">
        <v>943</v>
      </c>
      <c r="B1580" t="s">
        <v>1394</v>
      </c>
      <c r="C1580" t="s">
        <v>2919</v>
      </c>
      <c r="D1580" t="s">
        <v>2920</v>
      </c>
      <c r="E1580" t="s">
        <v>319</v>
      </c>
      <c r="F1580" t="s">
        <v>23</v>
      </c>
      <c r="G1580" t="s">
        <v>1388</v>
      </c>
      <c r="H1580" s="8">
        <v>0.23</v>
      </c>
      <c r="I1580" s="2">
        <v>2.6243920000000003</v>
      </c>
      <c r="J1580" s="7" t="s">
        <v>944</v>
      </c>
    </row>
    <row r="1581" spans="1:10" ht="28.5">
      <c r="A1581" t="s">
        <v>943</v>
      </c>
      <c r="B1581" t="s">
        <v>1394</v>
      </c>
      <c r="C1581" t="s">
        <v>2927</v>
      </c>
      <c r="D1581" t="s">
        <v>2928</v>
      </c>
      <c r="E1581" t="s">
        <v>365</v>
      </c>
      <c r="F1581" t="s">
        <v>38</v>
      </c>
      <c r="G1581" t="s">
        <v>1388</v>
      </c>
      <c r="H1581" s="8">
        <v>0.25</v>
      </c>
      <c r="I1581" s="2">
        <v>2.8525999999999998</v>
      </c>
      <c r="J1581" s="7" t="s">
        <v>944</v>
      </c>
    </row>
    <row r="1582" spans="1:10" ht="28.5">
      <c r="A1582" t="s">
        <v>943</v>
      </c>
      <c r="B1582" t="s">
        <v>1394</v>
      </c>
      <c r="C1582" t="s">
        <v>2931</v>
      </c>
      <c r="D1582" t="s">
        <v>2932</v>
      </c>
      <c r="E1582" t="s">
        <v>39</v>
      </c>
      <c r="F1582" t="s">
        <v>25</v>
      </c>
      <c r="G1582" t="s">
        <v>1388</v>
      </c>
      <c r="H1582" s="8">
        <v>13.19</v>
      </c>
      <c r="I1582" s="2">
        <v>150.503176</v>
      </c>
      <c r="J1582" s="7" t="s">
        <v>944</v>
      </c>
    </row>
    <row r="1583" spans="1:10" ht="28.5">
      <c r="A1583" t="s">
        <v>943</v>
      </c>
      <c r="B1583" t="s">
        <v>1394</v>
      </c>
      <c r="C1583" t="s">
        <v>2933</v>
      </c>
      <c r="D1583" t="s">
        <v>2934</v>
      </c>
      <c r="E1583" t="s">
        <v>698</v>
      </c>
      <c r="F1583" t="s">
        <v>263</v>
      </c>
      <c r="G1583" t="s">
        <v>1388</v>
      </c>
      <c r="H1583" s="8">
        <v>0.08</v>
      </c>
      <c r="I1583" s="2">
        <v>0.91283199999999998</v>
      </c>
      <c r="J1583" s="7" t="s">
        <v>944</v>
      </c>
    </row>
    <row r="1584" spans="1:10" ht="28.5">
      <c r="A1584" t="s">
        <v>943</v>
      </c>
      <c r="B1584" t="s">
        <v>1394</v>
      </c>
      <c r="C1584" t="s">
        <v>2937</v>
      </c>
      <c r="D1584" t="s">
        <v>2938</v>
      </c>
      <c r="E1584" t="s">
        <v>805</v>
      </c>
      <c r="F1584" t="s">
        <v>50</v>
      </c>
      <c r="G1584" t="s">
        <v>1388</v>
      </c>
      <c r="H1584" s="8">
        <v>7.0000000000000007E-2</v>
      </c>
      <c r="I1584" s="2">
        <v>0.79872799999999999</v>
      </c>
      <c r="J1584" s="7" t="s">
        <v>944</v>
      </c>
    </row>
    <row r="1585" spans="1:10" ht="28.5">
      <c r="A1585" t="s">
        <v>943</v>
      </c>
      <c r="B1585" t="s">
        <v>1394</v>
      </c>
      <c r="C1585" t="s">
        <v>2939</v>
      </c>
      <c r="D1585" t="s">
        <v>2940</v>
      </c>
      <c r="E1585" t="s">
        <v>703</v>
      </c>
      <c r="F1585" t="s">
        <v>41</v>
      </c>
      <c r="G1585" t="s">
        <v>1388</v>
      </c>
      <c r="H1585" s="8">
        <v>0.1</v>
      </c>
      <c r="I1585" s="2">
        <v>1.1410400000000001</v>
      </c>
      <c r="J1585" s="7" t="s">
        <v>944</v>
      </c>
    </row>
    <row r="1586" spans="1:10" ht="28.5">
      <c r="A1586" t="s">
        <v>943</v>
      </c>
      <c r="B1586" t="s">
        <v>1394</v>
      </c>
      <c r="C1586" t="s">
        <v>2941</v>
      </c>
      <c r="D1586" t="s">
        <v>2942</v>
      </c>
      <c r="E1586" t="s">
        <v>214</v>
      </c>
      <c r="F1586" t="s">
        <v>50</v>
      </c>
      <c r="G1586" t="s">
        <v>1388</v>
      </c>
      <c r="H1586" s="8">
        <v>0.61</v>
      </c>
      <c r="I1586" s="2">
        <v>6.9603440000000001</v>
      </c>
      <c r="J1586" s="7" t="s">
        <v>944</v>
      </c>
    </row>
    <row r="1587" spans="1:10" ht="28.5">
      <c r="A1587" t="s">
        <v>943</v>
      </c>
      <c r="B1587" t="s">
        <v>1394</v>
      </c>
      <c r="C1587" t="s">
        <v>2945</v>
      </c>
      <c r="D1587" t="s">
        <v>2946</v>
      </c>
      <c r="E1587" t="s">
        <v>412</v>
      </c>
      <c r="F1587" t="s">
        <v>263</v>
      </c>
      <c r="G1587" t="s">
        <v>1388</v>
      </c>
      <c r="H1587" s="8">
        <v>0.19</v>
      </c>
      <c r="I1587" s="2">
        <v>2.1679759999999999</v>
      </c>
      <c r="J1587" s="7" t="s">
        <v>944</v>
      </c>
    </row>
    <row r="1588" spans="1:10" ht="28.5">
      <c r="A1588" t="s">
        <v>943</v>
      </c>
      <c r="B1588" t="s">
        <v>1394</v>
      </c>
      <c r="C1588" t="s">
        <v>2947</v>
      </c>
      <c r="D1588" t="s">
        <v>2948</v>
      </c>
      <c r="E1588" t="s">
        <v>966</v>
      </c>
      <c r="F1588" t="s">
        <v>23</v>
      </c>
      <c r="G1588" t="s">
        <v>1388</v>
      </c>
      <c r="H1588" s="8">
        <v>0.03</v>
      </c>
      <c r="I1588" s="2">
        <v>0.34231200000000001</v>
      </c>
      <c r="J1588" s="7" t="s">
        <v>944</v>
      </c>
    </row>
    <row r="1589" spans="1:10" ht="28.5">
      <c r="A1589" t="s">
        <v>943</v>
      </c>
      <c r="B1589" t="s">
        <v>1394</v>
      </c>
      <c r="C1589" t="s">
        <v>2951</v>
      </c>
      <c r="D1589" t="s">
        <v>2952</v>
      </c>
      <c r="E1589" t="s">
        <v>191</v>
      </c>
      <c r="F1589" t="s">
        <v>23</v>
      </c>
      <c r="G1589" t="s">
        <v>1388</v>
      </c>
      <c r="H1589" s="8">
        <v>0.61</v>
      </c>
      <c r="I1589" s="2">
        <v>6.9603440000000001</v>
      </c>
      <c r="J1589" s="7" t="s">
        <v>944</v>
      </c>
    </row>
    <row r="1590" spans="1:10" ht="28.5">
      <c r="A1590" t="s">
        <v>943</v>
      </c>
      <c r="B1590" t="s">
        <v>1394</v>
      </c>
      <c r="C1590" t="s">
        <v>2953</v>
      </c>
      <c r="D1590" t="s">
        <v>2954</v>
      </c>
      <c r="E1590" t="s">
        <v>499</v>
      </c>
      <c r="F1590" t="s">
        <v>263</v>
      </c>
      <c r="G1590" t="s">
        <v>1388</v>
      </c>
      <c r="H1590" s="8">
        <v>0.14000000000000001</v>
      </c>
      <c r="I1590" s="2">
        <v>1.597456</v>
      </c>
      <c r="J1590" s="7" t="s">
        <v>944</v>
      </c>
    </row>
    <row r="1591" spans="1:10" ht="28.5">
      <c r="A1591" t="s">
        <v>943</v>
      </c>
      <c r="B1591" t="s">
        <v>1394</v>
      </c>
      <c r="C1591" t="s">
        <v>2957</v>
      </c>
      <c r="D1591" t="s">
        <v>2958</v>
      </c>
      <c r="E1591" t="s">
        <v>219</v>
      </c>
      <c r="F1591" t="s">
        <v>50</v>
      </c>
      <c r="G1591" t="s">
        <v>1388</v>
      </c>
      <c r="H1591" s="8">
        <v>0.57999999999999996</v>
      </c>
      <c r="I1591" s="2">
        <v>6.6180319999999995</v>
      </c>
      <c r="J1591" s="7" t="s">
        <v>944</v>
      </c>
    </row>
    <row r="1592" spans="1:10" ht="28.5">
      <c r="A1592" t="s">
        <v>943</v>
      </c>
      <c r="B1592" t="s">
        <v>1394</v>
      </c>
      <c r="C1592" t="s">
        <v>2959</v>
      </c>
      <c r="D1592" t="s">
        <v>2960</v>
      </c>
      <c r="E1592" t="s">
        <v>496</v>
      </c>
      <c r="F1592" t="s">
        <v>50</v>
      </c>
      <c r="G1592" t="s">
        <v>1388</v>
      </c>
      <c r="H1592" s="8">
        <v>0.2</v>
      </c>
      <c r="I1592" s="2">
        <v>2.2820800000000001</v>
      </c>
      <c r="J1592" s="7" t="s">
        <v>944</v>
      </c>
    </row>
    <row r="1593" spans="1:10" ht="28.5">
      <c r="A1593" t="s">
        <v>943</v>
      </c>
      <c r="B1593" t="s">
        <v>1394</v>
      </c>
      <c r="C1593" t="s">
        <v>2963</v>
      </c>
      <c r="D1593" t="s">
        <v>2964</v>
      </c>
      <c r="E1593" t="s">
        <v>223</v>
      </c>
      <c r="F1593" t="s">
        <v>23</v>
      </c>
      <c r="G1593" t="s">
        <v>1388</v>
      </c>
      <c r="H1593" s="8">
        <v>0.35</v>
      </c>
      <c r="I1593" s="2">
        <v>3.9936399999999996</v>
      </c>
      <c r="J1593" s="7" t="s">
        <v>944</v>
      </c>
    </row>
    <row r="1594" spans="1:10" ht="28.5">
      <c r="A1594" t="s">
        <v>943</v>
      </c>
      <c r="B1594" t="s">
        <v>1394</v>
      </c>
      <c r="C1594" t="s">
        <v>2981</v>
      </c>
      <c r="D1594" t="s">
        <v>2981</v>
      </c>
      <c r="E1594" t="s">
        <v>935</v>
      </c>
      <c r="F1594" t="s">
        <v>108</v>
      </c>
      <c r="G1594" t="s">
        <v>1388</v>
      </c>
      <c r="H1594" s="8">
        <v>0.05</v>
      </c>
      <c r="I1594" s="2">
        <v>0.57052000000000003</v>
      </c>
      <c r="J1594" s="7" t="s">
        <v>944</v>
      </c>
    </row>
    <row r="1595" spans="1:10" ht="28.5">
      <c r="A1595" t="s">
        <v>943</v>
      </c>
      <c r="B1595" t="s">
        <v>1394</v>
      </c>
      <c r="C1595" t="s">
        <v>2982</v>
      </c>
      <c r="D1595" t="s">
        <v>2983</v>
      </c>
      <c r="E1595" t="s">
        <v>510</v>
      </c>
      <c r="F1595" t="s">
        <v>23</v>
      </c>
      <c r="G1595" t="s">
        <v>1388</v>
      </c>
      <c r="H1595" s="8">
        <v>0.1</v>
      </c>
      <c r="I1595" s="2">
        <v>1.1410400000000001</v>
      </c>
      <c r="J1595" s="7" t="s">
        <v>944</v>
      </c>
    </row>
    <row r="1596" spans="1:10" ht="28.5">
      <c r="A1596" t="s">
        <v>943</v>
      </c>
      <c r="B1596" t="s">
        <v>1394</v>
      </c>
      <c r="C1596" t="s">
        <v>2986</v>
      </c>
      <c r="D1596" t="s">
        <v>2987</v>
      </c>
      <c r="E1596" t="s">
        <v>808</v>
      </c>
      <c r="F1596" t="s">
        <v>50</v>
      </c>
      <c r="G1596" t="s">
        <v>1388</v>
      </c>
      <c r="H1596" s="8">
        <v>7.0000000000000007E-2</v>
      </c>
      <c r="I1596" s="2">
        <v>0.79872799999999999</v>
      </c>
      <c r="J1596" s="7" t="s">
        <v>944</v>
      </c>
    </row>
    <row r="1597" spans="1:10" ht="28.5">
      <c r="A1597" t="s">
        <v>943</v>
      </c>
      <c r="B1597" t="s">
        <v>1394</v>
      </c>
      <c r="C1597" t="s">
        <v>2992</v>
      </c>
      <c r="D1597" t="s">
        <v>2993</v>
      </c>
      <c r="E1597" t="s">
        <v>207</v>
      </c>
      <c r="F1597" t="s">
        <v>25</v>
      </c>
      <c r="G1597" t="s">
        <v>1388</v>
      </c>
      <c r="H1597" s="8">
        <v>0.69</v>
      </c>
      <c r="I1597" s="2">
        <v>7.873176</v>
      </c>
      <c r="J1597" s="7" t="s">
        <v>944</v>
      </c>
    </row>
    <row r="1598" spans="1:10" ht="28.5">
      <c r="A1598" t="s">
        <v>943</v>
      </c>
      <c r="B1598" t="s">
        <v>1394</v>
      </c>
      <c r="C1598" t="s">
        <v>3002</v>
      </c>
      <c r="D1598" t="s">
        <v>3003</v>
      </c>
      <c r="E1598" t="s">
        <v>287</v>
      </c>
      <c r="F1598" t="s">
        <v>253</v>
      </c>
      <c r="G1598" t="s">
        <v>1388</v>
      </c>
      <c r="H1598" s="8">
        <v>0.21</v>
      </c>
      <c r="I1598" s="2">
        <v>2.3961839999999999</v>
      </c>
      <c r="J1598" s="7" t="s">
        <v>944</v>
      </c>
    </row>
    <row r="1599" spans="1:10" ht="28.5">
      <c r="A1599" t="s">
        <v>943</v>
      </c>
      <c r="B1599" t="s">
        <v>1394</v>
      </c>
      <c r="C1599" t="s">
        <v>3006</v>
      </c>
      <c r="D1599" t="s">
        <v>3007</v>
      </c>
      <c r="E1599" t="s">
        <v>261</v>
      </c>
      <c r="F1599" t="s">
        <v>23</v>
      </c>
      <c r="G1599" t="s">
        <v>1388</v>
      </c>
      <c r="H1599" s="8">
        <v>0.35</v>
      </c>
      <c r="I1599" s="2">
        <v>3.9936399999999996</v>
      </c>
      <c r="J1599" s="7" t="s">
        <v>944</v>
      </c>
    </row>
    <row r="1600" spans="1:10" ht="28.5">
      <c r="A1600" t="s">
        <v>943</v>
      </c>
      <c r="B1600" t="s">
        <v>1394</v>
      </c>
      <c r="C1600" t="s">
        <v>3010</v>
      </c>
      <c r="D1600" t="s">
        <v>3011</v>
      </c>
      <c r="E1600" t="s">
        <v>323</v>
      </c>
      <c r="F1600" t="s">
        <v>25</v>
      </c>
      <c r="G1600" t="s">
        <v>1388</v>
      </c>
      <c r="H1600" s="8">
        <v>0.28000000000000003</v>
      </c>
      <c r="I1600" s="2">
        <v>3.194912</v>
      </c>
      <c r="J1600" s="7" t="s">
        <v>944</v>
      </c>
    </row>
    <row r="1601" spans="1:10" ht="28.5">
      <c r="A1601" t="s">
        <v>943</v>
      </c>
      <c r="B1601" t="s">
        <v>1394</v>
      </c>
      <c r="C1601" t="s">
        <v>3015</v>
      </c>
      <c r="D1601" t="s">
        <v>3016</v>
      </c>
      <c r="E1601" t="s">
        <v>361</v>
      </c>
      <c r="F1601" t="s">
        <v>25</v>
      </c>
      <c r="G1601" t="s">
        <v>1388</v>
      </c>
      <c r="H1601" s="8">
        <v>0.26</v>
      </c>
      <c r="I1601" s="2">
        <v>2.9667039999999996</v>
      </c>
      <c r="J1601" s="7" t="s">
        <v>944</v>
      </c>
    </row>
    <row r="1602" spans="1:10" ht="28.5">
      <c r="A1602" t="s">
        <v>943</v>
      </c>
      <c r="B1602" t="s">
        <v>1394</v>
      </c>
      <c r="C1602" t="s">
        <v>3030</v>
      </c>
      <c r="D1602" t="s">
        <v>3031</v>
      </c>
      <c r="E1602" t="s">
        <v>631</v>
      </c>
      <c r="F1602" t="s">
        <v>50</v>
      </c>
      <c r="G1602" t="s">
        <v>1388</v>
      </c>
      <c r="H1602" s="8">
        <v>0.1</v>
      </c>
      <c r="I1602" s="2">
        <v>1.1410400000000001</v>
      </c>
      <c r="J1602" s="7" t="s">
        <v>944</v>
      </c>
    </row>
    <row r="1603" spans="1:10" ht="28.5">
      <c r="A1603" t="s">
        <v>943</v>
      </c>
      <c r="B1603" t="s">
        <v>1394</v>
      </c>
      <c r="C1603" t="s">
        <v>3036</v>
      </c>
      <c r="D1603" t="s">
        <v>3037</v>
      </c>
      <c r="E1603" t="s">
        <v>954</v>
      </c>
      <c r="F1603" t="s">
        <v>263</v>
      </c>
      <c r="G1603" t="s">
        <v>1388</v>
      </c>
      <c r="H1603" s="8">
        <v>0.04</v>
      </c>
      <c r="I1603" s="2">
        <v>0.45641599999999999</v>
      </c>
      <c r="J1603" s="7" t="s">
        <v>944</v>
      </c>
    </row>
    <row r="1604" spans="1:10" ht="28.5">
      <c r="A1604" t="s">
        <v>943</v>
      </c>
      <c r="B1604" t="s">
        <v>1394</v>
      </c>
      <c r="C1604" t="s">
        <v>3038</v>
      </c>
      <c r="D1604" t="s">
        <v>3039</v>
      </c>
      <c r="E1604" t="s">
        <v>1126</v>
      </c>
      <c r="F1604" t="s">
        <v>41</v>
      </c>
      <c r="G1604" t="s">
        <v>1388</v>
      </c>
      <c r="H1604" s="8">
        <v>0.02</v>
      </c>
      <c r="I1604" s="2">
        <v>0.22820799999999999</v>
      </c>
      <c r="J1604" s="7" t="s">
        <v>944</v>
      </c>
    </row>
    <row r="1605" spans="1:10" ht="28.5">
      <c r="A1605" t="s">
        <v>943</v>
      </c>
      <c r="B1605" t="s">
        <v>1394</v>
      </c>
      <c r="C1605" t="s">
        <v>3042</v>
      </c>
      <c r="D1605" t="s">
        <v>3043</v>
      </c>
      <c r="E1605" t="s">
        <v>411</v>
      </c>
      <c r="F1605" t="s">
        <v>41</v>
      </c>
      <c r="G1605" t="s">
        <v>1388</v>
      </c>
      <c r="H1605" s="8">
        <v>0.22</v>
      </c>
      <c r="I1605" s="2">
        <v>2.5102880000000001</v>
      </c>
      <c r="J1605" s="7" t="s">
        <v>944</v>
      </c>
    </row>
    <row r="1606" spans="1:10" ht="28.5">
      <c r="A1606" t="s">
        <v>943</v>
      </c>
      <c r="B1606" t="s">
        <v>1394</v>
      </c>
      <c r="C1606" t="s">
        <v>3044</v>
      </c>
      <c r="D1606" t="s">
        <v>3045</v>
      </c>
      <c r="E1606" t="s">
        <v>419</v>
      </c>
      <c r="F1606" t="s">
        <v>50</v>
      </c>
      <c r="G1606" t="s">
        <v>1388</v>
      </c>
      <c r="H1606" s="8">
        <v>0.21</v>
      </c>
      <c r="I1606" s="2">
        <v>2.3961839999999999</v>
      </c>
      <c r="J1606" s="7" t="s">
        <v>944</v>
      </c>
    </row>
    <row r="1607" spans="1:10" ht="28.5">
      <c r="A1607" t="s">
        <v>943</v>
      </c>
      <c r="B1607" t="s">
        <v>1394</v>
      </c>
      <c r="C1607" t="s">
        <v>3048</v>
      </c>
      <c r="D1607" t="s">
        <v>3049</v>
      </c>
      <c r="E1607" t="s">
        <v>723</v>
      </c>
      <c r="F1607" t="s">
        <v>38</v>
      </c>
      <c r="G1607" t="s">
        <v>1388</v>
      </c>
      <c r="H1607" s="8">
        <v>0.09</v>
      </c>
      <c r="I1607" s="2">
        <v>1.0269359999999998</v>
      </c>
      <c r="J1607" s="7" t="s">
        <v>944</v>
      </c>
    </row>
    <row r="1608" spans="1:10" ht="28.5">
      <c r="A1608" t="s">
        <v>943</v>
      </c>
      <c r="B1608" t="s">
        <v>1394</v>
      </c>
      <c r="C1608" t="s">
        <v>3054</v>
      </c>
      <c r="D1608" t="s">
        <v>3055</v>
      </c>
      <c r="E1608" t="s">
        <v>458</v>
      </c>
      <c r="F1608" t="s">
        <v>23</v>
      </c>
      <c r="G1608" t="s">
        <v>1388</v>
      </c>
      <c r="H1608" s="8">
        <v>0.15</v>
      </c>
      <c r="I1608" s="2">
        <v>1.7115599999999997</v>
      </c>
      <c r="J1608" s="7" t="s">
        <v>944</v>
      </c>
    </row>
    <row r="1609" spans="1:10" ht="28.5">
      <c r="A1609" t="s">
        <v>943</v>
      </c>
      <c r="B1609" t="s">
        <v>1394</v>
      </c>
      <c r="C1609" t="s">
        <v>3056</v>
      </c>
      <c r="D1609" t="s">
        <v>3056</v>
      </c>
      <c r="E1609" t="s">
        <v>216</v>
      </c>
      <c r="F1609" t="s">
        <v>25</v>
      </c>
      <c r="G1609" t="s">
        <v>1388</v>
      </c>
      <c r="H1609" s="8">
        <v>0.68</v>
      </c>
      <c r="I1609" s="2">
        <v>7.7590719999999997</v>
      </c>
      <c r="J1609" s="7" t="s">
        <v>944</v>
      </c>
    </row>
    <row r="1610" spans="1:10" ht="28.5">
      <c r="A1610" t="s">
        <v>943</v>
      </c>
      <c r="B1610" t="s">
        <v>1394</v>
      </c>
      <c r="C1610" t="s">
        <v>3057</v>
      </c>
      <c r="D1610" t="s">
        <v>3058</v>
      </c>
      <c r="E1610" t="s">
        <v>509</v>
      </c>
      <c r="F1610" t="s">
        <v>23</v>
      </c>
      <c r="G1610" t="s">
        <v>1388</v>
      </c>
      <c r="H1610" s="8">
        <v>0.13</v>
      </c>
      <c r="I1610" s="2">
        <v>1.4833519999999998</v>
      </c>
      <c r="J1610" s="7" t="s">
        <v>944</v>
      </c>
    </row>
    <row r="1611" spans="1:10" ht="28.5">
      <c r="A1611" t="s">
        <v>943</v>
      </c>
      <c r="B1611" t="s">
        <v>1394</v>
      </c>
      <c r="C1611" t="s">
        <v>3061</v>
      </c>
      <c r="D1611" t="s">
        <v>3062</v>
      </c>
      <c r="E1611" t="s">
        <v>344</v>
      </c>
      <c r="F1611" t="s">
        <v>23</v>
      </c>
      <c r="G1611" t="s">
        <v>1388</v>
      </c>
      <c r="H1611" s="8">
        <v>0.16</v>
      </c>
      <c r="I1611" s="2">
        <v>1.825664</v>
      </c>
      <c r="J1611" s="7" t="s">
        <v>944</v>
      </c>
    </row>
    <row r="1612" spans="1:10" ht="28.5">
      <c r="A1612" t="s">
        <v>943</v>
      </c>
      <c r="B1612" t="s">
        <v>1394</v>
      </c>
      <c r="C1612" t="s">
        <v>3067</v>
      </c>
      <c r="D1612" t="s">
        <v>3068</v>
      </c>
      <c r="E1612" t="s">
        <v>820</v>
      </c>
      <c r="F1612" t="s">
        <v>41</v>
      </c>
      <c r="G1612" t="s">
        <v>1388</v>
      </c>
      <c r="H1612" s="8">
        <v>0.06</v>
      </c>
      <c r="I1612" s="2">
        <v>0.68462400000000001</v>
      </c>
      <c r="J1612" s="7" t="s">
        <v>944</v>
      </c>
    </row>
    <row r="1613" spans="1:10" ht="28.5">
      <c r="A1613" t="s">
        <v>943</v>
      </c>
      <c r="B1613" t="s">
        <v>1394</v>
      </c>
      <c r="C1613" t="s">
        <v>3081</v>
      </c>
      <c r="D1613" t="s">
        <v>3082</v>
      </c>
      <c r="E1613" t="s">
        <v>337</v>
      </c>
      <c r="F1613" t="s">
        <v>27</v>
      </c>
      <c r="G1613" t="s">
        <v>1388</v>
      </c>
      <c r="H1613" s="8">
        <v>0.28999999999999998</v>
      </c>
      <c r="I1613" s="2">
        <v>3.3090159999999997</v>
      </c>
      <c r="J1613" s="7" t="s">
        <v>944</v>
      </c>
    </row>
    <row r="1614" spans="1:10" ht="28.5">
      <c r="A1614" t="s">
        <v>943</v>
      </c>
      <c r="B1614" t="s">
        <v>1394</v>
      </c>
      <c r="C1614" t="s">
        <v>3085</v>
      </c>
      <c r="D1614" t="s">
        <v>3086</v>
      </c>
      <c r="E1614" t="s">
        <v>391</v>
      </c>
      <c r="F1614" t="s">
        <v>41</v>
      </c>
      <c r="G1614" t="s">
        <v>1388</v>
      </c>
      <c r="H1614" s="8">
        <v>0.18</v>
      </c>
      <c r="I1614" s="2">
        <v>2.0538719999999997</v>
      </c>
      <c r="J1614" s="7" t="s">
        <v>944</v>
      </c>
    </row>
    <row r="1615" spans="1:10" ht="28.5">
      <c r="A1615" t="s">
        <v>943</v>
      </c>
      <c r="B1615" t="s">
        <v>1394</v>
      </c>
      <c r="C1615" t="s">
        <v>3089</v>
      </c>
      <c r="D1615" t="s">
        <v>3090</v>
      </c>
      <c r="E1615" t="s">
        <v>286</v>
      </c>
      <c r="F1615" t="s">
        <v>25</v>
      </c>
      <c r="G1615" t="s">
        <v>1388</v>
      </c>
      <c r="H1615" s="8">
        <v>0.27</v>
      </c>
      <c r="I1615" s="2">
        <v>3.0808080000000002</v>
      </c>
      <c r="J1615" s="7" t="s">
        <v>944</v>
      </c>
    </row>
    <row r="1616" spans="1:10" ht="28.5">
      <c r="A1616" t="s">
        <v>943</v>
      </c>
      <c r="B1616" t="s">
        <v>1394</v>
      </c>
      <c r="C1616" t="s">
        <v>3091</v>
      </c>
      <c r="D1616" t="s">
        <v>3092</v>
      </c>
      <c r="E1616" t="s">
        <v>713</v>
      </c>
      <c r="F1616" t="s">
        <v>50</v>
      </c>
      <c r="G1616" t="s">
        <v>1388</v>
      </c>
      <c r="H1616" s="8">
        <v>0.09</v>
      </c>
      <c r="I1616" s="2">
        <v>1.0269359999999998</v>
      </c>
      <c r="J1616" s="7" t="s">
        <v>944</v>
      </c>
    </row>
    <row r="1617" spans="1:10" ht="28.5">
      <c r="A1617" t="s">
        <v>943</v>
      </c>
      <c r="B1617" t="s">
        <v>1394</v>
      </c>
      <c r="C1617" t="s">
        <v>3099</v>
      </c>
      <c r="D1617" t="s">
        <v>3100</v>
      </c>
      <c r="E1617" t="s">
        <v>573</v>
      </c>
      <c r="F1617" t="s">
        <v>25</v>
      </c>
      <c r="G1617" t="s">
        <v>1388</v>
      </c>
      <c r="H1617" s="8">
        <v>0.09</v>
      </c>
      <c r="I1617" s="2">
        <v>1.0269359999999998</v>
      </c>
      <c r="J1617" s="7" t="s">
        <v>944</v>
      </c>
    </row>
    <row r="1618" spans="1:10" ht="28.5">
      <c r="A1618" t="s">
        <v>943</v>
      </c>
      <c r="B1618" t="s">
        <v>1394</v>
      </c>
      <c r="C1618" t="s">
        <v>3105</v>
      </c>
      <c r="D1618" t="s">
        <v>3106</v>
      </c>
      <c r="E1618" t="s">
        <v>385</v>
      </c>
      <c r="F1618" t="s">
        <v>27</v>
      </c>
      <c r="G1618" t="s">
        <v>1388</v>
      </c>
      <c r="H1618" s="8">
        <v>0.23</v>
      </c>
      <c r="I1618" s="2">
        <v>2.6243920000000003</v>
      </c>
      <c r="J1618" s="7" t="s">
        <v>944</v>
      </c>
    </row>
    <row r="1619" spans="1:10" ht="28.5">
      <c r="A1619" t="s">
        <v>943</v>
      </c>
      <c r="B1619" t="s">
        <v>1394</v>
      </c>
      <c r="C1619" t="s">
        <v>3107</v>
      </c>
      <c r="D1619" t="s">
        <v>3108</v>
      </c>
      <c r="E1619" t="s">
        <v>826</v>
      </c>
      <c r="F1619" t="s">
        <v>124</v>
      </c>
      <c r="G1619" t="s">
        <v>1388</v>
      </c>
      <c r="H1619" s="8">
        <v>0.06</v>
      </c>
      <c r="I1619" s="2">
        <v>0.68462400000000001</v>
      </c>
      <c r="J1619" s="7" t="s">
        <v>944</v>
      </c>
    </row>
    <row r="1620" spans="1:10" ht="28.5">
      <c r="A1620" t="s">
        <v>943</v>
      </c>
      <c r="B1620" t="s">
        <v>1394</v>
      </c>
      <c r="C1620" t="s">
        <v>3113</v>
      </c>
      <c r="D1620" t="s">
        <v>3114</v>
      </c>
      <c r="E1620" t="s">
        <v>308</v>
      </c>
      <c r="F1620" t="s">
        <v>27</v>
      </c>
      <c r="G1620" t="s">
        <v>1388</v>
      </c>
      <c r="H1620" s="8">
        <v>0.3</v>
      </c>
      <c r="I1620" s="2">
        <v>3.4231199999999995</v>
      </c>
      <c r="J1620" s="7" t="s">
        <v>944</v>
      </c>
    </row>
    <row r="1621" spans="1:10" ht="28.5">
      <c r="A1621" t="s">
        <v>943</v>
      </c>
      <c r="B1621" t="s">
        <v>1394</v>
      </c>
      <c r="C1621" t="s">
        <v>3123</v>
      </c>
      <c r="D1621" t="s">
        <v>3124</v>
      </c>
      <c r="E1621" t="s">
        <v>392</v>
      </c>
      <c r="F1621" t="s">
        <v>23</v>
      </c>
      <c r="G1621" t="s">
        <v>1388</v>
      </c>
      <c r="H1621" s="8">
        <v>0.15</v>
      </c>
      <c r="I1621" s="2">
        <v>1.7115599999999997</v>
      </c>
      <c r="J1621" s="7" t="s">
        <v>944</v>
      </c>
    </row>
    <row r="1622" spans="1:10" ht="28.5">
      <c r="A1622" t="s">
        <v>943</v>
      </c>
      <c r="B1622" t="s">
        <v>1394</v>
      </c>
      <c r="C1622" t="s">
        <v>3127</v>
      </c>
      <c r="D1622" t="s">
        <v>3128</v>
      </c>
      <c r="E1622" t="s">
        <v>946</v>
      </c>
      <c r="F1622" t="s">
        <v>253</v>
      </c>
      <c r="G1622" t="s">
        <v>1388</v>
      </c>
      <c r="H1622" s="8">
        <v>0.04</v>
      </c>
      <c r="I1622" s="2">
        <v>0.45641599999999999</v>
      </c>
      <c r="J1622" s="7" t="s">
        <v>944</v>
      </c>
    </row>
    <row r="1623" spans="1:10" ht="28.5">
      <c r="A1623" t="s">
        <v>943</v>
      </c>
      <c r="B1623" t="s">
        <v>1394</v>
      </c>
      <c r="C1623" t="s">
        <v>3129</v>
      </c>
      <c r="D1623" t="s">
        <v>3130</v>
      </c>
      <c r="E1623" t="s">
        <v>804</v>
      </c>
      <c r="F1623" t="s">
        <v>253</v>
      </c>
      <c r="G1623" t="s">
        <v>1388</v>
      </c>
      <c r="H1623" s="8">
        <v>7.0000000000000007E-2</v>
      </c>
      <c r="I1623" s="2">
        <v>0.79872799999999999</v>
      </c>
      <c r="J1623" s="7" t="s">
        <v>944</v>
      </c>
    </row>
    <row r="1624" spans="1:10" ht="28.5">
      <c r="A1624" t="s">
        <v>943</v>
      </c>
      <c r="B1624" t="s">
        <v>1394</v>
      </c>
      <c r="C1624" t="s">
        <v>3133</v>
      </c>
      <c r="D1624" t="s">
        <v>3134</v>
      </c>
      <c r="E1624" t="s">
        <v>1340</v>
      </c>
      <c r="F1624" t="s">
        <v>25</v>
      </c>
      <c r="G1624" t="s">
        <v>1388</v>
      </c>
      <c r="H1624" s="8">
        <v>0.01</v>
      </c>
      <c r="I1624" s="2">
        <v>0.114104</v>
      </c>
      <c r="J1624" s="7" t="s">
        <v>944</v>
      </c>
    </row>
    <row r="1625" spans="1:10" ht="28.5">
      <c r="A1625" t="s">
        <v>943</v>
      </c>
      <c r="B1625" t="s">
        <v>1394</v>
      </c>
      <c r="C1625" t="s">
        <v>3135</v>
      </c>
      <c r="D1625" t="s">
        <v>3136</v>
      </c>
      <c r="E1625" t="s">
        <v>550</v>
      </c>
      <c r="F1625" t="s">
        <v>33</v>
      </c>
      <c r="G1625" t="s">
        <v>1388</v>
      </c>
      <c r="H1625" s="8">
        <v>0.11</v>
      </c>
      <c r="I1625" s="2">
        <v>1.255144</v>
      </c>
      <c r="J1625" s="7" t="s">
        <v>944</v>
      </c>
    </row>
    <row r="1626" spans="1:10" ht="28.5">
      <c r="A1626" t="s">
        <v>943</v>
      </c>
      <c r="B1626" t="s">
        <v>1394</v>
      </c>
      <c r="C1626" t="s">
        <v>3151</v>
      </c>
      <c r="D1626" t="s">
        <v>3152</v>
      </c>
      <c r="E1626" t="s">
        <v>226</v>
      </c>
      <c r="F1626" t="s">
        <v>38</v>
      </c>
      <c r="G1626" t="s">
        <v>1388</v>
      </c>
      <c r="H1626" s="8">
        <v>0.52</v>
      </c>
      <c r="I1626" s="2">
        <v>5.9334079999999991</v>
      </c>
      <c r="J1626" s="7" t="s">
        <v>944</v>
      </c>
    </row>
    <row r="1627" spans="1:10" ht="28.5">
      <c r="A1627" t="s">
        <v>943</v>
      </c>
      <c r="B1627" t="s">
        <v>1394</v>
      </c>
      <c r="C1627" t="s">
        <v>3169</v>
      </c>
      <c r="D1627" t="s">
        <v>3170</v>
      </c>
      <c r="E1627" t="s">
        <v>547</v>
      </c>
      <c r="F1627" t="s">
        <v>108</v>
      </c>
      <c r="G1627" t="s">
        <v>1388</v>
      </c>
      <c r="H1627" s="8">
        <v>0.14000000000000001</v>
      </c>
      <c r="I1627" s="2">
        <v>1.597456</v>
      </c>
      <c r="J1627" s="7" t="s">
        <v>944</v>
      </c>
    </row>
    <row r="1628" spans="1:10" ht="28.5">
      <c r="A1628" t="s">
        <v>943</v>
      </c>
      <c r="B1628" t="s">
        <v>1394</v>
      </c>
      <c r="C1628" t="s">
        <v>1465</v>
      </c>
      <c r="D1628" t="s">
        <v>1466</v>
      </c>
      <c r="E1628" t="s">
        <v>171</v>
      </c>
      <c r="F1628" t="s">
        <v>33</v>
      </c>
      <c r="G1628" t="s">
        <v>1388</v>
      </c>
      <c r="H1628" s="8">
        <v>1.06</v>
      </c>
      <c r="I1628" s="2">
        <v>12.095024</v>
      </c>
      <c r="J1628" s="7" t="s">
        <v>944</v>
      </c>
    </row>
    <row r="1629" spans="1:10" ht="28.5">
      <c r="A1629" t="s">
        <v>943</v>
      </c>
      <c r="B1629" t="s">
        <v>1394</v>
      </c>
      <c r="C1629" t="s">
        <v>3171</v>
      </c>
      <c r="D1629" t="s">
        <v>3172</v>
      </c>
      <c r="E1629" t="s">
        <v>321</v>
      </c>
      <c r="F1629" t="s">
        <v>253</v>
      </c>
      <c r="G1629" t="s">
        <v>1388</v>
      </c>
      <c r="H1629" s="8">
        <v>0.28000000000000003</v>
      </c>
      <c r="I1629" s="2">
        <v>3.194912</v>
      </c>
      <c r="J1629" s="7" t="s">
        <v>944</v>
      </c>
    </row>
    <row r="1630" spans="1:10" ht="28.5">
      <c r="A1630" t="s">
        <v>943</v>
      </c>
      <c r="B1630" t="s">
        <v>1394</v>
      </c>
      <c r="C1630" t="s">
        <v>3177</v>
      </c>
      <c r="D1630" t="s">
        <v>3178</v>
      </c>
      <c r="E1630" t="s">
        <v>801</v>
      </c>
      <c r="F1630" t="s">
        <v>23</v>
      </c>
      <c r="G1630" t="s">
        <v>1388</v>
      </c>
      <c r="H1630" s="8">
        <v>0.05</v>
      </c>
      <c r="I1630" s="2">
        <v>0.57052000000000003</v>
      </c>
      <c r="J1630" s="7" t="s">
        <v>944</v>
      </c>
    </row>
    <row r="1631" spans="1:10" ht="28.5">
      <c r="A1631" t="s">
        <v>943</v>
      </c>
      <c r="B1631" t="s">
        <v>1394</v>
      </c>
      <c r="C1631" t="s">
        <v>3183</v>
      </c>
      <c r="D1631" t="s">
        <v>3184</v>
      </c>
      <c r="E1631" t="s">
        <v>706</v>
      </c>
      <c r="F1631" t="s">
        <v>38</v>
      </c>
      <c r="G1631" t="s">
        <v>1388</v>
      </c>
      <c r="H1631" s="8">
        <v>0.1</v>
      </c>
      <c r="I1631" s="2">
        <v>1.1410400000000001</v>
      </c>
      <c r="J1631" s="7" t="s">
        <v>944</v>
      </c>
    </row>
    <row r="1632" spans="1:10" ht="28.5">
      <c r="A1632" t="s">
        <v>943</v>
      </c>
      <c r="B1632" t="s">
        <v>1394</v>
      </c>
      <c r="C1632" t="s">
        <v>3187</v>
      </c>
      <c r="D1632" t="s">
        <v>3188</v>
      </c>
      <c r="E1632" t="s">
        <v>957</v>
      </c>
      <c r="F1632" t="s">
        <v>253</v>
      </c>
      <c r="G1632" t="s">
        <v>1388</v>
      </c>
      <c r="H1632" s="8">
        <v>0.03</v>
      </c>
      <c r="I1632" s="2">
        <v>0.34231200000000001</v>
      </c>
      <c r="J1632" s="7" t="s">
        <v>944</v>
      </c>
    </row>
    <row r="1633" spans="1:10" ht="28.5">
      <c r="A1633" t="s">
        <v>943</v>
      </c>
      <c r="B1633" t="s">
        <v>1394</v>
      </c>
      <c r="C1633" t="s">
        <v>3189</v>
      </c>
      <c r="D1633" t="s">
        <v>3190</v>
      </c>
      <c r="E1633" t="s">
        <v>553</v>
      </c>
      <c r="F1633" t="s">
        <v>23</v>
      </c>
      <c r="G1633" t="s">
        <v>1388</v>
      </c>
      <c r="H1633" s="8">
        <v>0.08</v>
      </c>
      <c r="I1633" s="2">
        <v>0.91283199999999998</v>
      </c>
      <c r="J1633" s="7" t="s">
        <v>944</v>
      </c>
    </row>
    <row r="1634" spans="1:10" ht="28.5">
      <c r="A1634" t="s">
        <v>943</v>
      </c>
      <c r="B1634" t="s">
        <v>1394</v>
      </c>
      <c r="C1634" t="s">
        <v>3194</v>
      </c>
      <c r="D1634" t="s">
        <v>3195</v>
      </c>
      <c r="E1634" t="s">
        <v>622</v>
      </c>
      <c r="F1634" t="s">
        <v>23</v>
      </c>
      <c r="G1634" t="s">
        <v>1388</v>
      </c>
      <c r="H1634" s="8">
        <v>0.08</v>
      </c>
      <c r="I1634" s="2">
        <v>0.91283199999999998</v>
      </c>
      <c r="J1634" s="7" t="s">
        <v>944</v>
      </c>
    </row>
    <row r="1635" spans="1:10" ht="28.5">
      <c r="A1635" t="s">
        <v>943</v>
      </c>
      <c r="B1635" t="s">
        <v>1394</v>
      </c>
      <c r="C1635" t="s">
        <v>3204</v>
      </c>
      <c r="D1635" t="s">
        <v>3205</v>
      </c>
      <c r="E1635" t="s">
        <v>303</v>
      </c>
      <c r="F1635" t="s">
        <v>23</v>
      </c>
      <c r="G1635" t="s">
        <v>1388</v>
      </c>
      <c r="H1635" s="8">
        <v>0.31</v>
      </c>
      <c r="I1635" s="2">
        <v>3.5372240000000001</v>
      </c>
      <c r="J1635" s="7" t="s">
        <v>944</v>
      </c>
    </row>
    <row r="1636" spans="1:10" ht="28.5">
      <c r="A1636" t="s">
        <v>943</v>
      </c>
      <c r="B1636" t="s">
        <v>1394</v>
      </c>
      <c r="C1636" t="s">
        <v>3215</v>
      </c>
      <c r="D1636" t="s">
        <v>3216</v>
      </c>
      <c r="E1636" t="s">
        <v>409</v>
      </c>
      <c r="F1636" t="s">
        <v>27</v>
      </c>
      <c r="G1636" t="s">
        <v>1388</v>
      </c>
      <c r="H1636" s="8">
        <v>0.2</v>
      </c>
      <c r="I1636" s="2">
        <v>2.2820800000000001</v>
      </c>
      <c r="J1636" s="7" t="s">
        <v>944</v>
      </c>
    </row>
    <row r="1637" spans="1:10" ht="28.5">
      <c r="A1637" t="s">
        <v>943</v>
      </c>
      <c r="B1637" t="s">
        <v>1394</v>
      </c>
      <c r="C1637" t="s">
        <v>3217</v>
      </c>
      <c r="D1637" t="s">
        <v>3218</v>
      </c>
      <c r="E1637" t="s">
        <v>413</v>
      </c>
      <c r="F1637" t="s">
        <v>38</v>
      </c>
      <c r="G1637" t="s">
        <v>1388</v>
      </c>
      <c r="H1637" s="8">
        <v>0.19</v>
      </c>
      <c r="I1637" s="2">
        <v>2.1679759999999999</v>
      </c>
      <c r="J1637" s="7" t="s">
        <v>944</v>
      </c>
    </row>
    <row r="1638" spans="1:10" ht="28.5">
      <c r="A1638" t="s">
        <v>943</v>
      </c>
      <c r="B1638" t="s">
        <v>1394</v>
      </c>
      <c r="C1638" t="s">
        <v>3219</v>
      </c>
      <c r="D1638" t="s">
        <v>3220</v>
      </c>
      <c r="E1638" t="s">
        <v>832</v>
      </c>
      <c r="F1638" t="s">
        <v>50</v>
      </c>
      <c r="G1638" t="s">
        <v>1388</v>
      </c>
      <c r="H1638" s="8">
        <v>0.06</v>
      </c>
      <c r="I1638" s="2">
        <v>0.68462400000000001</v>
      </c>
      <c r="J1638" s="7" t="s">
        <v>944</v>
      </c>
    </row>
    <row r="1639" spans="1:10" ht="28.5">
      <c r="A1639" t="s">
        <v>943</v>
      </c>
      <c r="B1639" t="s">
        <v>1394</v>
      </c>
      <c r="C1639" t="s">
        <v>3223</v>
      </c>
      <c r="D1639" t="s">
        <v>3224</v>
      </c>
      <c r="E1639" t="s">
        <v>963</v>
      </c>
      <c r="F1639" t="s">
        <v>33</v>
      </c>
      <c r="G1639" t="s">
        <v>1388</v>
      </c>
      <c r="H1639" s="8">
        <v>0.03</v>
      </c>
      <c r="I1639" s="2">
        <v>0.34231200000000001</v>
      </c>
      <c r="J1639" s="7" t="s">
        <v>944</v>
      </c>
    </row>
    <row r="1640" spans="1:10" ht="28.5">
      <c r="A1640" t="s">
        <v>943</v>
      </c>
      <c r="B1640" t="s">
        <v>1394</v>
      </c>
      <c r="C1640" t="s">
        <v>3227</v>
      </c>
      <c r="D1640" t="s">
        <v>3228</v>
      </c>
      <c r="E1640" t="s">
        <v>181</v>
      </c>
      <c r="F1640" t="s">
        <v>25</v>
      </c>
      <c r="G1640" t="s">
        <v>1388</v>
      </c>
      <c r="H1640" s="8">
        <v>1.47</v>
      </c>
      <c r="I1640" s="2">
        <v>16.773288000000001</v>
      </c>
      <c r="J1640" s="7" t="s">
        <v>944</v>
      </c>
    </row>
    <row r="1641" spans="1:10" ht="28.5">
      <c r="A1641" t="s">
        <v>943</v>
      </c>
      <c r="B1641" t="s">
        <v>1394</v>
      </c>
      <c r="C1641" t="s">
        <v>3233</v>
      </c>
      <c r="D1641" t="s">
        <v>3234</v>
      </c>
      <c r="E1641" t="s">
        <v>938</v>
      </c>
      <c r="F1641" t="s">
        <v>23</v>
      </c>
      <c r="G1641" t="s">
        <v>1388</v>
      </c>
      <c r="H1641" s="8">
        <v>0.05</v>
      </c>
      <c r="I1641" s="2">
        <v>0.57052000000000003</v>
      </c>
      <c r="J1641" s="7" t="s">
        <v>944</v>
      </c>
    </row>
    <row r="1642" spans="1:10" ht="28.5">
      <c r="A1642" t="s">
        <v>943</v>
      </c>
      <c r="B1642" t="s">
        <v>1394</v>
      </c>
      <c r="C1642" t="s">
        <v>3261</v>
      </c>
      <c r="D1642" t="s">
        <v>3262</v>
      </c>
      <c r="E1642" t="s">
        <v>570</v>
      </c>
      <c r="F1642" t="s">
        <v>23</v>
      </c>
      <c r="G1642" t="s">
        <v>1388</v>
      </c>
      <c r="H1642" s="8">
        <v>0.09</v>
      </c>
      <c r="I1642" s="2">
        <v>1.0269359999999998</v>
      </c>
      <c r="J1642" s="7" t="s">
        <v>944</v>
      </c>
    </row>
    <row r="1643" spans="1:10" ht="28.5">
      <c r="A1643" t="s">
        <v>943</v>
      </c>
      <c r="B1643" t="s">
        <v>1394</v>
      </c>
      <c r="C1643" t="s">
        <v>3267</v>
      </c>
      <c r="D1643" t="s">
        <v>3268</v>
      </c>
      <c r="E1643" t="s">
        <v>694</v>
      </c>
      <c r="F1643" t="s">
        <v>38</v>
      </c>
      <c r="G1643" t="s">
        <v>1388</v>
      </c>
      <c r="H1643" s="8">
        <v>0.11</v>
      </c>
      <c r="I1643" s="2">
        <v>1.255144</v>
      </c>
      <c r="J1643" s="7" t="s">
        <v>944</v>
      </c>
    </row>
    <row r="1644" spans="1:10" ht="28.5">
      <c r="A1644" t="s">
        <v>943</v>
      </c>
      <c r="B1644" t="s">
        <v>1394</v>
      </c>
      <c r="C1644" t="s">
        <v>3269</v>
      </c>
      <c r="D1644" t="s">
        <v>3270</v>
      </c>
      <c r="E1644" t="s">
        <v>220</v>
      </c>
      <c r="F1644" t="s">
        <v>25</v>
      </c>
      <c r="G1644" t="s">
        <v>1388</v>
      </c>
      <c r="H1644" s="8">
        <v>0.63</v>
      </c>
      <c r="I1644" s="2">
        <v>7.1885519999999996</v>
      </c>
      <c r="J1644" s="7" t="s">
        <v>944</v>
      </c>
    </row>
    <row r="1645" spans="1:10" ht="28.5">
      <c r="A1645" t="s">
        <v>943</v>
      </c>
      <c r="B1645" t="s">
        <v>1394</v>
      </c>
      <c r="C1645" t="s">
        <v>3273</v>
      </c>
      <c r="D1645" t="s">
        <v>3274</v>
      </c>
      <c r="E1645" t="s">
        <v>326</v>
      </c>
      <c r="F1645" t="s">
        <v>124</v>
      </c>
      <c r="G1645" t="s">
        <v>1388</v>
      </c>
      <c r="H1645" s="8">
        <v>0.27</v>
      </c>
      <c r="I1645" s="2">
        <v>3.0808080000000002</v>
      </c>
      <c r="J1645" s="7" t="s">
        <v>944</v>
      </c>
    </row>
    <row r="1646" spans="1:10" ht="28.5">
      <c r="A1646" t="s">
        <v>943</v>
      </c>
      <c r="B1646" t="s">
        <v>1394</v>
      </c>
      <c r="C1646" t="s">
        <v>3279</v>
      </c>
      <c r="D1646" t="s">
        <v>3280</v>
      </c>
      <c r="E1646" t="s">
        <v>632</v>
      </c>
      <c r="F1646" t="s">
        <v>23</v>
      </c>
      <c r="G1646" t="s">
        <v>1388</v>
      </c>
      <c r="H1646" s="8">
        <v>7.0000000000000007E-2</v>
      </c>
      <c r="I1646" s="2">
        <v>0.79872799999999999</v>
      </c>
      <c r="J1646" s="7" t="s">
        <v>944</v>
      </c>
    </row>
    <row r="1647" spans="1:10" ht="28.5">
      <c r="A1647" t="s">
        <v>943</v>
      </c>
      <c r="B1647" t="s">
        <v>1394</v>
      </c>
      <c r="C1647" t="s">
        <v>3287</v>
      </c>
      <c r="D1647" t="s">
        <v>3288</v>
      </c>
      <c r="E1647" t="s">
        <v>791</v>
      </c>
      <c r="F1647" t="s">
        <v>50</v>
      </c>
      <c r="G1647" t="s">
        <v>1388</v>
      </c>
      <c r="H1647" s="8">
        <v>0.08</v>
      </c>
      <c r="I1647" s="2">
        <v>0.91283199999999998</v>
      </c>
      <c r="J1647" s="7" t="s">
        <v>944</v>
      </c>
    </row>
    <row r="1648" spans="1:10" ht="28.5">
      <c r="A1648" t="s">
        <v>943</v>
      </c>
      <c r="B1648" t="s">
        <v>1394</v>
      </c>
      <c r="C1648" t="s">
        <v>3291</v>
      </c>
      <c r="D1648" t="s">
        <v>3293</v>
      </c>
      <c r="E1648" t="s">
        <v>222</v>
      </c>
      <c r="F1648" t="s">
        <v>41</v>
      </c>
      <c r="G1648" t="s">
        <v>1388</v>
      </c>
      <c r="H1648" s="8">
        <v>0.45</v>
      </c>
      <c r="I1648" s="2">
        <v>5.1346799999999995</v>
      </c>
      <c r="J1648" s="7" t="s">
        <v>944</v>
      </c>
    </row>
    <row r="1649" spans="1:10" ht="28.5">
      <c r="A1649" t="s">
        <v>943</v>
      </c>
      <c r="B1649" t="s">
        <v>1394</v>
      </c>
      <c r="C1649" t="s">
        <v>3305</v>
      </c>
      <c r="D1649" t="s">
        <v>3306</v>
      </c>
      <c r="E1649" t="s">
        <v>1339</v>
      </c>
      <c r="F1649" t="s">
        <v>50</v>
      </c>
      <c r="G1649" t="s">
        <v>1388</v>
      </c>
      <c r="H1649" s="8">
        <v>0.01</v>
      </c>
      <c r="I1649" s="2">
        <v>0.114104</v>
      </c>
      <c r="J1649" s="7" t="s">
        <v>944</v>
      </c>
    </row>
    <row r="1650" spans="1:10" ht="28.5">
      <c r="A1650" t="s">
        <v>943</v>
      </c>
      <c r="B1650" t="s">
        <v>1394</v>
      </c>
      <c r="C1650" t="s">
        <v>3307</v>
      </c>
      <c r="D1650" t="s">
        <v>3308</v>
      </c>
      <c r="E1650" t="s">
        <v>621</v>
      </c>
      <c r="F1650" t="s">
        <v>27</v>
      </c>
      <c r="G1650" t="s">
        <v>1388</v>
      </c>
      <c r="H1650" s="8">
        <v>0.11</v>
      </c>
      <c r="I1650" s="2">
        <v>1.255144</v>
      </c>
      <c r="J1650" s="7" t="s">
        <v>944</v>
      </c>
    </row>
    <row r="1651" spans="1:10" ht="28.5">
      <c r="A1651" t="s">
        <v>943</v>
      </c>
      <c r="B1651" t="s">
        <v>1394</v>
      </c>
      <c r="C1651" t="s">
        <v>1473</v>
      </c>
      <c r="D1651" t="s">
        <v>3313</v>
      </c>
      <c r="E1651" t="s">
        <v>367</v>
      </c>
      <c r="F1651" t="s">
        <v>25</v>
      </c>
      <c r="G1651" t="s">
        <v>1388</v>
      </c>
      <c r="H1651" s="8">
        <v>0.22</v>
      </c>
      <c r="I1651" s="2">
        <v>2.5102880000000001</v>
      </c>
      <c r="J1651" s="7" t="s">
        <v>944</v>
      </c>
    </row>
    <row r="1652" spans="1:10" ht="28.5">
      <c r="A1652" t="s">
        <v>943</v>
      </c>
      <c r="B1652" t="s">
        <v>1394</v>
      </c>
      <c r="C1652" t="s">
        <v>3318</v>
      </c>
      <c r="D1652" t="s">
        <v>3319</v>
      </c>
      <c r="E1652" t="s">
        <v>457</v>
      </c>
      <c r="F1652" t="s">
        <v>33</v>
      </c>
      <c r="G1652" t="s">
        <v>1388</v>
      </c>
      <c r="H1652" s="8">
        <v>0.15</v>
      </c>
      <c r="I1652" s="2">
        <v>1.7115599999999997</v>
      </c>
      <c r="J1652" s="7" t="s">
        <v>944</v>
      </c>
    </row>
    <row r="1653" spans="1:10" ht="28.5">
      <c r="A1653" t="s">
        <v>943</v>
      </c>
      <c r="B1653" t="s">
        <v>1394</v>
      </c>
      <c r="C1653" t="s">
        <v>3324</v>
      </c>
      <c r="D1653" t="s">
        <v>3325</v>
      </c>
      <c r="E1653" t="s">
        <v>386</v>
      </c>
      <c r="F1653" t="s">
        <v>253</v>
      </c>
      <c r="G1653" t="s">
        <v>1388</v>
      </c>
      <c r="H1653" s="8">
        <v>0.2</v>
      </c>
      <c r="I1653" s="2">
        <v>2.2820800000000001</v>
      </c>
      <c r="J1653" s="7" t="s">
        <v>944</v>
      </c>
    </row>
    <row r="1654" spans="1:10" ht="28.5">
      <c r="A1654" t="s">
        <v>943</v>
      </c>
      <c r="B1654" t="s">
        <v>1394</v>
      </c>
      <c r="C1654" t="s">
        <v>3326</v>
      </c>
      <c r="D1654" t="s">
        <v>3327</v>
      </c>
      <c r="E1654" t="s">
        <v>819</v>
      </c>
      <c r="F1654" t="s">
        <v>50</v>
      </c>
      <c r="G1654" t="s">
        <v>1388</v>
      </c>
      <c r="H1654" s="8">
        <v>0.06</v>
      </c>
      <c r="I1654" s="2">
        <v>0.68462400000000001</v>
      </c>
      <c r="J1654" s="7" t="s">
        <v>944</v>
      </c>
    </row>
    <row r="1655" spans="1:10" ht="28.5">
      <c r="A1655" t="s">
        <v>943</v>
      </c>
      <c r="B1655" t="s">
        <v>1394</v>
      </c>
      <c r="C1655" t="s">
        <v>3338</v>
      </c>
      <c r="D1655" t="s">
        <v>3339</v>
      </c>
      <c r="E1655" t="s">
        <v>720</v>
      </c>
      <c r="F1655" t="s">
        <v>108</v>
      </c>
      <c r="G1655" t="s">
        <v>1388</v>
      </c>
      <c r="H1655" s="8">
        <v>0.09</v>
      </c>
      <c r="I1655" s="2">
        <v>1.0269359999999998</v>
      </c>
      <c r="J1655" s="7" t="s">
        <v>944</v>
      </c>
    </row>
    <row r="1656" spans="1:10" ht="28.5">
      <c r="A1656" t="s">
        <v>943</v>
      </c>
      <c r="B1656" t="s">
        <v>1394</v>
      </c>
      <c r="C1656" t="s">
        <v>1477</v>
      </c>
      <c r="D1656" t="s">
        <v>1478</v>
      </c>
      <c r="E1656" t="s">
        <v>173</v>
      </c>
      <c r="F1656" t="s">
        <v>25</v>
      </c>
      <c r="G1656" t="s">
        <v>1388</v>
      </c>
      <c r="H1656" s="8">
        <v>0.55000000000000004</v>
      </c>
      <c r="I1656" s="2">
        <v>6.2757199999999997</v>
      </c>
      <c r="J1656" s="7" t="s">
        <v>944</v>
      </c>
    </row>
    <row r="1657" spans="1:10" ht="28.5">
      <c r="A1657" t="s">
        <v>943</v>
      </c>
      <c r="B1657" t="s">
        <v>1394</v>
      </c>
      <c r="C1657" t="s">
        <v>1741</v>
      </c>
      <c r="D1657" t="s">
        <v>3352</v>
      </c>
      <c r="E1657" t="s">
        <v>200</v>
      </c>
      <c r="F1657" t="s">
        <v>33</v>
      </c>
      <c r="G1657" t="s">
        <v>1388</v>
      </c>
      <c r="H1657" s="8">
        <v>0.73</v>
      </c>
      <c r="I1657" s="2">
        <v>8.3295919999999999</v>
      </c>
      <c r="J1657" s="7" t="s">
        <v>944</v>
      </c>
    </row>
    <row r="1658" spans="1:10" ht="28.5">
      <c r="A1658" t="s">
        <v>943</v>
      </c>
      <c r="B1658" t="s">
        <v>1394</v>
      </c>
      <c r="C1658" t="s">
        <v>3355</v>
      </c>
      <c r="D1658" t="s">
        <v>3356</v>
      </c>
      <c r="E1658" t="s">
        <v>699</v>
      </c>
      <c r="F1658" t="s">
        <v>124</v>
      </c>
      <c r="G1658" t="s">
        <v>1388</v>
      </c>
      <c r="H1658" s="8">
        <v>0.08</v>
      </c>
      <c r="I1658" s="2">
        <v>0.91283199999999998</v>
      </c>
      <c r="J1658" s="7" t="s">
        <v>944</v>
      </c>
    </row>
    <row r="1659" spans="1:10" ht="28.5">
      <c r="A1659" t="s">
        <v>943</v>
      </c>
      <c r="B1659" t="s">
        <v>1394</v>
      </c>
      <c r="C1659" t="s">
        <v>3364</v>
      </c>
      <c r="D1659" t="s">
        <v>3365</v>
      </c>
      <c r="E1659" t="s">
        <v>947</v>
      </c>
      <c r="F1659" t="s">
        <v>23</v>
      </c>
      <c r="G1659" t="s">
        <v>1388</v>
      </c>
      <c r="H1659" s="8">
        <v>0.04</v>
      </c>
      <c r="I1659" s="2">
        <v>0.45641599999999999</v>
      </c>
      <c r="J1659" s="7" t="s">
        <v>944</v>
      </c>
    </row>
    <row r="1660" spans="1:10" ht="28.5">
      <c r="A1660" t="s">
        <v>943</v>
      </c>
      <c r="B1660" t="s">
        <v>1394</v>
      </c>
      <c r="C1660" t="s">
        <v>3378</v>
      </c>
      <c r="D1660" t="s">
        <v>3379</v>
      </c>
      <c r="E1660" t="s">
        <v>563</v>
      </c>
      <c r="F1660" t="s">
        <v>25</v>
      </c>
      <c r="G1660" t="s">
        <v>1388</v>
      </c>
      <c r="H1660" s="8">
        <v>0.15</v>
      </c>
      <c r="I1660" s="2">
        <v>1.7115599999999997</v>
      </c>
      <c r="J1660" s="7" t="s">
        <v>944</v>
      </c>
    </row>
    <row r="1661" spans="1:10" ht="28.5">
      <c r="A1661" t="s">
        <v>943</v>
      </c>
      <c r="B1661" t="s">
        <v>1394</v>
      </c>
      <c r="C1661" t="s">
        <v>3386</v>
      </c>
      <c r="D1661" t="s">
        <v>3387</v>
      </c>
      <c r="E1661" t="s">
        <v>811</v>
      </c>
      <c r="F1661" t="s">
        <v>50</v>
      </c>
      <c r="G1661" t="s">
        <v>1388</v>
      </c>
      <c r="H1661" s="8">
        <v>7.0000000000000007E-2</v>
      </c>
      <c r="I1661" s="2">
        <v>0.79872799999999999</v>
      </c>
      <c r="J1661" s="7" t="s">
        <v>944</v>
      </c>
    </row>
    <row r="1662" spans="1:10" ht="28.5">
      <c r="A1662" t="s">
        <v>943</v>
      </c>
      <c r="B1662" t="s">
        <v>1394</v>
      </c>
      <c r="C1662" t="s">
        <v>3348</v>
      </c>
      <c r="D1662" t="s">
        <v>3392</v>
      </c>
      <c r="E1662" t="s">
        <v>636</v>
      </c>
      <c r="F1662" t="s">
        <v>38</v>
      </c>
      <c r="G1662" t="s">
        <v>1388</v>
      </c>
      <c r="H1662" s="8">
        <v>0.12</v>
      </c>
      <c r="I1662" s="2">
        <v>1.369248</v>
      </c>
      <c r="J1662" s="7" t="s">
        <v>944</v>
      </c>
    </row>
    <row r="1663" spans="1:10" ht="28.5">
      <c r="A1663" t="s">
        <v>943</v>
      </c>
      <c r="B1663" t="s">
        <v>1394</v>
      </c>
      <c r="C1663" t="s">
        <v>3393</v>
      </c>
      <c r="D1663" t="s">
        <v>3394</v>
      </c>
      <c r="E1663" t="s">
        <v>1335</v>
      </c>
      <c r="F1663" t="s">
        <v>253</v>
      </c>
      <c r="G1663" t="s">
        <v>1388</v>
      </c>
      <c r="H1663" s="8">
        <v>0.02</v>
      </c>
      <c r="I1663" s="2">
        <v>0.22820799999999999</v>
      </c>
      <c r="J1663" s="7" t="s">
        <v>944</v>
      </c>
    </row>
    <row r="1664" spans="1:10" ht="28.5">
      <c r="A1664" t="s">
        <v>943</v>
      </c>
      <c r="B1664" t="s">
        <v>1394</v>
      </c>
      <c r="C1664" t="s">
        <v>3399</v>
      </c>
      <c r="D1664" t="s">
        <v>3400</v>
      </c>
      <c r="E1664" t="s">
        <v>453</v>
      </c>
      <c r="F1664" t="s">
        <v>108</v>
      </c>
      <c r="G1664" t="s">
        <v>1388</v>
      </c>
      <c r="H1664" s="8">
        <v>0.18</v>
      </c>
      <c r="I1664" s="2">
        <v>2.0538719999999997</v>
      </c>
      <c r="J1664" s="7" t="s">
        <v>944</v>
      </c>
    </row>
    <row r="1665" spans="1:10" ht="28.5">
      <c r="A1665" t="s">
        <v>943</v>
      </c>
      <c r="B1665" t="s">
        <v>1394</v>
      </c>
      <c r="C1665" t="s">
        <v>1483</v>
      </c>
      <c r="D1665" t="s">
        <v>1484</v>
      </c>
      <c r="E1665" t="s">
        <v>140</v>
      </c>
      <c r="F1665" t="s">
        <v>124</v>
      </c>
      <c r="G1665" t="s">
        <v>1388</v>
      </c>
      <c r="H1665" s="8">
        <v>1.06</v>
      </c>
      <c r="I1665" s="2">
        <v>12.095024</v>
      </c>
      <c r="J1665" s="7" t="s">
        <v>944</v>
      </c>
    </row>
    <row r="1666" spans="1:10" ht="28.5">
      <c r="A1666" t="s">
        <v>943</v>
      </c>
      <c r="B1666" t="s">
        <v>1394</v>
      </c>
      <c r="C1666" t="s">
        <v>3417</v>
      </c>
      <c r="D1666" t="s">
        <v>3418</v>
      </c>
      <c r="E1666" t="s">
        <v>700</v>
      </c>
      <c r="F1666" t="s">
        <v>33</v>
      </c>
      <c r="G1666" t="s">
        <v>1388</v>
      </c>
      <c r="H1666" s="8">
        <v>0.08</v>
      </c>
      <c r="I1666" s="2">
        <v>0.91283199999999998</v>
      </c>
      <c r="J1666" s="7" t="s">
        <v>944</v>
      </c>
    </row>
    <row r="1667" spans="1:10" ht="28.5">
      <c r="A1667" t="s">
        <v>943</v>
      </c>
      <c r="B1667" t="s">
        <v>1394</v>
      </c>
      <c r="C1667" t="s">
        <v>3425</v>
      </c>
      <c r="D1667" t="s">
        <v>3426</v>
      </c>
      <c r="E1667" t="s">
        <v>818</v>
      </c>
      <c r="F1667" t="s">
        <v>33</v>
      </c>
      <c r="G1667" t="s">
        <v>1388</v>
      </c>
      <c r="H1667" s="8">
        <v>0.04</v>
      </c>
      <c r="I1667" s="2">
        <v>0.45641599999999999</v>
      </c>
      <c r="J1667" s="7" t="s">
        <v>944</v>
      </c>
    </row>
    <row r="1668" spans="1:10" ht="28.5">
      <c r="A1668" t="s">
        <v>943</v>
      </c>
      <c r="B1668" t="s">
        <v>1394</v>
      </c>
      <c r="C1668" t="s">
        <v>3433</v>
      </c>
      <c r="D1668" t="s">
        <v>3434</v>
      </c>
      <c r="E1668" t="s">
        <v>262</v>
      </c>
      <c r="F1668" t="s">
        <v>263</v>
      </c>
      <c r="G1668" t="s">
        <v>1388</v>
      </c>
      <c r="H1668" s="8">
        <v>0.34</v>
      </c>
      <c r="I1668" s="2">
        <v>3.8795359999999999</v>
      </c>
      <c r="J1668" s="7" t="s">
        <v>944</v>
      </c>
    </row>
    <row r="1669" spans="1:10" ht="28.5">
      <c r="A1669" t="s">
        <v>943</v>
      </c>
      <c r="B1669" t="s">
        <v>1394</v>
      </c>
      <c r="C1669" t="s">
        <v>3435</v>
      </c>
      <c r="D1669" t="s">
        <v>3436</v>
      </c>
      <c r="E1669" t="s">
        <v>794</v>
      </c>
      <c r="F1669" t="s">
        <v>50</v>
      </c>
      <c r="G1669" t="s">
        <v>1388</v>
      </c>
      <c r="H1669" s="8">
        <v>0.08</v>
      </c>
      <c r="I1669" s="2">
        <v>0.91283199999999998</v>
      </c>
      <c r="J1669" s="7" t="s">
        <v>944</v>
      </c>
    </row>
    <row r="1670" spans="1:10" ht="28.5">
      <c r="A1670" t="s">
        <v>943</v>
      </c>
      <c r="B1670" t="s">
        <v>1394</v>
      </c>
      <c r="C1670" t="s">
        <v>3443</v>
      </c>
      <c r="D1670" t="s">
        <v>3444</v>
      </c>
      <c r="E1670" t="s">
        <v>800</v>
      </c>
      <c r="F1670" t="s">
        <v>263</v>
      </c>
      <c r="G1670" t="s">
        <v>1388</v>
      </c>
      <c r="H1670" s="8">
        <v>0.08</v>
      </c>
      <c r="I1670" s="2">
        <v>0.91283199999999998</v>
      </c>
      <c r="J1670" s="7" t="s">
        <v>944</v>
      </c>
    </row>
    <row r="1671" spans="1:10" ht="28.5">
      <c r="A1671" t="s">
        <v>943</v>
      </c>
      <c r="B1671" t="s">
        <v>1394</v>
      </c>
      <c r="C1671" t="s">
        <v>3445</v>
      </c>
      <c r="D1671" t="s">
        <v>3446</v>
      </c>
      <c r="E1671" t="s">
        <v>1123</v>
      </c>
      <c r="F1671" t="s">
        <v>50</v>
      </c>
      <c r="G1671" t="s">
        <v>1388</v>
      </c>
      <c r="H1671" s="8">
        <v>0.05</v>
      </c>
      <c r="I1671" s="2">
        <v>0.57052000000000003</v>
      </c>
      <c r="J1671" s="7" t="s">
        <v>944</v>
      </c>
    </row>
    <row r="1672" spans="1:10" ht="28.5">
      <c r="A1672" t="s">
        <v>943</v>
      </c>
      <c r="B1672" t="s">
        <v>1394</v>
      </c>
      <c r="C1672" t="s">
        <v>3449</v>
      </c>
      <c r="D1672" t="s">
        <v>3450</v>
      </c>
      <c r="E1672" t="s">
        <v>809</v>
      </c>
      <c r="F1672" t="s">
        <v>50</v>
      </c>
      <c r="G1672" t="s">
        <v>1388</v>
      </c>
      <c r="H1672" s="8">
        <v>7.0000000000000007E-2</v>
      </c>
      <c r="I1672" s="2">
        <v>0.79872799999999999</v>
      </c>
      <c r="J1672" s="7" t="s">
        <v>944</v>
      </c>
    </row>
    <row r="1673" spans="1:10" ht="28.5">
      <c r="A1673" t="s">
        <v>943</v>
      </c>
      <c r="B1673" t="s">
        <v>1394</v>
      </c>
      <c r="C1673" t="s">
        <v>3451</v>
      </c>
      <c r="D1673" t="s">
        <v>3451</v>
      </c>
      <c r="E1673" t="s">
        <v>793</v>
      </c>
      <c r="F1673" t="s">
        <v>50</v>
      </c>
      <c r="G1673" t="s">
        <v>1388</v>
      </c>
      <c r="H1673" s="8">
        <v>0.08</v>
      </c>
      <c r="I1673" s="2">
        <v>0.91283199999999998</v>
      </c>
      <c r="J1673" s="7" t="s">
        <v>944</v>
      </c>
    </row>
    <row r="1674" spans="1:10" ht="28.5">
      <c r="A1674" t="s">
        <v>943</v>
      </c>
      <c r="B1674" t="s">
        <v>1394</v>
      </c>
      <c r="C1674" t="s">
        <v>3456</v>
      </c>
      <c r="D1674" t="s">
        <v>3457</v>
      </c>
      <c r="E1674" t="s">
        <v>933</v>
      </c>
      <c r="F1674" t="s">
        <v>33</v>
      </c>
      <c r="G1674" t="s">
        <v>1388</v>
      </c>
      <c r="H1674" s="8">
        <v>0.05</v>
      </c>
      <c r="I1674" s="2">
        <v>0.57052000000000003</v>
      </c>
      <c r="J1674" s="7" t="s">
        <v>944</v>
      </c>
    </row>
    <row r="1675" spans="1:10" ht="28.5">
      <c r="A1675" t="s">
        <v>943</v>
      </c>
      <c r="B1675" t="s">
        <v>1394</v>
      </c>
      <c r="C1675" t="s">
        <v>3460</v>
      </c>
      <c r="D1675" t="s">
        <v>3461</v>
      </c>
      <c r="E1675" t="s">
        <v>555</v>
      </c>
      <c r="F1675" t="s">
        <v>41</v>
      </c>
      <c r="G1675" t="s">
        <v>1388</v>
      </c>
      <c r="H1675" s="8">
        <v>0.13</v>
      </c>
      <c r="I1675" s="2">
        <v>1.4833519999999998</v>
      </c>
      <c r="J1675" s="7" t="s">
        <v>944</v>
      </c>
    </row>
    <row r="1676" spans="1:10" ht="28.5">
      <c r="A1676" t="s">
        <v>943</v>
      </c>
      <c r="B1676" t="s">
        <v>1394</v>
      </c>
      <c r="C1676" t="s">
        <v>3468</v>
      </c>
      <c r="D1676" t="s">
        <v>3469</v>
      </c>
      <c r="E1676" t="s">
        <v>267</v>
      </c>
      <c r="F1676" t="s">
        <v>23</v>
      </c>
      <c r="G1676" t="s">
        <v>1388</v>
      </c>
      <c r="H1676" s="8">
        <v>0.35</v>
      </c>
      <c r="I1676" s="2">
        <v>3.9936399999999996</v>
      </c>
      <c r="J1676" s="7" t="s">
        <v>944</v>
      </c>
    </row>
    <row r="1677" spans="1:10" ht="28.5">
      <c r="A1677" t="s">
        <v>943</v>
      </c>
      <c r="B1677" t="s">
        <v>1394</v>
      </c>
      <c r="C1677" t="s">
        <v>3460</v>
      </c>
      <c r="D1677" t="s">
        <v>3470</v>
      </c>
      <c r="E1677" t="s">
        <v>970</v>
      </c>
      <c r="F1677" t="s">
        <v>38</v>
      </c>
      <c r="G1677" t="s">
        <v>1388</v>
      </c>
      <c r="H1677" s="8">
        <v>0.03</v>
      </c>
      <c r="I1677" s="2">
        <v>0.34231200000000001</v>
      </c>
      <c r="J1677" s="7" t="s">
        <v>944</v>
      </c>
    </row>
    <row r="1678" spans="1:10" ht="28.5">
      <c r="A1678" t="s">
        <v>943</v>
      </c>
      <c r="B1678" t="s">
        <v>1394</v>
      </c>
      <c r="C1678" t="s">
        <v>3473</v>
      </c>
      <c r="D1678" t="s">
        <v>3474</v>
      </c>
      <c r="E1678" t="s">
        <v>1338</v>
      </c>
      <c r="F1678" t="s">
        <v>23</v>
      </c>
      <c r="G1678" t="s">
        <v>1388</v>
      </c>
      <c r="H1678" s="8">
        <v>0.01</v>
      </c>
      <c r="I1678" s="2">
        <v>0.114104</v>
      </c>
      <c r="J1678" s="7" t="s">
        <v>944</v>
      </c>
    </row>
    <row r="1679" spans="1:10" ht="28.5">
      <c r="A1679" t="s">
        <v>943</v>
      </c>
      <c r="B1679" t="s">
        <v>1394</v>
      </c>
      <c r="C1679" t="s">
        <v>3479</v>
      </c>
      <c r="D1679" t="s">
        <v>3480</v>
      </c>
      <c r="E1679" t="s">
        <v>459</v>
      </c>
      <c r="F1679" t="s">
        <v>23</v>
      </c>
      <c r="G1679" t="s">
        <v>1388</v>
      </c>
      <c r="H1679" s="8">
        <v>0.12</v>
      </c>
      <c r="I1679" s="2">
        <v>1.369248</v>
      </c>
      <c r="J1679" s="7" t="s">
        <v>944</v>
      </c>
    </row>
    <row r="1680" spans="1:10" ht="28.5">
      <c r="A1680" t="s">
        <v>943</v>
      </c>
      <c r="B1680" t="s">
        <v>1394</v>
      </c>
      <c r="C1680" t="s">
        <v>3425</v>
      </c>
      <c r="D1680" t="s">
        <v>3481</v>
      </c>
      <c r="E1680" t="s">
        <v>950</v>
      </c>
      <c r="F1680" t="s">
        <v>33</v>
      </c>
      <c r="G1680" t="s">
        <v>1388</v>
      </c>
      <c r="H1680" s="8">
        <v>0.04</v>
      </c>
      <c r="I1680" s="2">
        <v>0.45641599999999999</v>
      </c>
      <c r="J1680" s="7" t="s">
        <v>944</v>
      </c>
    </row>
    <row r="1681" spans="1:10" ht="28.5">
      <c r="A1681" t="s">
        <v>943</v>
      </c>
      <c r="B1681" t="s">
        <v>1394</v>
      </c>
      <c r="C1681" t="s">
        <v>3486</v>
      </c>
      <c r="D1681" t="s">
        <v>3487</v>
      </c>
      <c r="E1681" t="s">
        <v>712</v>
      </c>
      <c r="F1681" t="s">
        <v>41</v>
      </c>
      <c r="G1681" t="s">
        <v>1388</v>
      </c>
      <c r="H1681" s="8">
        <v>0.09</v>
      </c>
      <c r="I1681" s="2">
        <v>1.0269359999999998</v>
      </c>
      <c r="J1681" s="7" t="s">
        <v>944</v>
      </c>
    </row>
    <row r="1682" spans="1:10" ht="28.5">
      <c r="A1682" t="s">
        <v>943</v>
      </c>
      <c r="B1682" t="s">
        <v>1394</v>
      </c>
      <c r="C1682" t="s">
        <v>3496</v>
      </c>
      <c r="D1682" t="s">
        <v>3497</v>
      </c>
      <c r="E1682" t="s">
        <v>567</v>
      </c>
      <c r="F1682" t="s">
        <v>50</v>
      </c>
      <c r="G1682" t="s">
        <v>1388</v>
      </c>
      <c r="H1682" s="8">
        <v>0.12</v>
      </c>
      <c r="I1682" s="2">
        <v>1.369248</v>
      </c>
      <c r="J1682" s="7" t="s">
        <v>944</v>
      </c>
    </row>
    <row r="1683" spans="1:10" ht="28.5">
      <c r="A1683" t="s">
        <v>943</v>
      </c>
      <c r="B1683" t="s">
        <v>1394</v>
      </c>
      <c r="C1683" t="s">
        <v>3498</v>
      </c>
      <c r="D1683" t="s">
        <v>3499</v>
      </c>
      <c r="E1683" t="s">
        <v>452</v>
      </c>
      <c r="F1683" t="s">
        <v>253</v>
      </c>
      <c r="G1683" t="s">
        <v>1388</v>
      </c>
      <c r="H1683" s="8">
        <v>0.13</v>
      </c>
      <c r="I1683" s="2">
        <v>1.4833519999999998</v>
      </c>
      <c r="J1683" s="7" t="s">
        <v>944</v>
      </c>
    </row>
    <row r="1684" spans="1:10" ht="28.5">
      <c r="A1684" t="s">
        <v>943</v>
      </c>
      <c r="B1684" t="s">
        <v>1394</v>
      </c>
      <c r="C1684" t="s">
        <v>3500</v>
      </c>
      <c r="D1684" t="s">
        <v>3501</v>
      </c>
      <c r="E1684" t="s">
        <v>327</v>
      </c>
      <c r="F1684" t="s">
        <v>23</v>
      </c>
      <c r="G1684" t="s">
        <v>1388</v>
      </c>
      <c r="H1684" s="8">
        <v>0.21</v>
      </c>
      <c r="I1684" s="2">
        <v>2.3961839999999999</v>
      </c>
      <c r="J1684" s="7" t="s">
        <v>944</v>
      </c>
    </row>
    <row r="1685" spans="1:10" ht="28.5">
      <c r="A1685" t="s">
        <v>943</v>
      </c>
      <c r="B1685" t="s">
        <v>1394</v>
      </c>
      <c r="C1685" t="s">
        <v>3508</v>
      </c>
      <c r="D1685" t="s">
        <v>3509</v>
      </c>
      <c r="E1685" t="s">
        <v>393</v>
      </c>
      <c r="F1685" t="s">
        <v>23</v>
      </c>
      <c r="G1685" t="s">
        <v>1388</v>
      </c>
      <c r="H1685" s="8">
        <v>0.12</v>
      </c>
      <c r="I1685" s="2">
        <v>1.369248</v>
      </c>
      <c r="J1685" s="7" t="s">
        <v>944</v>
      </c>
    </row>
    <row r="1686" spans="1:10" ht="28.5">
      <c r="A1686" t="s">
        <v>943</v>
      </c>
      <c r="B1686" t="s">
        <v>1394</v>
      </c>
      <c r="C1686" t="s">
        <v>3512</v>
      </c>
      <c r="D1686" t="s">
        <v>3513</v>
      </c>
      <c r="E1686" t="s">
        <v>417</v>
      </c>
      <c r="F1686" t="s">
        <v>38</v>
      </c>
      <c r="G1686" t="s">
        <v>1388</v>
      </c>
      <c r="H1686" s="8">
        <v>0.24</v>
      </c>
      <c r="I1686" s="2">
        <v>2.738496</v>
      </c>
      <c r="J1686" s="7" t="s">
        <v>944</v>
      </c>
    </row>
    <row r="1687" spans="1:10" ht="28.5">
      <c r="A1687" t="s">
        <v>943</v>
      </c>
      <c r="B1687" t="s">
        <v>1394</v>
      </c>
      <c r="C1687" t="s">
        <v>3516</v>
      </c>
      <c r="D1687" t="s">
        <v>3517</v>
      </c>
      <c r="E1687" t="s">
        <v>245</v>
      </c>
      <c r="F1687" t="s">
        <v>25</v>
      </c>
      <c r="G1687" t="s">
        <v>1388</v>
      </c>
      <c r="H1687" s="8">
        <v>0.49</v>
      </c>
      <c r="I1687" s="2">
        <v>5.5910960000000003</v>
      </c>
      <c r="J1687" s="7" t="s">
        <v>944</v>
      </c>
    </row>
    <row r="1688" spans="1:10" ht="28.5">
      <c r="A1688" t="s">
        <v>943</v>
      </c>
      <c r="B1688" t="s">
        <v>1394</v>
      </c>
      <c r="C1688" t="s">
        <v>3520</v>
      </c>
      <c r="D1688" t="s">
        <v>3521</v>
      </c>
      <c r="E1688" t="s">
        <v>941</v>
      </c>
      <c r="F1688" t="s">
        <v>41</v>
      </c>
      <c r="G1688" t="s">
        <v>1388</v>
      </c>
      <c r="H1688" s="8">
        <v>0.05</v>
      </c>
      <c r="I1688" s="2">
        <v>0.57052000000000003</v>
      </c>
      <c r="J1688" s="7" t="s">
        <v>944</v>
      </c>
    </row>
    <row r="1689" spans="1:10" ht="28.5">
      <c r="A1689" t="s">
        <v>943</v>
      </c>
      <c r="B1689" t="s">
        <v>1394</v>
      </c>
      <c r="C1689" t="s">
        <v>3522</v>
      </c>
      <c r="D1689" t="s">
        <v>3523</v>
      </c>
      <c r="E1689" t="s">
        <v>340</v>
      </c>
      <c r="F1689" t="s">
        <v>25</v>
      </c>
      <c r="G1689" t="s">
        <v>1388</v>
      </c>
      <c r="H1689" s="8">
        <v>0.28000000000000003</v>
      </c>
      <c r="I1689" s="2">
        <v>3.194912</v>
      </c>
      <c r="J1689" s="7" t="s">
        <v>944</v>
      </c>
    </row>
    <row r="1690" spans="1:10" ht="28.5">
      <c r="A1690" t="s">
        <v>943</v>
      </c>
      <c r="B1690" t="s">
        <v>1394</v>
      </c>
      <c r="C1690" t="s">
        <v>3528</v>
      </c>
      <c r="D1690" t="s">
        <v>3529</v>
      </c>
      <c r="E1690" t="s">
        <v>626</v>
      </c>
      <c r="F1690" t="s">
        <v>38</v>
      </c>
      <c r="G1690" t="s">
        <v>1388</v>
      </c>
      <c r="H1690" s="8">
        <v>0.13</v>
      </c>
      <c r="I1690" s="2">
        <v>1.4833519999999998</v>
      </c>
      <c r="J1690" s="7" t="s">
        <v>944</v>
      </c>
    </row>
    <row r="1691" spans="1:10" ht="28.5">
      <c r="A1691" t="s">
        <v>943</v>
      </c>
      <c r="B1691" t="s">
        <v>1394</v>
      </c>
      <c r="C1691" t="s">
        <v>3530</v>
      </c>
      <c r="D1691" t="s">
        <v>3531</v>
      </c>
      <c r="E1691" t="s">
        <v>244</v>
      </c>
      <c r="F1691" t="s">
        <v>50</v>
      </c>
      <c r="G1691" t="s">
        <v>1388</v>
      </c>
      <c r="H1691" s="8">
        <v>0.49</v>
      </c>
      <c r="I1691" s="2">
        <v>5.5910960000000003</v>
      </c>
      <c r="J1691" s="7" t="s">
        <v>944</v>
      </c>
    </row>
    <row r="1692" spans="1:10" ht="28.5">
      <c r="A1692" t="s">
        <v>943</v>
      </c>
      <c r="B1692" t="s">
        <v>1394</v>
      </c>
      <c r="C1692" t="s">
        <v>3534</v>
      </c>
      <c r="D1692" t="s">
        <v>3535</v>
      </c>
      <c r="E1692" t="s">
        <v>790</v>
      </c>
      <c r="F1692" t="s">
        <v>41</v>
      </c>
      <c r="G1692" t="s">
        <v>1388</v>
      </c>
      <c r="H1692" s="8">
        <v>0.08</v>
      </c>
      <c r="I1692" s="2">
        <v>0.91283199999999998</v>
      </c>
      <c r="J1692" s="7" t="s">
        <v>944</v>
      </c>
    </row>
    <row r="1693" spans="1:10" ht="28.5">
      <c r="A1693" t="s">
        <v>943</v>
      </c>
      <c r="B1693" t="s">
        <v>1394</v>
      </c>
      <c r="C1693" t="s">
        <v>3536</v>
      </c>
      <c r="D1693" t="s">
        <v>3537</v>
      </c>
      <c r="E1693" t="s">
        <v>202</v>
      </c>
      <c r="F1693" t="s">
        <v>23</v>
      </c>
      <c r="G1693" t="s">
        <v>1388</v>
      </c>
      <c r="H1693" s="8">
        <v>0.48</v>
      </c>
      <c r="I1693" s="2">
        <v>5.4769920000000001</v>
      </c>
      <c r="J1693" s="7" t="s">
        <v>944</v>
      </c>
    </row>
    <row r="1694" spans="1:10" ht="28.5">
      <c r="A1694" t="s">
        <v>943</v>
      </c>
      <c r="B1694" t="s">
        <v>1394</v>
      </c>
      <c r="C1694" t="s">
        <v>3538</v>
      </c>
      <c r="D1694" t="s">
        <v>3539</v>
      </c>
      <c r="E1694" t="s">
        <v>562</v>
      </c>
      <c r="F1694" t="s">
        <v>23</v>
      </c>
      <c r="G1694" t="s">
        <v>1388</v>
      </c>
      <c r="H1694" s="8">
        <v>0.1</v>
      </c>
      <c r="I1694" s="2">
        <v>1.1410400000000001</v>
      </c>
      <c r="J1694" s="7" t="s">
        <v>944</v>
      </c>
    </row>
    <row r="1695" spans="1:10" ht="28.5">
      <c r="A1695" t="s">
        <v>943</v>
      </c>
      <c r="B1695" t="s">
        <v>1394</v>
      </c>
      <c r="C1695" t="s">
        <v>3544</v>
      </c>
      <c r="D1695" t="s">
        <v>3545</v>
      </c>
      <c r="E1695" t="s">
        <v>366</v>
      </c>
      <c r="F1695" t="s">
        <v>263</v>
      </c>
      <c r="G1695" t="s">
        <v>1388</v>
      </c>
      <c r="H1695" s="8">
        <v>0.25</v>
      </c>
      <c r="I1695" s="2">
        <v>2.8525999999999998</v>
      </c>
      <c r="J1695" s="7" t="s">
        <v>944</v>
      </c>
    </row>
    <row r="1696" spans="1:10" ht="28.5">
      <c r="A1696" t="s">
        <v>943</v>
      </c>
      <c r="B1696" t="s">
        <v>1394</v>
      </c>
      <c r="C1696" t="s">
        <v>3553</v>
      </c>
      <c r="D1696" t="s">
        <v>3554</v>
      </c>
      <c r="E1696" t="s">
        <v>1135</v>
      </c>
      <c r="F1696" t="s">
        <v>108</v>
      </c>
      <c r="G1696" t="s">
        <v>1388</v>
      </c>
      <c r="H1696" s="8">
        <v>0.03</v>
      </c>
      <c r="I1696" s="2">
        <v>0.34231200000000001</v>
      </c>
      <c r="J1696" s="7" t="s">
        <v>944</v>
      </c>
    </row>
    <row r="1697" spans="1:10" ht="28.5">
      <c r="A1697" t="s">
        <v>943</v>
      </c>
      <c r="B1697" t="s">
        <v>1394</v>
      </c>
      <c r="C1697" t="s">
        <v>3555</v>
      </c>
      <c r="D1697" t="s">
        <v>3556</v>
      </c>
      <c r="E1697" t="s">
        <v>625</v>
      </c>
      <c r="F1697" t="s">
        <v>25</v>
      </c>
      <c r="G1697" t="s">
        <v>1388</v>
      </c>
      <c r="H1697" s="8">
        <v>0.13</v>
      </c>
      <c r="I1697" s="2">
        <v>1.4833519999999998</v>
      </c>
      <c r="J1697" s="7" t="s">
        <v>944</v>
      </c>
    </row>
    <row r="1698" spans="1:10" ht="28.5">
      <c r="A1698" t="s">
        <v>943</v>
      </c>
      <c r="B1698" t="s">
        <v>1394</v>
      </c>
      <c r="C1698" t="s">
        <v>3557</v>
      </c>
      <c r="D1698" t="s">
        <v>3558</v>
      </c>
      <c r="E1698" t="s">
        <v>448</v>
      </c>
      <c r="F1698" t="s">
        <v>38</v>
      </c>
      <c r="G1698" t="s">
        <v>1388</v>
      </c>
      <c r="H1698" s="8">
        <v>0.2</v>
      </c>
      <c r="I1698" s="2">
        <v>2.2820800000000001</v>
      </c>
      <c r="J1698" s="7" t="s">
        <v>944</v>
      </c>
    </row>
    <row r="1699" spans="1:10" ht="28.5">
      <c r="A1699" t="s">
        <v>943</v>
      </c>
      <c r="B1699" t="s">
        <v>1394</v>
      </c>
      <c r="C1699" t="s">
        <v>3559</v>
      </c>
      <c r="D1699" t="s">
        <v>3560</v>
      </c>
      <c r="E1699" t="s">
        <v>1127</v>
      </c>
      <c r="F1699" t="s">
        <v>41</v>
      </c>
      <c r="G1699" t="s">
        <v>1388</v>
      </c>
      <c r="H1699" s="8">
        <v>0.02</v>
      </c>
      <c r="I1699" s="2">
        <v>0.22820799999999999</v>
      </c>
      <c r="J1699" s="7" t="s">
        <v>944</v>
      </c>
    </row>
    <row r="1700" spans="1:10" ht="28.5">
      <c r="A1700" t="s">
        <v>943</v>
      </c>
      <c r="B1700" t="s">
        <v>1394</v>
      </c>
      <c r="C1700" t="s">
        <v>3561</v>
      </c>
      <c r="D1700" t="s">
        <v>3562</v>
      </c>
      <c r="E1700" t="s">
        <v>725</v>
      </c>
      <c r="F1700" t="s">
        <v>23</v>
      </c>
      <c r="G1700" t="s">
        <v>1388</v>
      </c>
      <c r="H1700" s="8">
        <v>0.06</v>
      </c>
      <c r="I1700" s="2">
        <v>0.68462400000000001</v>
      </c>
      <c r="J1700" s="7" t="s">
        <v>944</v>
      </c>
    </row>
    <row r="1701" spans="1:10" ht="28.5">
      <c r="A1701" t="s">
        <v>943</v>
      </c>
      <c r="B1701" t="s">
        <v>1394</v>
      </c>
      <c r="C1701" t="s">
        <v>3563</v>
      </c>
      <c r="D1701" t="s">
        <v>3564</v>
      </c>
      <c r="E1701" t="s">
        <v>554</v>
      </c>
      <c r="F1701" t="s">
        <v>23</v>
      </c>
      <c r="G1701" t="s">
        <v>1388</v>
      </c>
      <c r="H1701" s="8">
        <v>0.08</v>
      </c>
      <c r="I1701" s="2">
        <v>0.91283199999999998</v>
      </c>
      <c r="J1701" s="7" t="s">
        <v>944</v>
      </c>
    </row>
    <row r="1702" spans="1:10" ht="28.5">
      <c r="A1702" t="s">
        <v>943</v>
      </c>
      <c r="B1702" t="s">
        <v>1394</v>
      </c>
      <c r="C1702" t="s">
        <v>3567</v>
      </c>
      <c r="D1702" t="s">
        <v>3568</v>
      </c>
      <c r="E1702" t="s">
        <v>942</v>
      </c>
      <c r="F1702" t="s">
        <v>50</v>
      </c>
      <c r="G1702" t="s">
        <v>1388</v>
      </c>
      <c r="H1702" s="8">
        <v>7.0000000000000007E-2</v>
      </c>
      <c r="I1702" s="2">
        <v>0.79872799999999999</v>
      </c>
      <c r="J1702" s="7" t="s">
        <v>944</v>
      </c>
    </row>
    <row r="1703" spans="1:10" ht="28.5">
      <c r="A1703" t="s">
        <v>943</v>
      </c>
      <c r="B1703" t="s">
        <v>1394</v>
      </c>
      <c r="C1703" t="s">
        <v>3577</v>
      </c>
      <c r="D1703" t="s">
        <v>3578</v>
      </c>
      <c r="E1703" t="s">
        <v>953</v>
      </c>
      <c r="F1703" t="s">
        <v>41</v>
      </c>
      <c r="G1703" t="s">
        <v>1388</v>
      </c>
      <c r="H1703" s="8">
        <v>0.04</v>
      </c>
      <c r="I1703" s="2">
        <v>0.45641599999999999</v>
      </c>
      <c r="J1703" s="7" t="s">
        <v>944</v>
      </c>
    </row>
    <row r="1704" spans="1:10" ht="28.5">
      <c r="A1704" t="s">
        <v>943</v>
      </c>
      <c r="B1704" t="s">
        <v>1394</v>
      </c>
      <c r="C1704" t="s">
        <v>3581</v>
      </c>
      <c r="D1704" t="s">
        <v>3582</v>
      </c>
      <c r="E1704" t="s">
        <v>549</v>
      </c>
      <c r="F1704" t="s">
        <v>23</v>
      </c>
      <c r="G1704" t="s">
        <v>1388</v>
      </c>
      <c r="H1704" s="8">
        <v>0.11</v>
      </c>
      <c r="I1704" s="2">
        <v>1.255144</v>
      </c>
      <c r="J1704" s="7" t="s">
        <v>944</v>
      </c>
    </row>
    <row r="1705" spans="1:10" ht="28.5">
      <c r="A1705" t="s">
        <v>943</v>
      </c>
      <c r="B1705" t="s">
        <v>1394</v>
      </c>
      <c r="C1705" t="s">
        <v>3593</v>
      </c>
      <c r="D1705" t="s">
        <v>3594</v>
      </c>
      <c r="E1705" t="s">
        <v>789</v>
      </c>
      <c r="F1705" t="s">
        <v>50</v>
      </c>
      <c r="G1705" t="s">
        <v>1388</v>
      </c>
      <c r="H1705" s="8">
        <v>0.08</v>
      </c>
      <c r="I1705" s="2">
        <v>0.91283199999999998</v>
      </c>
      <c r="J1705" s="7" t="s">
        <v>944</v>
      </c>
    </row>
    <row r="1706" spans="1:10" ht="28.5">
      <c r="A1706" t="s">
        <v>943</v>
      </c>
      <c r="B1706" t="s">
        <v>1394</v>
      </c>
      <c r="C1706" t="s">
        <v>3597</v>
      </c>
      <c r="D1706" t="s">
        <v>3598</v>
      </c>
      <c r="E1706" t="s">
        <v>338</v>
      </c>
      <c r="F1706" t="s">
        <v>33</v>
      </c>
      <c r="G1706" t="s">
        <v>1388</v>
      </c>
      <c r="H1706" s="8">
        <v>0.23</v>
      </c>
      <c r="I1706" s="2">
        <v>2.6243920000000003</v>
      </c>
      <c r="J1706" s="7" t="s">
        <v>944</v>
      </c>
    </row>
    <row r="1707" spans="1:10" ht="28.5">
      <c r="A1707" t="s">
        <v>943</v>
      </c>
      <c r="B1707" t="s">
        <v>1394</v>
      </c>
      <c r="C1707" t="s">
        <v>3609</v>
      </c>
      <c r="D1707" t="s">
        <v>3610</v>
      </c>
      <c r="E1707" t="s">
        <v>285</v>
      </c>
      <c r="F1707" t="s">
        <v>25</v>
      </c>
      <c r="G1707" t="s">
        <v>1388</v>
      </c>
      <c r="H1707" s="8">
        <v>0.36</v>
      </c>
      <c r="I1707" s="2">
        <v>4.1077439999999994</v>
      </c>
      <c r="J1707" s="7" t="s">
        <v>944</v>
      </c>
    </row>
    <row r="1708" spans="1:10" ht="28.5">
      <c r="A1708" t="s">
        <v>943</v>
      </c>
      <c r="B1708" t="s">
        <v>1394</v>
      </c>
      <c r="C1708" t="s">
        <v>3621</v>
      </c>
      <c r="D1708" t="s">
        <v>3622</v>
      </c>
      <c r="E1708" t="s">
        <v>701</v>
      </c>
      <c r="F1708" t="s">
        <v>27</v>
      </c>
      <c r="G1708" t="s">
        <v>1388</v>
      </c>
      <c r="H1708" s="8">
        <v>0.1</v>
      </c>
      <c r="I1708" s="2">
        <v>1.1410400000000001</v>
      </c>
      <c r="J1708" s="7" t="s">
        <v>944</v>
      </c>
    </row>
    <row r="1709" spans="1:10" ht="28.5">
      <c r="A1709" t="s">
        <v>943</v>
      </c>
      <c r="B1709" t="s">
        <v>1394</v>
      </c>
      <c r="C1709" t="s">
        <v>3623</v>
      </c>
      <c r="D1709" t="s">
        <v>3624</v>
      </c>
      <c r="E1709" t="s">
        <v>414</v>
      </c>
      <c r="F1709" t="s">
        <v>25</v>
      </c>
      <c r="G1709" t="s">
        <v>1388</v>
      </c>
      <c r="H1709" s="8">
        <v>0.19</v>
      </c>
      <c r="I1709" s="2">
        <v>2.1679759999999999</v>
      </c>
      <c r="J1709" s="7" t="s">
        <v>944</v>
      </c>
    </row>
    <row r="1710" spans="1:10" ht="28.5">
      <c r="A1710" t="s">
        <v>943</v>
      </c>
      <c r="B1710" t="s">
        <v>1394</v>
      </c>
      <c r="C1710" t="s">
        <v>3625</v>
      </c>
      <c r="D1710" t="s">
        <v>3626</v>
      </c>
      <c r="E1710" t="s">
        <v>566</v>
      </c>
      <c r="F1710" t="s">
        <v>27</v>
      </c>
      <c r="G1710" t="s">
        <v>1388</v>
      </c>
      <c r="H1710" s="8">
        <v>0.12</v>
      </c>
      <c r="I1710" s="2">
        <v>1.369248</v>
      </c>
      <c r="J1710" s="7" t="s">
        <v>944</v>
      </c>
    </row>
    <row r="1711" spans="1:10" ht="28.5">
      <c r="A1711" t="s">
        <v>943</v>
      </c>
      <c r="B1711" t="s">
        <v>1394</v>
      </c>
      <c r="C1711" t="s">
        <v>3641</v>
      </c>
      <c r="D1711" t="s">
        <v>3642</v>
      </c>
      <c r="E1711" t="s">
        <v>343</v>
      </c>
      <c r="F1711" t="s">
        <v>108</v>
      </c>
      <c r="G1711" t="s">
        <v>1388</v>
      </c>
      <c r="H1711" s="8">
        <v>0.22</v>
      </c>
      <c r="I1711" s="2">
        <v>2.5102880000000001</v>
      </c>
      <c r="J1711" s="7" t="s">
        <v>944</v>
      </c>
    </row>
    <row r="1712" spans="1:10" ht="28.5">
      <c r="A1712" t="s">
        <v>943</v>
      </c>
      <c r="B1712" t="s">
        <v>1394</v>
      </c>
      <c r="C1712" t="s">
        <v>3643</v>
      </c>
      <c r="D1712" t="s">
        <v>3644</v>
      </c>
      <c r="E1712" t="s">
        <v>389</v>
      </c>
      <c r="F1712" t="s">
        <v>33</v>
      </c>
      <c r="G1712" t="s">
        <v>1388</v>
      </c>
      <c r="H1712" s="8">
        <v>0.19</v>
      </c>
      <c r="I1712" s="2">
        <v>2.1679759999999999</v>
      </c>
      <c r="J1712" s="7" t="s">
        <v>944</v>
      </c>
    </row>
    <row r="1713" spans="1:10" ht="28.5">
      <c r="A1713" t="s">
        <v>943</v>
      </c>
      <c r="B1713" t="s">
        <v>1394</v>
      </c>
      <c r="C1713" t="s">
        <v>3649</v>
      </c>
      <c r="D1713" t="s">
        <v>3650</v>
      </c>
      <c r="E1713" t="s">
        <v>628</v>
      </c>
      <c r="F1713" t="s">
        <v>50</v>
      </c>
      <c r="G1713" t="s">
        <v>1388</v>
      </c>
      <c r="H1713" s="8">
        <v>0.1</v>
      </c>
      <c r="I1713" s="2">
        <v>1.1410400000000001</v>
      </c>
      <c r="J1713" s="7" t="s">
        <v>944</v>
      </c>
    </row>
    <row r="1714" spans="1:10" ht="28.5">
      <c r="A1714" t="s">
        <v>943</v>
      </c>
      <c r="B1714" t="s">
        <v>1394</v>
      </c>
      <c r="C1714" t="s">
        <v>3659</v>
      </c>
      <c r="D1714" t="s">
        <v>3660</v>
      </c>
      <c r="E1714" t="s">
        <v>940</v>
      </c>
      <c r="F1714" t="s">
        <v>38</v>
      </c>
      <c r="G1714" t="s">
        <v>1388</v>
      </c>
      <c r="H1714" s="8">
        <v>0.05</v>
      </c>
      <c r="I1714" s="2">
        <v>0.57052000000000003</v>
      </c>
      <c r="J1714" s="7" t="s">
        <v>944</v>
      </c>
    </row>
    <row r="1715" spans="1:10" ht="28.5">
      <c r="A1715" t="s">
        <v>943</v>
      </c>
      <c r="B1715" t="s">
        <v>1394</v>
      </c>
      <c r="C1715" t="s">
        <v>3675</v>
      </c>
      <c r="D1715" t="s">
        <v>3676</v>
      </c>
      <c r="E1715" t="s">
        <v>821</v>
      </c>
      <c r="F1715" t="s">
        <v>253</v>
      </c>
      <c r="G1715" t="s">
        <v>1388</v>
      </c>
      <c r="H1715" s="8">
        <v>0.06</v>
      </c>
      <c r="I1715" s="2">
        <v>0.68462400000000001</v>
      </c>
      <c r="J1715" s="7" t="s">
        <v>944</v>
      </c>
    </row>
    <row r="1716" spans="1:10" ht="28.5">
      <c r="A1716" t="s">
        <v>943</v>
      </c>
      <c r="B1716" t="s">
        <v>1394</v>
      </c>
      <c r="C1716" t="s">
        <v>3677</v>
      </c>
      <c r="D1716" t="s">
        <v>3678</v>
      </c>
      <c r="E1716" t="s">
        <v>807</v>
      </c>
      <c r="F1716" t="s">
        <v>50</v>
      </c>
      <c r="G1716" t="s">
        <v>1388</v>
      </c>
      <c r="H1716" s="8">
        <v>7.0000000000000007E-2</v>
      </c>
      <c r="I1716" s="2">
        <v>0.79872799999999999</v>
      </c>
      <c r="J1716" s="7" t="s">
        <v>944</v>
      </c>
    </row>
    <row r="1717" spans="1:10" ht="28.5">
      <c r="A1717" t="s">
        <v>943</v>
      </c>
      <c r="B1717" t="s">
        <v>1394</v>
      </c>
      <c r="C1717" t="s">
        <v>3679</v>
      </c>
      <c r="D1717" t="s">
        <v>3680</v>
      </c>
      <c r="E1717" t="s">
        <v>806</v>
      </c>
      <c r="F1717" t="s">
        <v>41</v>
      </c>
      <c r="G1717" t="s">
        <v>1388</v>
      </c>
      <c r="H1717" s="8">
        <v>7.0000000000000007E-2</v>
      </c>
      <c r="I1717" s="2">
        <v>0.79872799999999999</v>
      </c>
      <c r="J1717" s="7" t="s">
        <v>944</v>
      </c>
    </row>
    <row r="1718" spans="1:10" ht="28.5">
      <c r="A1718" t="s">
        <v>943</v>
      </c>
      <c r="B1718" t="s">
        <v>1394</v>
      </c>
      <c r="C1718" t="s">
        <v>3685</v>
      </c>
      <c r="D1718" t="s">
        <v>3686</v>
      </c>
      <c r="E1718" t="s">
        <v>197</v>
      </c>
      <c r="F1718" t="s">
        <v>124</v>
      </c>
      <c r="G1718" t="s">
        <v>1388</v>
      </c>
      <c r="H1718" s="8">
        <v>0.69</v>
      </c>
      <c r="I1718" s="2">
        <v>7.873176</v>
      </c>
      <c r="J1718" s="7" t="s">
        <v>944</v>
      </c>
    </row>
    <row r="1719" spans="1:10" ht="28.5">
      <c r="A1719" t="s">
        <v>943</v>
      </c>
      <c r="B1719" t="s">
        <v>1394</v>
      </c>
      <c r="C1719" t="s">
        <v>1491</v>
      </c>
      <c r="D1719" t="s">
        <v>1492</v>
      </c>
      <c r="E1719" t="s">
        <v>143</v>
      </c>
      <c r="F1719" t="s">
        <v>38</v>
      </c>
      <c r="G1719" t="s">
        <v>1388</v>
      </c>
      <c r="H1719" s="8">
        <v>1.64</v>
      </c>
      <c r="I1719" s="2">
        <v>18.713055999999998</v>
      </c>
      <c r="J1719" s="7" t="s">
        <v>944</v>
      </c>
    </row>
    <row r="1720" spans="1:10" ht="28.5">
      <c r="A1720" t="s">
        <v>943</v>
      </c>
      <c r="B1720" t="s">
        <v>1394</v>
      </c>
      <c r="C1720" t="s">
        <v>3691</v>
      </c>
      <c r="D1720" t="s">
        <v>3692</v>
      </c>
      <c r="E1720" t="s">
        <v>388</v>
      </c>
      <c r="F1720" t="s">
        <v>50</v>
      </c>
      <c r="G1720" t="s">
        <v>1388</v>
      </c>
      <c r="H1720" s="8">
        <v>0.22</v>
      </c>
      <c r="I1720" s="2">
        <v>2.5102880000000001</v>
      </c>
      <c r="J1720" s="7" t="s">
        <v>944</v>
      </c>
    </row>
    <row r="1721" spans="1:10" ht="28.5">
      <c r="A1721" t="s">
        <v>943</v>
      </c>
      <c r="B1721" t="s">
        <v>1394</v>
      </c>
      <c r="C1721" t="s">
        <v>3706</v>
      </c>
      <c r="D1721" t="s">
        <v>3707</v>
      </c>
      <c r="E1721" t="s">
        <v>949</v>
      </c>
      <c r="F1721" t="s">
        <v>50</v>
      </c>
      <c r="G1721" t="s">
        <v>1388</v>
      </c>
      <c r="H1721" s="8">
        <v>0.04</v>
      </c>
      <c r="I1721" s="2">
        <v>0.45641599999999999</v>
      </c>
      <c r="J1721" s="7" t="s">
        <v>944</v>
      </c>
    </row>
    <row r="1722" spans="1:10" ht="28.5">
      <c r="A1722" t="s">
        <v>943</v>
      </c>
      <c r="B1722" t="s">
        <v>1394</v>
      </c>
      <c r="C1722" t="s">
        <v>3710</v>
      </c>
      <c r="D1722" t="s">
        <v>3711</v>
      </c>
      <c r="E1722" t="s">
        <v>283</v>
      </c>
      <c r="F1722" t="s">
        <v>23</v>
      </c>
      <c r="G1722" t="s">
        <v>1388</v>
      </c>
      <c r="H1722" s="8">
        <v>0.26</v>
      </c>
      <c r="I1722" s="2">
        <v>2.9667039999999996</v>
      </c>
      <c r="J1722" s="7" t="s">
        <v>944</v>
      </c>
    </row>
    <row r="1723" spans="1:10" ht="28.5">
      <c r="A1723" t="s">
        <v>943</v>
      </c>
      <c r="B1723" t="s">
        <v>1394</v>
      </c>
      <c r="C1723" t="s">
        <v>3713</v>
      </c>
      <c r="D1723" t="s">
        <v>3714</v>
      </c>
      <c r="E1723" t="s">
        <v>350</v>
      </c>
      <c r="F1723" t="s">
        <v>25</v>
      </c>
      <c r="G1723" t="s">
        <v>1388</v>
      </c>
      <c r="H1723" s="8">
        <v>0.24</v>
      </c>
      <c r="I1723" s="2">
        <v>2.738496</v>
      </c>
      <c r="J1723" s="7" t="s">
        <v>944</v>
      </c>
    </row>
    <row r="1724" spans="1:10" ht="28.5">
      <c r="A1724" t="s">
        <v>943</v>
      </c>
      <c r="B1724" t="s">
        <v>1394</v>
      </c>
      <c r="C1724" t="s">
        <v>3717</v>
      </c>
      <c r="D1724" t="s">
        <v>3718</v>
      </c>
      <c r="E1724" t="s">
        <v>544</v>
      </c>
      <c r="F1724" t="s">
        <v>108</v>
      </c>
      <c r="G1724" t="s">
        <v>1388</v>
      </c>
      <c r="H1724" s="8">
        <v>0.14000000000000001</v>
      </c>
      <c r="I1724" s="2">
        <v>1.597456</v>
      </c>
      <c r="J1724" s="7" t="s">
        <v>944</v>
      </c>
    </row>
    <row r="1725" spans="1:10" ht="28.5">
      <c r="A1725" t="s">
        <v>943</v>
      </c>
      <c r="B1725" t="s">
        <v>1394</v>
      </c>
      <c r="C1725" t="s">
        <v>3731</v>
      </c>
      <c r="D1725" t="s">
        <v>3732</v>
      </c>
      <c r="E1725" t="s">
        <v>212</v>
      </c>
      <c r="F1725" t="s">
        <v>23</v>
      </c>
      <c r="G1725" t="s">
        <v>1388</v>
      </c>
      <c r="H1725" s="8">
        <v>0.48</v>
      </c>
      <c r="I1725" s="2">
        <v>5.4769920000000001</v>
      </c>
      <c r="J1725" s="7" t="s">
        <v>944</v>
      </c>
    </row>
    <row r="1726" spans="1:10" ht="28.5">
      <c r="A1726" t="s">
        <v>943</v>
      </c>
      <c r="B1726" t="s">
        <v>1394</v>
      </c>
      <c r="C1726" t="s">
        <v>3735</v>
      </c>
      <c r="D1726" t="s">
        <v>3736</v>
      </c>
      <c r="E1726" t="s">
        <v>959</v>
      </c>
      <c r="F1726" t="s">
        <v>23</v>
      </c>
      <c r="G1726" t="s">
        <v>1388</v>
      </c>
      <c r="H1726" s="8">
        <v>0.03</v>
      </c>
      <c r="I1726" s="2">
        <v>0.34231200000000001</v>
      </c>
      <c r="J1726" s="7" t="s">
        <v>944</v>
      </c>
    </row>
    <row r="1727" spans="1:10" ht="28.5">
      <c r="A1727" t="s">
        <v>943</v>
      </c>
      <c r="B1727" t="s">
        <v>1394</v>
      </c>
      <c r="C1727" t="s">
        <v>3737</v>
      </c>
      <c r="D1727" t="s">
        <v>3738</v>
      </c>
      <c r="E1727" t="s">
        <v>692</v>
      </c>
      <c r="F1727" t="s">
        <v>50</v>
      </c>
      <c r="G1727" t="s">
        <v>1388</v>
      </c>
      <c r="H1727" s="8">
        <v>0.11</v>
      </c>
      <c r="I1727" s="2">
        <v>1.255144</v>
      </c>
      <c r="J1727" s="7" t="s">
        <v>944</v>
      </c>
    </row>
    <row r="1728" spans="1:10" ht="28.5">
      <c r="A1728" t="s">
        <v>943</v>
      </c>
      <c r="B1728" t="s">
        <v>1394</v>
      </c>
      <c r="C1728" t="s">
        <v>3739</v>
      </c>
      <c r="D1728" t="s">
        <v>3740</v>
      </c>
      <c r="E1728" t="s">
        <v>416</v>
      </c>
      <c r="F1728" t="s">
        <v>23</v>
      </c>
      <c r="G1728" t="s">
        <v>1388</v>
      </c>
      <c r="H1728" s="8">
        <v>0.13</v>
      </c>
      <c r="I1728" s="2">
        <v>1.4833519999999998</v>
      </c>
      <c r="J1728" s="7" t="s">
        <v>944</v>
      </c>
    </row>
    <row r="1729" spans="1:10" ht="28.5">
      <c r="A1729" t="s">
        <v>943</v>
      </c>
      <c r="B1729" t="s">
        <v>1394</v>
      </c>
      <c r="C1729" t="s">
        <v>3755</v>
      </c>
      <c r="D1729" t="s">
        <v>3756</v>
      </c>
      <c r="E1729" t="s">
        <v>254</v>
      </c>
      <c r="F1729" t="s">
        <v>23</v>
      </c>
      <c r="G1729" t="s">
        <v>1388</v>
      </c>
      <c r="H1729" s="8">
        <v>0.28999999999999998</v>
      </c>
      <c r="I1729" s="2">
        <v>3.3090159999999997</v>
      </c>
      <c r="J1729" s="7" t="s">
        <v>944</v>
      </c>
    </row>
    <row r="1730" spans="1:10" ht="28.5">
      <c r="A1730" t="s">
        <v>943</v>
      </c>
      <c r="B1730" t="s">
        <v>1394</v>
      </c>
      <c r="C1730" t="s">
        <v>3910</v>
      </c>
      <c r="D1730" t="s">
        <v>3911</v>
      </c>
      <c r="E1730" t="s">
        <v>1341</v>
      </c>
      <c r="F1730" t="s">
        <v>50</v>
      </c>
      <c r="G1730" t="s">
        <v>1388</v>
      </c>
      <c r="H1730" s="8">
        <v>0.01</v>
      </c>
      <c r="I1730" s="2">
        <v>0.114104</v>
      </c>
      <c r="J1730" s="7" t="s">
        <v>944</v>
      </c>
    </row>
    <row r="1731" spans="1:10" ht="28.5">
      <c r="A1731" t="s">
        <v>943</v>
      </c>
      <c r="B1731" t="s">
        <v>1394</v>
      </c>
      <c r="C1731" t="s">
        <v>3777</v>
      </c>
      <c r="D1731" t="s">
        <v>3778</v>
      </c>
      <c r="E1731" t="s">
        <v>178</v>
      </c>
      <c r="F1731" t="s">
        <v>27</v>
      </c>
      <c r="G1731" t="s">
        <v>1388</v>
      </c>
      <c r="H1731" s="8">
        <v>2.04</v>
      </c>
      <c r="I1731" s="2">
        <v>23.277215999999999</v>
      </c>
      <c r="J1731" s="7" t="s">
        <v>944</v>
      </c>
    </row>
    <row r="1732" spans="1:10" ht="28.5">
      <c r="A1732" t="s">
        <v>943</v>
      </c>
      <c r="B1732" t="s">
        <v>1394</v>
      </c>
      <c r="C1732" t="s">
        <v>2178</v>
      </c>
      <c r="D1732" t="s">
        <v>3789</v>
      </c>
      <c r="E1732" t="s">
        <v>231</v>
      </c>
      <c r="F1732" t="s">
        <v>50</v>
      </c>
      <c r="G1732" t="s">
        <v>1388</v>
      </c>
      <c r="H1732" s="8">
        <v>0.45</v>
      </c>
      <c r="I1732" s="2">
        <v>5.1346799999999995</v>
      </c>
      <c r="J1732" s="7" t="s">
        <v>944</v>
      </c>
    </row>
    <row r="1733" spans="1:10" ht="28.5">
      <c r="A1733" t="s">
        <v>943</v>
      </c>
      <c r="B1733" t="s">
        <v>1394</v>
      </c>
      <c r="C1733" t="s">
        <v>3792</v>
      </c>
      <c r="D1733" t="s">
        <v>3793</v>
      </c>
      <c r="E1733" t="s">
        <v>242</v>
      </c>
      <c r="F1733" t="s">
        <v>27</v>
      </c>
      <c r="G1733" t="s">
        <v>1388</v>
      </c>
      <c r="H1733" s="8">
        <v>0.56000000000000005</v>
      </c>
      <c r="I1733" s="2">
        <v>6.3898239999999999</v>
      </c>
      <c r="J1733" s="7" t="s">
        <v>944</v>
      </c>
    </row>
    <row r="1734" spans="1:10" ht="28.5">
      <c r="A1734" t="s">
        <v>943</v>
      </c>
      <c r="B1734" t="s">
        <v>1394</v>
      </c>
      <c r="C1734" t="s">
        <v>3794</v>
      </c>
      <c r="D1734" t="s">
        <v>3795</v>
      </c>
      <c r="E1734" t="s">
        <v>305</v>
      </c>
      <c r="F1734" t="s">
        <v>38</v>
      </c>
      <c r="G1734" t="s">
        <v>1388</v>
      </c>
      <c r="H1734" s="8">
        <v>0.36</v>
      </c>
      <c r="I1734" s="2">
        <v>4.1077439999999994</v>
      </c>
      <c r="J1734" s="7" t="s">
        <v>944</v>
      </c>
    </row>
    <row r="1735" spans="1:10" ht="28.5">
      <c r="A1735" t="s">
        <v>943</v>
      </c>
      <c r="B1735" t="s">
        <v>1394</v>
      </c>
      <c r="C1735" t="s">
        <v>3802</v>
      </c>
      <c r="D1735" t="s">
        <v>3803</v>
      </c>
      <c r="E1735" t="s">
        <v>568</v>
      </c>
      <c r="F1735" t="s">
        <v>263</v>
      </c>
      <c r="G1735" t="s">
        <v>1388</v>
      </c>
      <c r="H1735" s="8">
        <v>0.12</v>
      </c>
      <c r="I1735" s="2">
        <v>1.369248</v>
      </c>
      <c r="J1735" s="7" t="s">
        <v>944</v>
      </c>
    </row>
    <row r="1736" spans="1:10" ht="28.5">
      <c r="A1736" t="s">
        <v>943</v>
      </c>
      <c r="B1736" t="s">
        <v>1394</v>
      </c>
      <c r="C1736" t="s">
        <v>3830</v>
      </c>
      <c r="D1736" t="s">
        <v>3831</v>
      </c>
      <c r="E1736" t="s">
        <v>796</v>
      </c>
      <c r="F1736" t="s">
        <v>50</v>
      </c>
      <c r="G1736" t="s">
        <v>1388</v>
      </c>
      <c r="H1736" s="8">
        <v>0.08</v>
      </c>
      <c r="I1736" s="2">
        <v>0.91283199999999998</v>
      </c>
      <c r="J1736" s="7" t="s">
        <v>944</v>
      </c>
    </row>
    <row r="1737" spans="1:10" ht="28.5">
      <c r="A1737" t="s">
        <v>943</v>
      </c>
      <c r="B1737" t="s">
        <v>1394</v>
      </c>
      <c r="C1737" t="s">
        <v>3842</v>
      </c>
      <c r="D1737" t="s">
        <v>3843</v>
      </c>
      <c r="E1737" t="s">
        <v>640</v>
      </c>
      <c r="F1737" t="s">
        <v>108</v>
      </c>
      <c r="G1737" t="s">
        <v>1388</v>
      </c>
      <c r="H1737" s="8">
        <v>0.12</v>
      </c>
      <c r="I1737" s="2">
        <v>1.369248</v>
      </c>
      <c r="J1737" s="7" t="s">
        <v>944</v>
      </c>
    </row>
    <row r="1738" spans="1:10" ht="28.5">
      <c r="A1738" t="s">
        <v>943</v>
      </c>
      <c r="B1738" t="s">
        <v>1394</v>
      </c>
      <c r="C1738" t="s">
        <v>3844</v>
      </c>
      <c r="D1738" t="s">
        <v>3845</v>
      </c>
      <c r="E1738" t="s">
        <v>1133</v>
      </c>
      <c r="F1738" t="s">
        <v>263</v>
      </c>
      <c r="G1738" t="s">
        <v>1388</v>
      </c>
      <c r="H1738" s="8">
        <v>0.03</v>
      </c>
      <c r="I1738" s="2">
        <v>0.34231200000000001</v>
      </c>
      <c r="J1738" s="7" t="s">
        <v>944</v>
      </c>
    </row>
    <row r="1739" spans="1:10" ht="28.5">
      <c r="A1739" t="s">
        <v>943</v>
      </c>
      <c r="B1739" t="s">
        <v>1394</v>
      </c>
      <c r="C1739" t="s">
        <v>3848</v>
      </c>
      <c r="D1739" t="s">
        <v>3849</v>
      </c>
      <c r="E1739" t="s">
        <v>930</v>
      </c>
      <c r="F1739" t="s">
        <v>124</v>
      </c>
      <c r="G1739" t="s">
        <v>1388</v>
      </c>
      <c r="H1739" s="8">
        <v>0.05</v>
      </c>
      <c r="I1739" s="2">
        <v>0.57052000000000003</v>
      </c>
      <c r="J1739" s="7" t="s">
        <v>944</v>
      </c>
    </row>
    <row r="1740" spans="1:10" ht="28.5">
      <c r="A1740" t="s">
        <v>943</v>
      </c>
      <c r="B1740" t="s">
        <v>1394</v>
      </c>
      <c r="C1740" t="s">
        <v>3856</v>
      </c>
      <c r="D1740" t="s">
        <v>3857</v>
      </c>
      <c r="E1740" t="s">
        <v>799</v>
      </c>
      <c r="F1740" t="s">
        <v>108</v>
      </c>
      <c r="G1740" t="s">
        <v>1388</v>
      </c>
      <c r="H1740" s="8">
        <v>0.08</v>
      </c>
      <c r="I1740" s="2">
        <v>0.91283199999999998</v>
      </c>
      <c r="J1740" s="7" t="s">
        <v>944</v>
      </c>
    </row>
    <row r="1741" spans="1:10" ht="28.5">
      <c r="A1741" t="s">
        <v>943</v>
      </c>
      <c r="B1741" t="s">
        <v>1394</v>
      </c>
      <c r="C1741" t="s">
        <v>3864</v>
      </c>
      <c r="D1741" t="s">
        <v>3865</v>
      </c>
      <c r="E1741" t="s">
        <v>500</v>
      </c>
      <c r="F1741" t="s">
        <v>124</v>
      </c>
      <c r="G1741" t="s">
        <v>1388</v>
      </c>
      <c r="H1741" s="8">
        <v>0.11</v>
      </c>
      <c r="I1741" s="2">
        <v>1.255144</v>
      </c>
      <c r="J1741" s="7" t="s">
        <v>944</v>
      </c>
    </row>
    <row r="1742" spans="1:10" ht="28.5">
      <c r="A1742" t="s">
        <v>943</v>
      </c>
      <c r="B1742" t="s">
        <v>1394</v>
      </c>
      <c r="C1742" t="s">
        <v>3868</v>
      </c>
      <c r="D1742" t="s">
        <v>3869</v>
      </c>
      <c r="E1742" t="s">
        <v>507</v>
      </c>
      <c r="F1742" t="s">
        <v>25</v>
      </c>
      <c r="G1742" t="s">
        <v>1388</v>
      </c>
      <c r="H1742" s="8">
        <v>0.13</v>
      </c>
      <c r="I1742" s="2">
        <v>1.4833519999999998</v>
      </c>
      <c r="J1742" s="7" t="s">
        <v>944</v>
      </c>
    </row>
    <row r="1743" spans="1:10" ht="28.5">
      <c r="A1743" t="s">
        <v>943</v>
      </c>
      <c r="B1743" t="s">
        <v>1394</v>
      </c>
      <c r="C1743" t="s">
        <v>3884</v>
      </c>
      <c r="D1743" t="s">
        <v>3885</v>
      </c>
      <c r="E1743" t="s">
        <v>810</v>
      </c>
      <c r="F1743" t="s">
        <v>38</v>
      </c>
      <c r="G1743" t="s">
        <v>1388</v>
      </c>
      <c r="H1743" s="8">
        <v>7.0000000000000007E-2</v>
      </c>
      <c r="I1743" s="2">
        <v>0.79872799999999999</v>
      </c>
      <c r="J1743" s="7" t="s">
        <v>944</v>
      </c>
    </row>
    <row r="1744" spans="1:10" ht="28.5">
      <c r="A1744" t="s">
        <v>943</v>
      </c>
      <c r="B1744" t="s">
        <v>1394</v>
      </c>
      <c r="C1744" t="s">
        <v>3886</v>
      </c>
      <c r="D1744" t="s">
        <v>3887</v>
      </c>
      <c r="E1744" t="s">
        <v>797</v>
      </c>
      <c r="F1744" t="s">
        <v>50</v>
      </c>
      <c r="G1744" t="s">
        <v>1388</v>
      </c>
      <c r="H1744" s="8">
        <v>0.08</v>
      </c>
      <c r="I1744" s="2">
        <v>0.91283199999999998</v>
      </c>
      <c r="J1744" s="7" t="s">
        <v>944</v>
      </c>
    </row>
    <row r="1745" spans="1:10" ht="28.5">
      <c r="A1745" t="s">
        <v>943</v>
      </c>
      <c r="B1745" t="s">
        <v>1394</v>
      </c>
      <c r="C1745" t="s">
        <v>3888</v>
      </c>
      <c r="D1745" t="s">
        <v>3889</v>
      </c>
      <c r="E1745" t="s">
        <v>825</v>
      </c>
      <c r="F1745" t="s">
        <v>41</v>
      </c>
      <c r="G1745" t="s">
        <v>1388</v>
      </c>
      <c r="H1745" s="8">
        <v>0.06</v>
      </c>
      <c r="I1745" s="2">
        <v>0.68462400000000001</v>
      </c>
      <c r="J1745" s="7" t="s">
        <v>944</v>
      </c>
    </row>
    <row r="1746" spans="1:10" ht="28.5">
      <c r="A1746" t="s">
        <v>943</v>
      </c>
      <c r="B1746" t="s">
        <v>1394</v>
      </c>
      <c r="C1746" t="s">
        <v>3890</v>
      </c>
      <c r="D1746" t="s">
        <v>3891</v>
      </c>
      <c r="E1746" t="s">
        <v>815</v>
      </c>
      <c r="F1746" t="s">
        <v>25</v>
      </c>
      <c r="G1746" t="s">
        <v>1388</v>
      </c>
      <c r="H1746" s="8">
        <v>7.0000000000000007E-2</v>
      </c>
      <c r="I1746" s="2">
        <v>0.79872799999999999</v>
      </c>
      <c r="J1746" s="7" t="s">
        <v>944</v>
      </c>
    </row>
    <row r="1747" spans="1:10" ht="28.5">
      <c r="A1747" t="s">
        <v>943</v>
      </c>
      <c r="B1747" t="s">
        <v>1394</v>
      </c>
      <c r="C1747" t="s">
        <v>3892</v>
      </c>
      <c r="D1747" t="s">
        <v>3893</v>
      </c>
      <c r="E1747" t="s">
        <v>961</v>
      </c>
      <c r="F1747" t="s">
        <v>23</v>
      </c>
      <c r="G1747" t="s">
        <v>1388</v>
      </c>
      <c r="H1747" s="8">
        <v>0.03</v>
      </c>
      <c r="I1747" s="2">
        <v>0.34231200000000001</v>
      </c>
      <c r="J1747" s="7" t="s">
        <v>944</v>
      </c>
    </row>
    <row r="1748" spans="1:10" ht="28.5">
      <c r="A1748" t="s">
        <v>943</v>
      </c>
      <c r="B1748" t="s">
        <v>1394</v>
      </c>
      <c r="C1748" t="s">
        <v>3900</v>
      </c>
      <c r="D1748" t="s">
        <v>3901</v>
      </c>
      <c r="E1748" t="s">
        <v>557</v>
      </c>
      <c r="F1748" t="s">
        <v>33</v>
      </c>
      <c r="G1748" t="s">
        <v>1388</v>
      </c>
      <c r="H1748" s="8">
        <v>0.13</v>
      </c>
      <c r="I1748" s="2">
        <v>1.4833519999999998</v>
      </c>
      <c r="J1748" s="7" t="s">
        <v>944</v>
      </c>
    </row>
    <row r="1749" spans="1:10" ht="28.5">
      <c r="A1749" t="s">
        <v>943</v>
      </c>
      <c r="B1749" t="s">
        <v>1394</v>
      </c>
      <c r="C1749" t="s">
        <v>3904</v>
      </c>
      <c r="D1749" t="s">
        <v>3905</v>
      </c>
      <c r="E1749" t="s">
        <v>410</v>
      </c>
      <c r="F1749" t="s">
        <v>25</v>
      </c>
      <c r="G1749" t="s">
        <v>1388</v>
      </c>
      <c r="H1749" s="8">
        <v>0.22</v>
      </c>
      <c r="I1749" s="2">
        <v>2.5102880000000001</v>
      </c>
      <c r="J1749" s="7" t="s">
        <v>944</v>
      </c>
    </row>
    <row r="1750" spans="1:10">
      <c r="A1750" t="s">
        <v>104</v>
      </c>
      <c r="B1750" t="s">
        <v>3912</v>
      </c>
      <c r="D1750" t="s">
        <v>29</v>
      </c>
      <c r="E1750" t="s">
        <v>29</v>
      </c>
      <c r="G1750" t="s">
        <v>1388</v>
      </c>
      <c r="H1750" s="8">
        <v>2.5439597486762189</v>
      </c>
      <c r="I1750" s="2">
        <v>573.30193543815017</v>
      </c>
      <c r="J1750" s="7" t="s">
        <v>105</v>
      </c>
    </row>
    <row r="1751" spans="1:10">
      <c r="A1751" t="s">
        <v>104</v>
      </c>
      <c r="B1751" t="s">
        <v>3912</v>
      </c>
      <c r="D1751" t="s">
        <v>42</v>
      </c>
      <c r="E1751" t="s">
        <v>42</v>
      </c>
      <c r="G1751" t="s">
        <v>1388</v>
      </c>
      <c r="H1751" s="8">
        <v>2.4327024836740296</v>
      </c>
      <c r="I1751" s="2">
        <v>548.22920958606039</v>
      </c>
      <c r="J1751" s="7" t="s">
        <v>105</v>
      </c>
    </row>
    <row r="1752" spans="1:10">
      <c r="A1752" t="s">
        <v>104</v>
      </c>
      <c r="B1752" t="s">
        <v>3912</v>
      </c>
      <c r="D1752" t="s">
        <v>28</v>
      </c>
      <c r="E1752" t="s">
        <v>28</v>
      </c>
      <c r="G1752" t="s">
        <v>1388</v>
      </c>
      <c r="H1752" s="8">
        <v>2.5439318867311025</v>
      </c>
      <c r="I1752" s="2">
        <v>573.29565652313647</v>
      </c>
      <c r="J1752" s="7" t="s">
        <v>105</v>
      </c>
    </row>
    <row r="1753" spans="1:10">
      <c r="A1753" t="s">
        <v>104</v>
      </c>
      <c r="B1753" t="s">
        <v>3912</v>
      </c>
      <c r="D1753" t="s">
        <v>26</v>
      </c>
      <c r="E1753" t="s">
        <v>26</v>
      </c>
      <c r="G1753" t="s">
        <v>1388</v>
      </c>
      <c r="H1753" s="8">
        <v>2.4631111611789427</v>
      </c>
      <c r="I1753" s="2">
        <v>555.0820513720804</v>
      </c>
      <c r="J1753" s="7" t="s">
        <v>105</v>
      </c>
    </row>
    <row r="1754" spans="1:10">
      <c r="A1754" t="s">
        <v>104</v>
      </c>
      <c r="B1754" t="s">
        <v>3912</v>
      </c>
      <c r="D1754" t="s">
        <v>37</v>
      </c>
      <c r="E1754" t="s">
        <v>37</v>
      </c>
      <c r="G1754" t="s">
        <v>1388</v>
      </c>
      <c r="H1754" s="8">
        <v>2.5197582607278655</v>
      </c>
      <c r="I1754" s="2">
        <v>567.84793409693634</v>
      </c>
      <c r="J1754" s="7" t="s">
        <v>105</v>
      </c>
    </row>
    <row r="1755" spans="1:10">
      <c r="A1755" t="s">
        <v>104</v>
      </c>
      <c r="B1755" t="s">
        <v>3912</v>
      </c>
      <c r="D1755" t="s">
        <v>96</v>
      </c>
      <c r="E1755" t="s">
        <v>96</v>
      </c>
      <c r="G1755" t="s">
        <v>1388</v>
      </c>
      <c r="H1755" s="8">
        <v>2.3590347477612927</v>
      </c>
      <c r="I1755" s="2">
        <v>531.62758858946415</v>
      </c>
      <c r="J1755" s="7" t="s">
        <v>105</v>
      </c>
    </row>
    <row r="1756" spans="1:10">
      <c r="A1756" t="s">
        <v>104</v>
      </c>
      <c r="B1756" t="s">
        <v>3912</v>
      </c>
      <c r="D1756" t="s">
        <v>31</v>
      </c>
      <c r="E1756" t="s">
        <v>31</v>
      </c>
      <c r="G1756" t="s">
        <v>1388</v>
      </c>
      <c r="H1756" s="8">
        <v>2.7295428939163218</v>
      </c>
      <c r="I1756" s="2">
        <v>615.12460044148384</v>
      </c>
      <c r="J1756" s="7" t="s">
        <v>105</v>
      </c>
    </row>
    <row r="1757" spans="1:10">
      <c r="A1757" t="s">
        <v>104</v>
      </c>
      <c r="B1757" t="s">
        <v>3912</v>
      </c>
      <c r="D1757" t="s">
        <v>602</v>
      </c>
      <c r="E1757" t="s">
        <v>117</v>
      </c>
      <c r="G1757" t="s">
        <v>1388</v>
      </c>
      <c r="H1757" s="8">
        <v>2.4027192656012963</v>
      </c>
      <c r="I1757" s="2">
        <v>541.47224852930356</v>
      </c>
      <c r="J1757" s="7" t="s">
        <v>105</v>
      </c>
    </row>
    <row r="1758" spans="1:10">
      <c r="A1758" t="s">
        <v>104</v>
      </c>
      <c r="B1758" t="s">
        <v>3912</v>
      </c>
      <c r="D1758" t="s">
        <v>22</v>
      </c>
      <c r="E1758" t="s">
        <v>22</v>
      </c>
      <c r="G1758" t="s">
        <v>1388</v>
      </c>
      <c r="H1758" s="8">
        <v>2.45377515048839</v>
      </c>
      <c r="I1758" s="2">
        <v>552.97810574127766</v>
      </c>
      <c r="J1758" s="7" t="s">
        <v>105</v>
      </c>
    </row>
    <row r="1759" spans="1:10">
      <c r="A1759" t="s">
        <v>104</v>
      </c>
      <c r="B1759" t="s">
        <v>3912</v>
      </c>
      <c r="D1759" t="s">
        <v>97</v>
      </c>
      <c r="E1759" t="s">
        <v>97</v>
      </c>
      <c r="G1759" t="s">
        <v>1388</v>
      </c>
      <c r="H1759" s="8">
        <v>2.6567486676342544</v>
      </c>
      <c r="I1759" s="2">
        <v>598.71983191558706</v>
      </c>
      <c r="J1759" s="7" t="s">
        <v>105</v>
      </c>
    </row>
    <row r="1760" spans="1:10">
      <c r="A1760" t="s">
        <v>104</v>
      </c>
      <c r="B1760" t="s">
        <v>3912</v>
      </c>
      <c r="D1760" t="s">
        <v>52</v>
      </c>
      <c r="E1760" t="s">
        <v>52</v>
      </c>
      <c r="G1760" t="s">
        <v>1388</v>
      </c>
      <c r="H1760" s="8">
        <v>2.4103647339462859</v>
      </c>
      <c r="I1760" s="2">
        <v>543.19521674914051</v>
      </c>
      <c r="J1760" s="7" t="s">
        <v>105</v>
      </c>
    </row>
    <row r="1761" spans="1:10">
      <c r="A1761" t="s">
        <v>104</v>
      </c>
      <c r="B1761" t="s">
        <v>3912</v>
      </c>
      <c r="D1761" t="s">
        <v>49</v>
      </c>
      <c r="E1761" t="s">
        <v>49</v>
      </c>
      <c r="G1761" t="s">
        <v>1388</v>
      </c>
      <c r="H1761" s="8">
        <v>2.2826275049206455</v>
      </c>
      <c r="I1761" s="2">
        <v>514.40859751665732</v>
      </c>
      <c r="J1761" s="7" t="s">
        <v>105</v>
      </c>
    </row>
    <row r="1762" spans="1:10">
      <c r="A1762" t="s">
        <v>104</v>
      </c>
      <c r="B1762" t="s">
        <v>3912</v>
      </c>
      <c r="D1762" t="s">
        <v>99</v>
      </c>
      <c r="E1762" t="s">
        <v>99</v>
      </c>
      <c r="G1762" t="s">
        <v>1388</v>
      </c>
      <c r="H1762" s="8">
        <v>2.5896397842069758</v>
      </c>
      <c r="I1762" s="2">
        <v>583.59630145329413</v>
      </c>
      <c r="J1762" s="7" t="s">
        <v>105</v>
      </c>
    </row>
    <row r="1763" spans="1:10">
      <c r="A1763" t="s">
        <v>104</v>
      </c>
      <c r="B1763" t="s">
        <v>3912</v>
      </c>
      <c r="D1763" t="s">
        <v>113</v>
      </c>
      <c r="E1763" t="s">
        <v>113</v>
      </c>
      <c r="G1763" t="s">
        <v>1388</v>
      </c>
      <c r="H1763" s="8">
        <v>2.3850517802954601</v>
      </c>
      <c r="I1763" s="2">
        <v>537.49073760900239</v>
      </c>
      <c r="J1763" s="7" t="s">
        <v>105</v>
      </c>
    </row>
    <row r="1764" spans="1:10">
      <c r="A1764" t="s">
        <v>104</v>
      </c>
      <c r="B1764" t="s">
        <v>3912</v>
      </c>
      <c r="D1764" t="s">
        <v>102</v>
      </c>
      <c r="E1764" t="s">
        <v>102</v>
      </c>
      <c r="G1764" t="s">
        <v>1388</v>
      </c>
      <c r="H1764" s="8">
        <v>2.5451532941629527</v>
      </c>
      <c r="I1764" s="2">
        <v>573.57091058130413</v>
      </c>
      <c r="J1764" s="7" t="s">
        <v>105</v>
      </c>
    </row>
    <row r="1765" spans="1:10">
      <c r="A1765" t="s">
        <v>104</v>
      </c>
      <c r="B1765" t="s">
        <v>3912</v>
      </c>
      <c r="D1765" t="s">
        <v>106</v>
      </c>
      <c r="E1765" t="s">
        <v>106</v>
      </c>
      <c r="G1765" t="s">
        <v>1388</v>
      </c>
      <c r="H1765" s="8">
        <v>2.5453581171108337</v>
      </c>
      <c r="I1765" s="2">
        <v>573.61706909167503</v>
      </c>
      <c r="J1765" s="7" t="s">
        <v>105</v>
      </c>
    </row>
    <row r="1766" spans="1:10">
      <c r="A1766" t="s">
        <v>104</v>
      </c>
      <c r="B1766" t="s">
        <v>3912</v>
      </c>
      <c r="D1766" t="s">
        <v>115</v>
      </c>
      <c r="E1766" t="s">
        <v>115</v>
      </c>
      <c r="G1766" t="s">
        <v>1388</v>
      </c>
      <c r="H1766" s="8">
        <v>2.4269930440018426</v>
      </c>
      <c r="I1766" s="2">
        <v>546.94254110947168</v>
      </c>
      <c r="J1766" s="7" t="s">
        <v>105</v>
      </c>
    </row>
    <row r="1767" spans="1:10">
      <c r="A1767" t="s">
        <v>104</v>
      </c>
      <c r="B1767" t="s">
        <v>3912</v>
      </c>
      <c r="D1767" t="s">
        <v>32</v>
      </c>
      <c r="E1767" t="s">
        <v>32</v>
      </c>
      <c r="G1767" t="s">
        <v>1388</v>
      </c>
      <c r="H1767" s="8">
        <v>2.3800162984848674</v>
      </c>
      <c r="I1767" s="2">
        <v>536.35595099558259</v>
      </c>
      <c r="J1767" s="7" t="s">
        <v>105</v>
      </c>
    </row>
    <row r="1768" spans="1:10">
      <c r="A1768" t="s">
        <v>104</v>
      </c>
      <c r="B1768" t="s">
        <v>3912</v>
      </c>
      <c r="D1768" t="s">
        <v>103</v>
      </c>
      <c r="E1768" t="s">
        <v>103</v>
      </c>
      <c r="G1768" t="s">
        <v>1388</v>
      </c>
      <c r="H1768" s="8">
        <v>2.5614163868298241</v>
      </c>
      <c r="I1768" s="2">
        <v>577.23593024483421</v>
      </c>
      <c r="J1768" s="7" t="s">
        <v>105</v>
      </c>
    </row>
    <row r="1769" spans="1:10">
      <c r="A1769" t="s">
        <v>104</v>
      </c>
      <c r="B1769" t="s">
        <v>3912</v>
      </c>
      <c r="D1769" t="s">
        <v>111</v>
      </c>
      <c r="E1769" t="s">
        <v>111</v>
      </c>
      <c r="G1769" t="s">
        <v>1388</v>
      </c>
      <c r="H1769" s="8">
        <v>2.4124385662935826</v>
      </c>
      <c r="I1769" s="2">
        <v>543.66257166664582</v>
      </c>
      <c r="J1769" s="7" t="s">
        <v>105</v>
      </c>
    </row>
    <row r="1770" spans="1:10">
      <c r="A1770" t="s">
        <v>104</v>
      </c>
      <c r="B1770" t="s">
        <v>3912</v>
      </c>
      <c r="D1770" t="s">
        <v>114</v>
      </c>
      <c r="E1770" t="s">
        <v>114</v>
      </c>
      <c r="G1770" t="s">
        <v>1388</v>
      </c>
      <c r="H1770" s="8">
        <v>2.4251887947991837</v>
      </c>
      <c r="I1770" s="2">
        <v>546.53593893723394</v>
      </c>
      <c r="J1770" s="7" t="s">
        <v>105</v>
      </c>
    </row>
    <row r="1771" spans="1:10">
      <c r="A1771" t="s">
        <v>104</v>
      </c>
      <c r="B1771" t="s">
        <v>3912</v>
      </c>
      <c r="D1771" t="s">
        <v>95</v>
      </c>
      <c r="E1771" t="s">
        <v>95</v>
      </c>
      <c r="G1771" t="s">
        <v>1388</v>
      </c>
      <c r="H1771" s="8">
        <v>2.479056477066381</v>
      </c>
      <c r="I1771" s="2">
        <v>558.67545746437327</v>
      </c>
      <c r="J1771" s="7" t="s">
        <v>105</v>
      </c>
    </row>
    <row r="1772" spans="1:10">
      <c r="A1772" t="s">
        <v>104</v>
      </c>
      <c r="B1772" t="s">
        <v>3912</v>
      </c>
      <c r="D1772" t="s">
        <v>116</v>
      </c>
      <c r="E1772" t="s">
        <v>116</v>
      </c>
      <c r="G1772" t="s">
        <v>1388</v>
      </c>
      <c r="H1772" s="8">
        <v>2.4081395434647099</v>
      </c>
      <c r="I1772" s="2">
        <v>542.69375205007441</v>
      </c>
      <c r="J1772" s="7" t="s">
        <v>105</v>
      </c>
    </row>
    <row r="1773" spans="1:10">
      <c r="A1773" t="s">
        <v>104</v>
      </c>
      <c r="B1773" t="s">
        <v>3912</v>
      </c>
      <c r="D1773" t="s">
        <v>98</v>
      </c>
      <c r="E1773" t="s">
        <v>98</v>
      </c>
      <c r="G1773" t="s">
        <v>1388</v>
      </c>
      <c r="H1773" s="8">
        <v>2.6238911510612919</v>
      </c>
      <c r="I1773" s="2">
        <v>591.31512440998574</v>
      </c>
      <c r="J1773" s="7" t="s">
        <v>105</v>
      </c>
    </row>
    <row r="1774" spans="1:10">
      <c r="A1774" t="s">
        <v>104</v>
      </c>
      <c r="B1774" t="s">
        <v>3912</v>
      </c>
      <c r="D1774" t="s">
        <v>46</v>
      </c>
      <c r="E1774" t="s">
        <v>46</v>
      </c>
      <c r="G1774" t="s">
        <v>1388</v>
      </c>
      <c r="H1774" s="8">
        <v>2.5279865708436642</v>
      </c>
      <c r="I1774" s="2">
        <v>569.70225043084361</v>
      </c>
      <c r="J1774" s="7" t="s">
        <v>105</v>
      </c>
    </row>
    <row r="1775" spans="1:10">
      <c r="A1775" t="s">
        <v>104</v>
      </c>
      <c r="B1775" t="s">
        <v>3912</v>
      </c>
      <c r="D1775" t="s">
        <v>51</v>
      </c>
      <c r="E1775" t="s">
        <v>51</v>
      </c>
      <c r="G1775" t="s">
        <v>1388</v>
      </c>
      <c r="H1775" s="8">
        <v>2.5030666965266395</v>
      </c>
      <c r="I1775" s="2">
        <v>564.08635490252016</v>
      </c>
      <c r="J1775" s="7" t="s">
        <v>105</v>
      </c>
    </row>
    <row r="1776" spans="1:10">
      <c r="A1776" t="s">
        <v>104</v>
      </c>
      <c r="B1776" t="s">
        <v>3912</v>
      </c>
      <c r="D1776" t="s">
        <v>30</v>
      </c>
      <c r="E1776" t="s">
        <v>30</v>
      </c>
      <c r="G1776" t="s">
        <v>1388</v>
      </c>
      <c r="H1776" s="8">
        <v>2.5459582784691475</v>
      </c>
      <c r="I1776" s="2">
        <v>573.75232031507801</v>
      </c>
      <c r="J1776" s="7" t="s">
        <v>105</v>
      </c>
    </row>
    <row r="1777" spans="1:10">
      <c r="A1777" t="s">
        <v>104</v>
      </c>
      <c r="B1777" t="s">
        <v>3912</v>
      </c>
      <c r="D1777" t="s">
        <v>53</v>
      </c>
      <c r="E1777" t="s">
        <v>53</v>
      </c>
      <c r="G1777" t="s">
        <v>1388</v>
      </c>
      <c r="H1777" s="8">
        <v>2.7927352914909167</v>
      </c>
      <c r="I1777" s="2">
        <v>629.36551909333923</v>
      </c>
      <c r="J1777" s="7" t="s">
        <v>105</v>
      </c>
    </row>
    <row r="1778" spans="1:10">
      <c r="A1778" t="s">
        <v>104</v>
      </c>
      <c r="B1778" t="s">
        <v>3912</v>
      </c>
      <c r="D1778" t="s">
        <v>45</v>
      </c>
      <c r="E1778" t="s">
        <v>45</v>
      </c>
      <c r="G1778" t="s">
        <v>1388</v>
      </c>
      <c r="H1778" s="8">
        <v>2.4215313497335269</v>
      </c>
      <c r="I1778" s="2">
        <v>545.71170406638316</v>
      </c>
      <c r="J1778" s="7" t="s">
        <v>105</v>
      </c>
    </row>
    <row r="1779" spans="1:10">
      <c r="A1779" t="s">
        <v>104</v>
      </c>
      <c r="B1779" t="s">
        <v>3912</v>
      </c>
      <c r="D1779" t="s">
        <v>24</v>
      </c>
      <c r="E1779" t="s">
        <v>24</v>
      </c>
      <c r="G1779" t="s">
        <v>1388</v>
      </c>
      <c r="H1779" s="8">
        <v>2.6689258437011145</v>
      </c>
      <c r="I1779" s="2">
        <v>601.46405717738025</v>
      </c>
      <c r="J1779" s="7" t="s">
        <v>105</v>
      </c>
    </row>
    <row r="1780" spans="1:10">
      <c r="A1780" t="s">
        <v>104</v>
      </c>
      <c r="B1780" t="s">
        <v>3912</v>
      </c>
      <c r="D1780" t="s">
        <v>100</v>
      </c>
      <c r="E1780" t="s">
        <v>100</v>
      </c>
      <c r="G1780" t="s">
        <v>1388</v>
      </c>
      <c r="H1780" s="8">
        <v>2.5685053692980344</v>
      </c>
      <c r="I1780" s="2">
        <v>578.83348986480337</v>
      </c>
      <c r="J1780" s="7" t="s">
        <v>105</v>
      </c>
    </row>
    <row r="1781" spans="1:10">
      <c r="A1781" t="s">
        <v>104</v>
      </c>
      <c r="B1781" t="s">
        <v>3912</v>
      </c>
      <c r="D1781" t="s">
        <v>47</v>
      </c>
      <c r="E1781" t="s">
        <v>47</v>
      </c>
      <c r="G1781" t="s">
        <v>1388</v>
      </c>
      <c r="H1781" s="8">
        <v>2.4856010220665099</v>
      </c>
      <c r="I1781" s="2">
        <v>560.15032369096673</v>
      </c>
      <c r="J1781" s="7" t="s">
        <v>105</v>
      </c>
    </row>
    <row r="1782" spans="1:10">
      <c r="A1782" t="s">
        <v>104</v>
      </c>
      <c r="B1782" t="s">
        <v>3912</v>
      </c>
      <c r="D1782" t="s">
        <v>112</v>
      </c>
      <c r="E1782" t="s">
        <v>112</v>
      </c>
      <c r="G1782" t="s">
        <v>1388</v>
      </c>
      <c r="H1782" s="8">
        <v>2.4385421967652734</v>
      </c>
      <c r="I1782" s="2">
        <v>549.5452362328482</v>
      </c>
      <c r="J1782" s="7" t="s">
        <v>105</v>
      </c>
    </row>
    <row r="1783" spans="1:10">
      <c r="A1783" t="s">
        <v>104</v>
      </c>
      <c r="B1783" t="s">
        <v>3912</v>
      </c>
      <c r="D1783" t="s">
        <v>48</v>
      </c>
      <c r="E1783" t="s">
        <v>48</v>
      </c>
      <c r="G1783" t="s">
        <v>1388</v>
      </c>
      <c r="H1783" s="8">
        <v>2.6284590040092586</v>
      </c>
      <c r="I1783" s="2">
        <v>592.34452707141895</v>
      </c>
      <c r="J1783" s="7" t="s">
        <v>105</v>
      </c>
    </row>
    <row r="1784" spans="1:10">
      <c r="A1784" t="s">
        <v>104</v>
      </c>
      <c r="B1784" t="s">
        <v>3912</v>
      </c>
      <c r="D1784" t="s">
        <v>110</v>
      </c>
      <c r="E1784" t="s">
        <v>110</v>
      </c>
      <c r="G1784" t="s">
        <v>1388</v>
      </c>
      <c r="H1784" s="8">
        <v>2.4666579114896789</v>
      </c>
      <c r="I1784" s="2">
        <v>555.88134028328216</v>
      </c>
      <c r="J1784" s="7" t="s">
        <v>105</v>
      </c>
    </row>
    <row r="1785" spans="1:10">
      <c r="A1785" t="s">
        <v>104</v>
      </c>
      <c r="B1785" t="s">
        <v>3912</v>
      </c>
      <c r="D1785" t="s">
        <v>34</v>
      </c>
      <c r="E1785" t="s">
        <v>34</v>
      </c>
      <c r="G1785" t="s">
        <v>1388</v>
      </c>
      <c r="H1785" s="8">
        <v>2.3484705524089966</v>
      </c>
      <c r="I1785" s="2">
        <v>529.24686159684188</v>
      </c>
      <c r="J1785" s="7" t="s">
        <v>105</v>
      </c>
    </row>
    <row r="1786" spans="1:10">
      <c r="A1786" t="s">
        <v>104</v>
      </c>
      <c r="B1786" t="s">
        <v>3912</v>
      </c>
      <c r="D1786" t="s">
        <v>44</v>
      </c>
      <c r="E1786" t="s">
        <v>44</v>
      </c>
      <c r="G1786" t="s">
        <v>1388</v>
      </c>
      <c r="H1786" s="8">
        <v>2.4902471896710199</v>
      </c>
      <c r="I1786" s="2">
        <v>561.19737519460068</v>
      </c>
      <c r="J1786" s="7" t="s">
        <v>105</v>
      </c>
    </row>
    <row r="1787" spans="1:10">
      <c r="A1787" t="s">
        <v>104</v>
      </c>
      <c r="B1787" t="s">
        <v>3912</v>
      </c>
      <c r="D1787" t="s">
        <v>107</v>
      </c>
      <c r="E1787" t="s">
        <v>107</v>
      </c>
      <c r="G1787" t="s">
        <v>1388</v>
      </c>
      <c r="H1787" s="8">
        <v>2.4492577502518493</v>
      </c>
      <c r="I1787" s="2">
        <v>551.96007300703127</v>
      </c>
      <c r="J1787" s="7" t="s">
        <v>105</v>
      </c>
    </row>
    <row r="1788" spans="1:10">
      <c r="A1788" t="s">
        <v>104</v>
      </c>
      <c r="B1788" t="s">
        <v>3912</v>
      </c>
      <c r="D1788" t="s">
        <v>101</v>
      </c>
      <c r="E1788" t="s">
        <v>101</v>
      </c>
      <c r="G1788" t="s">
        <v>1388</v>
      </c>
      <c r="H1788" s="8">
        <v>2.5747140649056814</v>
      </c>
      <c r="I1788" s="2">
        <v>580.23266971042108</v>
      </c>
      <c r="J1788" s="7" t="s">
        <v>105</v>
      </c>
    </row>
    <row r="1789" spans="1:10">
      <c r="A1789" t="s">
        <v>104</v>
      </c>
      <c r="B1789" t="s">
        <v>3912</v>
      </c>
      <c r="D1789" t="s">
        <v>109</v>
      </c>
      <c r="E1789" t="s">
        <v>109</v>
      </c>
      <c r="G1789" t="s">
        <v>1388</v>
      </c>
      <c r="H1789" s="8">
        <v>2.5087211653341379</v>
      </c>
      <c r="I1789" s="2">
        <v>565.36063524948725</v>
      </c>
      <c r="J1789" s="7" t="s">
        <v>105</v>
      </c>
    </row>
    <row r="1790" spans="1:10">
      <c r="A1790" t="s">
        <v>3913</v>
      </c>
      <c r="B1790" t="s">
        <v>1394</v>
      </c>
      <c r="D1790" t="s">
        <v>29</v>
      </c>
      <c r="E1790" t="s">
        <v>29</v>
      </c>
      <c r="G1790" t="s">
        <v>1388</v>
      </c>
      <c r="H1790" s="8">
        <v>1.9830139248660057</v>
      </c>
      <c r="I1790" s="2">
        <v>93.877465614296611</v>
      </c>
      <c r="J1790" s="7" t="s">
        <v>146</v>
      </c>
    </row>
    <row r="1791" spans="1:10">
      <c r="A1791" t="s">
        <v>3913</v>
      </c>
      <c r="B1791" t="s">
        <v>1394</v>
      </c>
      <c r="D1791" t="s">
        <v>42</v>
      </c>
      <c r="E1791" t="s">
        <v>42</v>
      </c>
      <c r="G1791" t="s">
        <v>1388</v>
      </c>
      <c r="H1791" s="8">
        <v>1.6542223833740821</v>
      </c>
      <c r="I1791" s="2">
        <v>78.312211006835739</v>
      </c>
      <c r="J1791" s="7" t="s">
        <v>146</v>
      </c>
    </row>
    <row r="1792" spans="1:10">
      <c r="A1792" t="s">
        <v>3913</v>
      </c>
      <c r="B1792" t="s">
        <v>1394</v>
      </c>
      <c r="D1792" t="s">
        <v>26</v>
      </c>
      <c r="E1792" t="s">
        <v>26</v>
      </c>
      <c r="G1792" t="s">
        <v>1388</v>
      </c>
      <c r="H1792" s="8">
        <v>1.7621360109597499</v>
      </c>
      <c r="I1792" s="2">
        <v>83.420928467643336</v>
      </c>
      <c r="J1792" s="7" t="s">
        <v>146</v>
      </c>
    </row>
    <row r="1793" spans="1:10">
      <c r="A1793" t="s">
        <v>3913</v>
      </c>
      <c r="B1793" t="s">
        <v>1394</v>
      </c>
      <c r="D1793" t="s">
        <v>37</v>
      </c>
      <c r="E1793" t="s">
        <v>37</v>
      </c>
      <c r="G1793" t="s">
        <v>1388</v>
      </c>
      <c r="H1793" s="8">
        <v>1.8600693985110039</v>
      </c>
      <c r="I1793" s="2">
        <v>88.057173381029742</v>
      </c>
      <c r="J1793" s="7" t="s">
        <v>146</v>
      </c>
    </row>
    <row r="1794" spans="1:10">
      <c r="A1794" t="s">
        <v>3913</v>
      </c>
      <c r="B1794" t="s">
        <v>1394</v>
      </c>
      <c r="D1794" t="s">
        <v>163</v>
      </c>
      <c r="E1794" t="s">
        <v>163</v>
      </c>
      <c r="G1794" t="s">
        <v>1388</v>
      </c>
      <c r="H1794" s="8">
        <v>1.7386556368753181</v>
      </c>
      <c r="I1794" s="2">
        <v>82.309348774187058</v>
      </c>
      <c r="J1794" s="7" t="s">
        <v>146</v>
      </c>
    </row>
    <row r="1795" spans="1:10">
      <c r="A1795" t="s">
        <v>3913</v>
      </c>
      <c r="B1795" t="s">
        <v>1394</v>
      </c>
      <c r="D1795" t="s">
        <v>96</v>
      </c>
      <c r="E1795" t="s">
        <v>96</v>
      </c>
      <c r="G1795" t="s">
        <v>1388</v>
      </c>
      <c r="H1795" s="8">
        <v>1.5302044959447065</v>
      </c>
      <c r="I1795" s="2">
        <v>72.441105001619164</v>
      </c>
      <c r="J1795" s="7" t="s">
        <v>146</v>
      </c>
    </row>
    <row r="1796" spans="1:10">
      <c r="A1796" t="s">
        <v>3913</v>
      </c>
      <c r="B1796" t="s">
        <v>1394</v>
      </c>
      <c r="D1796" t="s">
        <v>31</v>
      </c>
      <c r="E1796" t="s">
        <v>31</v>
      </c>
      <c r="G1796" t="s">
        <v>1388</v>
      </c>
      <c r="H1796" s="8">
        <v>2.042944372605878</v>
      </c>
      <c r="I1796" s="2">
        <v>96.714620954660347</v>
      </c>
      <c r="J1796" s="7" t="s">
        <v>146</v>
      </c>
    </row>
    <row r="1797" spans="1:10">
      <c r="A1797" t="s">
        <v>3913</v>
      </c>
      <c r="B1797" t="s">
        <v>1394</v>
      </c>
      <c r="D1797" t="s">
        <v>152</v>
      </c>
      <c r="E1797" t="s">
        <v>152</v>
      </c>
      <c r="G1797" t="s">
        <v>1388</v>
      </c>
      <c r="H1797" s="8">
        <v>1.7607205580836967</v>
      </c>
      <c r="I1797" s="2">
        <v>83.353919796128665</v>
      </c>
      <c r="J1797" s="7" t="s">
        <v>146</v>
      </c>
    </row>
    <row r="1798" spans="1:10">
      <c r="A1798" t="s">
        <v>3913</v>
      </c>
      <c r="B1798" t="s">
        <v>1394</v>
      </c>
      <c r="D1798" t="s">
        <v>157</v>
      </c>
      <c r="E1798" t="s">
        <v>157</v>
      </c>
      <c r="G1798" t="s">
        <v>1388</v>
      </c>
      <c r="H1798" s="8">
        <v>1.8540933622338978</v>
      </c>
      <c r="I1798" s="2">
        <v>87.774263042842506</v>
      </c>
      <c r="J1798" s="7" t="s">
        <v>146</v>
      </c>
    </row>
    <row r="1799" spans="1:10">
      <c r="A1799" t="s">
        <v>3913</v>
      </c>
      <c r="B1799" t="s">
        <v>1394</v>
      </c>
      <c r="D1799" t="s">
        <v>164</v>
      </c>
      <c r="E1799" t="s">
        <v>164</v>
      </c>
      <c r="G1799" t="s">
        <v>1388</v>
      </c>
      <c r="H1799" s="8">
        <v>1.7305732375946077</v>
      </c>
      <c r="I1799" s="2">
        <v>81.926721526318801</v>
      </c>
      <c r="J1799" s="7" t="s">
        <v>146</v>
      </c>
    </row>
    <row r="1800" spans="1:10">
      <c r="A1800" t="s">
        <v>3913</v>
      </c>
      <c r="B1800" t="s">
        <v>1394</v>
      </c>
      <c r="D1800" t="s">
        <v>52</v>
      </c>
      <c r="E1800" t="s">
        <v>52</v>
      </c>
      <c r="G1800" t="s">
        <v>1388</v>
      </c>
      <c r="H1800" s="8">
        <v>1.8369080538595994</v>
      </c>
      <c r="I1800" s="2">
        <v>86.960696796156526</v>
      </c>
      <c r="J1800" s="7" t="s">
        <v>146</v>
      </c>
    </row>
    <row r="1801" spans="1:10">
      <c r="A1801" t="s">
        <v>3913</v>
      </c>
      <c r="B1801" t="s">
        <v>1394</v>
      </c>
      <c r="D1801" t="s">
        <v>43</v>
      </c>
      <c r="E1801" t="s">
        <v>43</v>
      </c>
      <c r="G1801" t="s">
        <v>1388</v>
      </c>
      <c r="H1801" s="8">
        <v>1.7536586686158637</v>
      </c>
      <c r="I1801" s="2">
        <v>83.019604299209874</v>
      </c>
      <c r="J1801" s="7" t="s">
        <v>146</v>
      </c>
    </row>
    <row r="1802" spans="1:10">
      <c r="A1802" t="s">
        <v>3913</v>
      </c>
      <c r="B1802" t="s">
        <v>1394</v>
      </c>
      <c r="D1802" t="s">
        <v>162</v>
      </c>
      <c r="E1802" t="s">
        <v>162</v>
      </c>
      <c r="G1802" t="s">
        <v>1388</v>
      </c>
      <c r="H1802" s="8">
        <v>1.7334839007049716</v>
      </c>
      <c r="I1802" s="2">
        <v>82.064514646493919</v>
      </c>
      <c r="J1802" s="7" t="s">
        <v>146</v>
      </c>
    </row>
    <row r="1803" spans="1:10">
      <c r="A1803" t="s">
        <v>3913</v>
      </c>
      <c r="B1803" t="s">
        <v>1394</v>
      </c>
      <c r="D1803" t="s">
        <v>150</v>
      </c>
      <c r="E1803" t="s">
        <v>150</v>
      </c>
      <c r="G1803" t="s">
        <v>1388</v>
      </c>
      <c r="H1803" s="8">
        <v>1.8987795842943986</v>
      </c>
      <c r="I1803" s="2">
        <v>89.889744544164273</v>
      </c>
      <c r="J1803" s="7" t="s">
        <v>146</v>
      </c>
    </row>
    <row r="1804" spans="1:10">
      <c r="A1804" t="s">
        <v>3913</v>
      </c>
      <c r="B1804" t="s">
        <v>1394</v>
      </c>
      <c r="D1804" t="s">
        <v>160</v>
      </c>
      <c r="E1804" t="s">
        <v>160</v>
      </c>
      <c r="G1804" t="s">
        <v>1388</v>
      </c>
      <c r="H1804" s="8">
        <v>1.830457317161061</v>
      </c>
      <c r="I1804" s="2">
        <v>86.655313760258352</v>
      </c>
      <c r="J1804" s="7" t="s">
        <v>146</v>
      </c>
    </row>
    <row r="1805" spans="1:10">
      <c r="A1805" t="s">
        <v>3913</v>
      </c>
      <c r="B1805" t="s">
        <v>1394</v>
      </c>
      <c r="D1805" t="s">
        <v>156</v>
      </c>
      <c r="E1805" t="s">
        <v>156</v>
      </c>
      <c r="G1805" t="s">
        <v>1388</v>
      </c>
      <c r="H1805" s="8">
        <v>1.8417713308492172</v>
      </c>
      <c r="I1805" s="2">
        <v>87.190928219466613</v>
      </c>
      <c r="J1805" s="7" t="s">
        <v>146</v>
      </c>
    </row>
    <row r="1806" spans="1:10">
      <c r="A1806" t="s">
        <v>3913</v>
      </c>
      <c r="B1806" t="s">
        <v>1394</v>
      </c>
      <c r="D1806" t="s">
        <v>168</v>
      </c>
      <c r="E1806" t="s">
        <v>168</v>
      </c>
      <c r="G1806" t="s">
        <v>1388</v>
      </c>
      <c r="H1806" s="8">
        <v>1.6755348948051692</v>
      </c>
      <c r="I1806" s="2">
        <v>79.321162347992555</v>
      </c>
      <c r="J1806" s="7" t="s">
        <v>146</v>
      </c>
    </row>
    <row r="1807" spans="1:10">
      <c r="A1807" t="s">
        <v>3913</v>
      </c>
      <c r="B1807" t="s">
        <v>1394</v>
      </c>
      <c r="D1807" t="s">
        <v>174</v>
      </c>
      <c r="E1807" t="s">
        <v>174</v>
      </c>
      <c r="G1807" t="s">
        <v>1388</v>
      </c>
      <c r="H1807" s="8">
        <v>1.1826680533983522</v>
      </c>
      <c r="I1807" s="2">
        <v>55.988451782320709</v>
      </c>
      <c r="J1807" s="7" t="s">
        <v>146</v>
      </c>
    </row>
    <row r="1808" spans="1:10">
      <c r="A1808" t="s">
        <v>3913</v>
      </c>
      <c r="B1808" t="s">
        <v>1394</v>
      </c>
      <c r="D1808" t="s">
        <v>169</v>
      </c>
      <c r="E1808" t="s">
        <v>169</v>
      </c>
      <c r="G1808" t="s">
        <v>1388</v>
      </c>
      <c r="H1808" s="8">
        <v>1.3460149668366344</v>
      </c>
      <c r="I1808" s="2">
        <v>63.721425342019735</v>
      </c>
      <c r="J1808" s="7" t="s">
        <v>146</v>
      </c>
    </row>
    <row r="1809" spans="1:10">
      <c r="A1809" t="s">
        <v>3913</v>
      </c>
      <c r="B1809" t="s">
        <v>1394</v>
      </c>
      <c r="D1809" t="s">
        <v>434</v>
      </c>
      <c r="E1809" t="s">
        <v>144</v>
      </c>
      <c r="G1809" t="s">
        <v>1388</v>
      </c>
      <c r="H1809" s="8">
        <v>1.9419139011309852</v>
      </c>
      <c r="I1809" s="2">
        <v>91.931757610661734</v>
      </c>
      <c r="J1809" s="7" t="s">
        <v>146</v>
      </c>
    </row>
    <row r="1810" spans="1:10">
      <c r="A1810" t="s">
        <v>3913</v>
      </c>
      <c r="B1810" t="s">
        <v>1394</v>
      </c>
      <c r="D1810" t="s">
        <v>154</v>
      </c>
      <c r="E1810" t="s">
        <v>154</v>
      </c>
      <c r="G1810" t="s">
        <v>1388</v>
      </c>
      <c r="H1810" s="8">
        <v>1.8554915183334619</v>
      </c>
      <c r="I1810" s="2">
        <v>87.84045287112076</v>
      </c>
      <c r="J1810" s="7" t="s">
        <v>146</v>
      </c>
    </row>
    <row r="1811" spans="1:10">
      <c r="A1811" t="s">
        <v>3913</v>
      </c>
      <c r="B1811" t="s">
        <v>1394</v>
      </c>
      <c r="D1811" t="s">
        <v>30</v>
      </c>
      <c r="E1811" t="s">
        <v>30</v>
      </c>
      <c r="G1811" t="s">
        <v>1388</v>
      </c>
      <c r="H1811" s="8">
        <v>1.9057511461516754</v>
      </c>
      <c r="I1811" s="2">
        <v>90.219783859737234</v>
      </c>
      <c r="J1811" s="7" t="s">
        <v>146</v>
      </c>
    </row>
    <row r="1812" spans="1:10">
      <c r="A1812" t="s">
        <v>3913</v>
      </c>
      <c r="B1812" t="s">
        <v>1394</v>
      </c>
      <c r="D1812" t="s">
        <v>165</v>
      </c>
      <c r="E1812" t="s">
        <v>165</v>
      </c>
      <c r="G1812" t="s">
        <v>1388</v>
      </c>
      <c r="H1812" s="8">
        <v>1.6786204475444821</v>
      </c>
      <c r="I1812" s="2">
        <v>79.467234883113818</v>
      </c>
      <c r="J1812" s="7" t="s">
        <v>146</v>
      </c>
    </row>
    <row r="1813" spans="1:10">
      <c r="A1813" t="s">
        <v>3913</v>
      </c>
      <c r="B1813" t="s">
        <v>1394</v>
      </c>
      <c r="D1813" t="s">
        <v>161</v>
      </c>
      <c r="E1813" t="s">
        <v>161</v>
      </c>
      <c r="G1813" t="s">
        <v>1388</v>
      </c>
      <c r="H1813" s="8">
        <v>1.767254895868601</v>
      </c>
      <c r="I1813" s="2">
        <v>83.663260574336263</v>
      </c>
      <c r="J1813" s="7" t="s">
        <v>146</v>
      </c>
    </row>
    <row r="1814" spans="1:10">
      <c r="A1814" t="s">
        <v>3913</v>
      </c>
      <c r="B1814" t="s">
        <v>1394</v>
      </c>
      <c r="D1814" t="s">
        <v>155</v>
      </c>
      <c r="E1814" t="s">
        <v>155</v>
      </c>
      <c r="G1814" t="s">
        <v>1388</v>
      </c>
      <c r="H1814" s="8">
        <v>1.8689397620540111</v>
      </c>
      <c r="I1814" s="2">
        <v>88.477103487446527</v>
      </c>
      <c r="J1814" s="7" t="s">
        <v>146</v>
      </c>
    </row>
    <row r="1815" spans="1:10">
      <c r="A1815" t="s">
        <v>3913</v>
      </c>
      <c r="B1815" t="s">
        <v>1394</v>
      </c>
      <c r="D1815" t="s">
        <v>45</v>
      </c>
      <c r="E1815" t="s">
        <v>45</v>
      </c>
      <c r="G1815" t="s">
        <v>1388</v>
      </c>
      <c r="H1815" s="8">
        <v>1.8376008858512045</v>
      </c>
      <c r="I1815" s="2">
        <v>86.9934960169047</v>
      </c>
      <c r="J1815" s="7" t="s">
        <v>146</v>
      </c>
    </row>
    <row r="1816" spans="1:10">
      <c r="A1816" t="s">
        <v>3913</v>
      </c>
      <c r="B1816" t="s">
        <v>1394</v>
      </c>
      <c r="D1816" t="s">
        <v>24</v>
      </c>
      <c r="E1816" t="s">
        <v>24</v>
      </c>
      <c r="G1816" t="s">
        <v>1388</v>
      </c>
      <c r="H1816" s="8">
        <v>1.8336024476860595</v>
      </c>
      <c r="I1816" s="2">
        <v>86.804206755416203</v>
      </c>
      <c r="J1816" s="7" t="s">
        <v>146</v>
      </c>
    </row>
    <row r="1817" spans="1:10">
      <c r="A1817" t="s">
        <v>3913</v>
      </c>
      <c r="B1817" t="s">
        <v>1394</v>
      </c>
      <c r="D1817" t="s">
        <v>47</v>
      </c>
      <c r="E1817" t="s">
        <v>47</v>
      </c>
      <c r="G1817" t="s">
        <v>1388</v>
      </c>
      <c r="H1817" s="8">
        <v>1.8139830984868845</v>
      </c>
      <c r="I1817" s="2">
        <v>85.875411068847896</v>
      </c>
      <c r="J1817" s="7" t="s">
        <v>146</v>
      </c>
    </row>
    <row r="1818" spans="1:10">
      <c r="A1818" t="s">
        <v>3913</v>
      </c>
      <c r="B1818" t="s">
        <v>1394</v>
      </c>
      <c r="D1818" t="s">
        <v>355</v>
      </c>
      <c r="E1818" t="s">
        <v>159</v>
      </c>
      <c r="G1818" t="s">
        <v>1388</v>
      </c>
      <c r="H1818" s="8">
        <v>1.8489533368204489</v>
      </c>
      <c r="I1818" s="2">
        <v>87.530930127749514</v>
      </c>
      <c r="J1818" s="7" t="s">
        <v>146</v>
      </c>
    </row>
    <row r="1819" spans="1:10">
      <c r="A1819" t="s">
        <v>3913</v>
      </c>
      <c r="B1819" t="s">
        <v>1394</v>
      </c>
      <c r="D1819" t="s">
        <v>35</v>
      </c>
      <c r="E1819" t="s">
        <v>35</v>
      </c>
      <c r="G1819" t="s">
        <v>1388</v>
      </c>
      <c r="H1819" s="8">
        <v>1.7027734740479485</v>
      </c>
      <c r="I1819" s="2">
        <v>80.610658480209125</v>
      </c>
      <c r="J1819" s="7" t="s">
        <v>146</v>
      </c>
    </row>
    <row r="1820" spans="1:10">
      <c r="A1820" t="s">
        <v>3913</v>
      </c>
      <c r="B1820" t="s">
        <v>1394</v>
      </c>
      <c r="D1820" t="s">
        <v>167</v>
      </c>
      <c r="E1820" t="s">
        <v>167</v>
      </c>
      <c r="G1820" t="s">
        <v>1388</v>
      </c>
      <c r="H1820" s="8">
        <v>1.6578527845728128</v>
      </c>
      <c r="I1820" s="2">
        <v>78.484077103904625</v>
      </c>
      <c r="J1820" s="7" t="s">
        <v>146</v>
      </c>
    </row>
    <row r="1821" spans="1:10">
      <c r="A1821" t="s">
        <v>3913</v>
      </c>
      <c r="B1821" t="s">
        <v>1394</v>
      </c>
      <c r="D1821" t="s">
        <v>48</v>
      </c>
      <c r="E1821" t="s">
        <v>48</v>
      </c>
      <c r="G1821" t="s">
        <v>1388</v>
      </c>
      <c r="H1821" s="8">
        <v>2.0256197290876363</v>
      </c>
      <c r="I1821" s="2">
        <v>95.894458470791974</v>
      </c>
      <c r="J1821" s="7" t="s">
        <v>146</v>
      </c>
    </row>
    <row r="1822" spans="1:10">
      <c r="A1822" t="s">
        <v>3913</v>
      </c>
      <c r="B1822" t="s">
        <v>1394</v>
      </c>
      <c r="D1822" t="s">
        <v>34</v>
      </c>
      <c r="E1822" t="s">
        <v>34</v>
      </c>
      <c r="G1822" t="s">
        <v>1388</v>
      </c>
      <c r="H1822" s="8">
        <v>1.5160144126991653</v>
      </c>
      <c r="I1822" s="2">
        <v>71.769335108708646</v>
      </c>
      <c r="J1822" s="7" t="s">
        <v>146</v>
      </c>
    </row>
    <row r="1823" spans="1:10">
      <c r="A1823" t="s">
        <v>3913</v>
      </c>
      <c r="B1823" t="s">
        <v>1394</v>
      </c>
      <c r="D1823" t="s">
        <v>147</v>
      </c>
      <c r="E1823" t="s">
        <v>147</v>
      </c>
      <c r="G1823" t="s">
        <v>1388</v>
      </c>
      <c r="H1823" s="8">
        <v>1.7297180080904071</v>
      </c>
      <c r="I1823" s="2">
        <v>81.886234277406345</v>
      </c>
      <c r="J1823" s="7" t="s">
        <v>146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baseColWidth="10" defaultColWidth="9" defaultRowHeight="14.25"/>
  <cols>
    <col min="1" max="1" width="28" customWidth="1"/>
    <col min="2" max="2" width="36" customWidth="1"/>
    <col min="3" max="3" width="14" customWidth="1"/>
    <col min="4" max="4" width="20" customWidth="1"/>
    <col min="5" max="5" width="12" customWidth="1"/>
    <col min="6" max="7" width="18" customWidth="1"/>
    <col min="8" max="8" width="14" customWidth="1"/>
  </cols>
  <sheetData>
    <row r="1" spans="1:8" ht="15">
      <c r="A1" s="1" t="s">
        <v>1381</v>
      </c>
      <c r="B1" s="1" t="s">
        <v>3914</v>
      </c>
      <c r="C1" s="1" t="s">
        <v>3915</v>
      </c>
      <c r="D1" s="1" t="s">
        <v>3916</v>
      </c>
      <c r="E1" s="1" t="s">
        <v>3917</v>
      </c>
      <c r="F1" s="1" t="s">
        <v>3918</v>
      </c>
      <c r="G1" s="1" t="s">
        <v>3919</v>
      </c>
      <c r="H1" s="1" t="s">
        <v>3920</v>
      </c>
    </row>
    <row r="2" spans="1:8">
      <c r="A2" t="s">
        <v>22</v>
      </c>
      <c r="B2" t="s">
        <v>1391</v>
      </c>
      <c r="C2" t="s">
        <v>3921</v>
      </c>
      <c r="D2" t="s">
        <v>3922</v>
      </c>
      <c r="E2" s="3">
        <v>55</v>
      </c>
      <c r="F2" s="2">
        <v>429.1</v>
      </c>
      <c r="G2" s="2">
        <v>23600.5</v>
      </c>
      <c r="H2" t="s">
        <v>1387</v>
      </c>
    </row>
    <row r="3" spans="1:8">
      <c r="A3" t="s">
        <v>28</v>
      </c>
      <c r="B3" t="s">
        <v>28</v>
      </c>
      <c r="C3" t="s">
        <v>3923</v>
      </c>
      <c r="D3" t="s">
        <v>3924</v>
      </c>
      <c r="E3" s="3">
        <v>10</v>
      </c>
      <c r="F3" s="2">
        <v>421</v>
      </c>
      <c r="G3" s="2">
        <v>4210</v>
      </c>
      <c r="H3" t="s">
        <v>1387</v>
      </c>
    </row>
    <row r="4" spans="1:8">
      <c r="A4" t="s">
        <v>24</v>
      </c>
      <c r="B4" t="s">
        <v>24</v>
      </c>
      <c r="C4" t="s">
        <v>3925</v>
      </c>
      <c r="D4" t="s">
        <v>3926</v>
      </c>
      <c r="E4" s="3">
        <v>25</v>
      </c>
      <c r="F4" s="2">
        <v>177.22</v>
      </c>
      <c r="G4" s="2">
        <v>4430.5</v>
      </c>
      <c r="H4" t="s">
        <v>1387</v>
      </c>
    </row>
    <row r="5" spans="1:8">
      <c r="A5" t="s">
        <v>29</v>
      </c>
      <c r="B5" t="s">
        <v>29</v>
      </c>
      <c r="C5" t="s">
        <v>3927</v>
      </c>
      <c r="D5" t="s">
        <v>3928</v>
      </c>
      <c r="E5" s="3">
        <v>9</v>
      </c>
      <c r="F5" s="2">
        <v>432.95</v>
      </c>
      <c r="G5" s="2">
        <v>3896.55</v>
      </c>
      <c r="H5" t="s">
        <v>1387</v>
      </c>
    </row>
    <row r="6" spans="1:8">
      <c r="A6" t="s">
        <v>26</v>
      </c>
      <c r="B6" t="s">
        <v>1390</v>
      </c>
      <c r="C6" t="s">
        <v>3929</v>
      </c>
      <c r="D6" t="s">
        <v>3930</v>
      </c>
      <c r="E6" s="3">
        <v>11</v>
      </c>
      <c r="F6" s="2">
        <v>302.60000000000002</v>
      </c>
      <c r="G6" s="2">
        <v>3328.6</v>
      </c>
      <c r="H6" t="s">
        <v>1387</v>
      </c>
    </row>
    <row r="7" spans="1:8">
      <c r="A7" t="s">
        <v>39</v>
      </c>
      <c r="B7" t="s">
        <v>39</v>
      </c>
      <c r="C7" t="s">
        <v>3931</v>
      </c>
      <c r="D7" t="s">
        <v>3932</v>
      </c>
      <c r="E7" s="3">
        <v>2</v>
      </c>
      <c r="F7" s="2">
        <v>746.1</v>
      </c>
      <c r="G7" s="2">
        <v>1492.2</v>
      </c>
      <c r="H7" t="s">
        <v>1387</v>
      </c>
    </row>
    <row r="8" spans="1:8">
      <c r="A8" t="s">
        <v>30</v>
      </c>
      <c r="B8" t="s">
        <v>30</v>
      </c>
      <c r="C8" t="s">
        <v>3933</v>
      </c>
      <c r="D8" t="s">
        <v>3934</v>
      </c>
      <c r="E8" s="3">
        <v>7</v>
      </c>
      <c r="F8" s="2">
        <v>344.3</v>
      </c>
      <c r="G8" s="2">
        <v>2410.1</v>
      </c>
      <c r="H8" t="s">
        <v>1387</v>
      </c>
    </row>
    <row r="9" spans="1:8">
      <c r="A9" t="s">
        <v>32</v>
      </c>
      <c r="B9" t="s">
        <v>1392</v>
      </c>
      <c r="C9" t="s">
        <v>3935</v>
      </c>
      <c r="D9" t="s">
        <v>3936</v>
      </c>
      <c r="E9" s="3">
        <v>2</v>
      </c>
      <c r="F9" s="2">
        <v>1030.4000000000001</v>
      </c>
      <c r="G9" s="2">
        <v>2060.8000000000002</v>
      </c>
      <c r="H9" t="s">
        <v>1387</v>
      </c>
    </row>
    <row r="10" spans="1:8">
      <c r="A10" t="s">
        <v>35</v>
      </c>
      <c r="B10" t="s">
        <v>35</v>
      </c>
      <c r="C10" t="s">
        <v>3937</v>
      </c>
      <c r="D10" t="s">
        <v>3938</v>
      </c>
      <c r="E10" s="3">
        <v>7</v>
      </c>
      <c r="F10" s="2">
        <v>264.5</v>
      </c>
      <c r="G10" s="2">
        <v>1851.5</v>
      </c>
      <c r="H10" t="s">
        <v>1387</v>
      </c>
    </row>
    <row r="11" spans="1:8">
      <c r="A11" t="s">
        <v>36</v>
      </c>
      <c r="B11" t="s">
        <v>36</v>
      </c>
      <c r="C11" t="s">
        <v>3939</v>
      </c>
      <c r="D11" t="s">
        <v>3940</v>
      </c>
      <c r="E11" s="3">
        <v>97</v>
      </c>
      <c r="F11" s="2">
        <v>17.55</v>
      </c>
      <c r="G11" s="2">
        <v>1702.16</v>
      </c>
      <c r="H11" t="s">
        <v>1387</v>
      </c>
    </row>
    <row r="12" spans="1:8">
      <c r="A12" t="s">
        <v>31</v>
      </c>
      <c r="B12" t="s">
        <v>31</v>
      </c>
      <c r="C12" t="s">
        <v>3941</v>
      </c>
      <c r="D12" t="s">
        <v>3942</v>
      </c>
      <c r="E12" s="3">
        <v>5</v>
      </c>
      <c r="F12" s="2">
        <v>291.64999999999998</v>
      </c>
      <c r="G12" s="2">
        <v>1458.25</v>
      </c>
      <c r="H12" t="s">
        <v>1387</v>
      </c>
    </row>
    <row r="13" spans="1:8">
      <c r="A13" t="s">
        <v>40</v>
      </c>
      <c r="B13" t="s">
        <v>40</v>
      </c>
      <c r="C13" t="s">
        <v>3943</v>
      </c>
      <c r="D13" t="s">
        <v>3944</v>
      </c>
      <c r="E13" s="3">
        <v>2</v>
      </c>
      <c r="F13" s="2">
        <v>448.4</v>
      </c>
      <c r="G13" s="2">
        <v>896.8</v>
      </c>
      <c r="H13" t="s">
        <v>1387</v>
      </c>
    </row>
    <row r="14" spans="1:8">
      <c r="A14" t="s">
        <v>34</v>
      </c>
      <c r="B14" t="s">
        <v>1393</v>
      </c>
      <c r="C14" t="s">
        <v>3945</v>
      </c>
      <c r="D14" t="s">
        <v>3946</v>
      </c>
      <c r="E14" s="3">
        <v>2</v>
      </c>
      <c r="F14" s="2">
        <v>348</v>
      </c>
      <c r="G14" s="2">
        <v>696</v>
      </c>
      <c r="H14" t="s">
        <v>1387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sqref="A1:I1"/>
    </sheetView>
  </sheetViews>
  <sheetFormatPr baseColWidth="10" defaultColWidth="9" defaultRowHeight="14.25"/>
  <cols>
    <col min="1" max="1" width="34" customWidth="1"/>
    <col min="2" max="2" width="18" customWidth="1"/>
    <col min="3" max="4" width="16" customWidth="1"/>
    <col min="5" max="5" width="22" customWidth="1"/>
    <col min="6" max="7" width="20" customWidth="1"/>
    <col min="8" max="8" width="72" customWidth="1"/>
    <col min="9" max="9" width="70" customWidth="1"/>
  </cols>
  <sheetData>
    <row r="1" spans="1:9" ht="20.25">
      <c r="A1" s="13" t="s">
        <v>3947</v>
      </c>
      <c r="B1" s="13"/>
      <c r="C1" s="13"/>
      <c r="D1" s="13"/>
      <c r="E1" s="13"/>
      <c r="F1" s="13"/>
      <c r="G1" s="13"/>
      <c r="H1" s="13"/>
      <c r="I1" s="13"/>
    </row>
    <row r="2" spans="1:9" ht="15">
      <c r="A2" s="9" t="s">
        <v>3948</v>
      </c>
      <c r="B2" s="2">
        <v>110400.89</v>
      </c>
    </row>
    <row r="4" spans="1:9" ht="30">
      <c r="A4" s="1" t="s">
        <v>3949</v>
      </c>
      <c r="B4" s="1" t="s">
        <v>3950</v>
      </c>
      <c r="C4" s="1" t="s">
        <v>3951</v>
      </c>
      <c r="D4" s="1" t="s">
        <v>1378</v>
      </c>
      <c r="E4" s="1" t="s">
        <v>3952</v>
      </c>
      <c r="F4" s="1" t="s">
        <v>3953</v>
      </c>
      <c r="G4" s="1" t="s">
        <v>3954</v>
      </c>
      <c r="H4" s="1" t="s">
        <v>3955</v>
      </c>
      <c r="I4" s="1" t="s">
        <v>1385</v>
      </c>
    </row>
    <row r="5" spans="1:9">
      <c r="A5" t="s">
        <v>1386</v>
      </c>
      <c r="B5" s="2">
        <v>52033.96</v>
      </c>
      <c r="C5" s="10" t="s">
        <v>1387</v>
      </c>
      <c r="D5" s="10" t="s">
        <v>1387</v>
      </c>
      <c r="E5" s="4">
        <v>1</v>
      </c>
      <c r="F5" s="2">
        <v>52033.96</v>
      </c>
      <c r="G5" s="2">
        <v>0</v>
      </c>
      <c r="H5" s="7" t="s">
        <v>3956</v>
      </c>
      <c r="I5" s="7" t="s">
        <v>1389</v>
      </c>
    </row>
    <row r="6" spans="1:9" ht="28.5">
      <c r="A6" t="s">
        <v>104</v>
      </c>
      <c r="B6" s="2">
        <v>22535.81</v>
      </c>
      <c r="C6" s="10" t="s">
        <v>1387</v>
      </c>
      <c r="D6" s="10" t="s">
        <v>3912</v>
      </c>
      <c r="E6" s="4">
        <v>1</v>
      </c>
      <c r="F6" s="2">
        <v>22535.81</v>
      </c>
      <c r="G6" s="2">
        <v>0</v>
      </c>
      <c r="H6" s="7" t="s">
        <v>3957</v>
      </c>
      <c r="I6" s="7" t="s">
        <v>105</v>
      </c>
    </row>
    <row r="7" spans="1:9" ht="28.5">
      <c r="A7" t="s">
        <v>121</v>
      </c>
      <c r="B7" s="2">
        <v>13305.16</v>
      </c>
      <c r="C7" s="10" t="s">
        <v>1387</v>
      </c>
      <c r="D7" s="10" t="s">
        <v>1394</v>
      </c>
      <c r="E7" s="4">
        <v>0.99750000000000005</v>
      </c>
      <c r="F7" s="2">
        <v>13271.8971</v>
      </c>
      <c r="G7" s="2">
        <v>33.262899999999718</v>
      </c>
      <c r="H7" s="7" t="s">
        <v>3958</v>
      </c>
      <c r="I7" s="7" t="s">
        <v>122</v>
      </c>
    </row>
    <row r="8" spans="1:9" ht="28.5">
      <c r="A8" t="s">
        <v>3959</v>
      </c>
      <c r="B8" s="2">
        <v>4734.08</v>
      </c>
      <c r="C8" s="10" t="s">
        <v>1387</v>
      </c>
      <c r="D8" s="10" t="s">
        <v>1394</v>
      </c>
      <c r="E8" s="4">
        <v>0.6</v>
      </c>
      <c r="F8" s="2">
        <v>2840.4479999999999</v>
      </c>
      <c r="G8" s="2">
        <v>1893.6320000000001</v>
      </c>
      <c r="H8" s="7" t="s">
        <v>3960</v>
      </c>
      <c r="I8" s="7" t="s">
        <v>146</v>
      </c>
    </row>
    <row r="9" spans="1:9" ht="28.5">
      <c r="A9" t="s">
        <v>187</v>
      </c>
      <c r="B9" s="2">
        <v>3363.12</v>
      </c>
      <c r="C9" s="10" t="s">
        <v>1387</v>
      </c>
      <c r="D9" s="10" t="s">
        <v>1394</v>
      </c>
      <c r="E9" s="4">
        <v>0.99819999999999998</v>
      </c>
      <c r="F9" s="2">
        <v>3357.0663839999997</v>
      </c>
      <c r="G9" s="2">
        <v>6.0536160000001473</v>
      </c>
      <c r="H9" s="7" t="s">
        <v>3958</v>
      </c>
      <c r="I9" s="7" t="s">
        <v>188</v>
      </c>
    </row>
    <row r="10" spans="1:9" ht="28.5">
      <c r="A10" t="s">
        <v>943</v>
      </c>
      <c r="B10" s="2">
        <v>1141.04</v>
      </c>
      <c r="C10" s="10" t="s">
        <v>1387</v>
      </c>
      <c r="D10" s="10" t="s">
        <v>1394</v>
      </c>
      <c r="E10" s="4">
        <v>0.9948999999999999</v>
      </c>
      <c r="F10" s="2">
        <v>1135.2206959999999</v>
      </c>
      <c r="G10" s="2">
        <v>5.819304000000102</v>
      </c>
      <c r="H10" s="7" t="s">
        <v>3958</v>
      </c>
      <c r="I10" s="7" t="s">
        <v>944</v>
      </c>
    </row>
    <row r="11" spans="1:9">
      <c r="A11" t="s">
        <v>3961</v>
      </c>
      <c r="B11" s="2">
        <v>6988.64</v>
      </c>
      <c r="C11" s="10" t="s">
        <v>1387</v>
      </c>
      <c r="D11" s="10" t="s">
        <v>2096</v>
      </c>
      <c r="E11" s="4">
        <v>0</v>
      </c>
      <c r="F11" s="2">
        <v>0</v>
      </c>
      <c r="G11" s="2">
        <v>6988.64</v>
      </c>
      <c r="H11" s="7" t="s">
        <v>3962</v>
      </c>
      <c r="I11" s="7" t="s">
        <v>1389</v>
      </c>
    </row>
    <row r="12" spans="1:9">
      <c r="A12" t="s">
        <v>3963</v>
      </c>
      <c r="B12" s="2">
        <v>799.08</v>
      </c>
      <c r="C12" s="10" t="s">
        <v>1387</v>
      </c>
      <c r="D12" s="10" t="s">
        <v>2096</v>
      </c>
      <c r="E12" s="4">
        <v>0</v>
      </c>
      <c r="F12" s="2">
        <v>0</v>
      </c>
      <c r="G12" s="2">
        <v>799.08</v>
      </c>
      <c r="H12" s="7" t="s">
        <v>3964</v>
      </c>
      <c r="I12" s="7" t="s">
        <v>1389</v>
      </c>
    </row>
    <row r="13" spans="1:9">
      <c r="A13" t="s">
        <v>3965</v>
      </c>
      <c r="B13" s="2">
        <v>5500</v>
      </c>
      <c r="C13" s="10" t="s">
        <v>1387</v>
      </c>
      <c r="D13" s="10" t="s">
        <v>2096</v>
      </c>
      <c r="E13" s="4">
        <v>0</v>
      </c>
      <c r="F13" s="2">
        <v>0</v>
      </c>
      <c r="G13" s="2">
        <v>5500</v>
      </c>
      <c r="H13" s="7" t="s">
        <v>3966</v>
      </c>
      <c r="I13" s="7" t="s">
        <v>1389</v>
      </c>
    </row>
    <row r="15" spans="1:9" ht="15">
      <c r="A15" s="9" t="s">
        <v>3967</v>
      </c>
      <c r="B15" s="12">
        <f>SUM(B5:B13)</f>
        <v>110400.89</v>
      </c>
      <c r="C15" s="9"/>
      <c r="D15" s="9"/>
      <c r="E15" s="9"/>
      <c r="F15" s="11">
        <f>SUM(F5:F13)</f>
        <v>95174.402180000019</v>
      </c>
      <c r="G15" s="11">
        <f>SUM(G5:G13)</f>
        <v>15226.48782</v>
      </c>
      <c r="H15" s="9"/>
      <c r="I15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Alle Unternehmen</vt:lpstr>
      <vt:lpstr>Quellpositionen</vt:lpstr>
      <vt:lpstr>Direktbestand</vt:lpstr>
      <vt:lpstr>Quellen &amp; Annahmen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2026-07-18T15:41:41Z</dcterms:modified>
</cp:coreProperties>
</file>