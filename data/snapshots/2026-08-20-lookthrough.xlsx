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0d3fbae9d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samtdepot" sheetId="1" r:id="R9b5794382fa64676"/>
    <x:sheet xmlns:r="http://schemas.openxmlformats.org/officeDocument/2006/relationships" name="Quellen &amp; Methodik" sheetId="2" r:id="Rbd44827f663a4bf4"/>
    <x:sheet xmlns:r="http://schemas.openxmlformats.org/officeDocument/2006/relationships" name="Ausgangsdepots" sheetId="3" r:id="R1407968ec12a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0.00%;[Red](0.00%);-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</x:fills>
  <x:borders count="4">
    <x:border/>
    <x:border/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4" fillId="5" borderId="2" xfId="0" applyNumberFormat="1" applyFont="1" applyFill="1" applyBorder="1"/>
    <x:xf numFmtId="200" fontId="4" fillId="5" borderId="2" xfId="0" applyNumberFormat="1" applyFont="1" applyFill="1" applyBorder="1"/>
    <x:xf numFmtId="201" fontId="4" fillId="5" borderId="2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1" fontId="4" fillId="5" borderId="1" xfId="0" applyNumberFormat="1" applyFont="1" applyFill="1" applyBorder="1"/>
    <x:xf numFmtId="0" fontId="4" fillId="5" borderId="3" xfId="0" applyNumberFormat="1" applyFont="1" applyFill="1" applyBorder="1"/>
    <x:xf numFmtId="200" fontId="4" fillId="5" borderId="3" xfId="0" applyNumberFormat="1" applyFont="1" applyFill="1" applyBorder="1"/>
    <x:xf numFmtId="201" fontId="4" fillId="5" borderId="3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200" fontId="4" fillId="5" borderId="2" xfId="0" applyNumberFormat="1" applyFont="1" applyFill="1" applyBorder="1" applyAlignment="1">
      <x:alignment wrapText="1"/>
    </x:xf>
    <x:xf numFmtId="201" fontId="4" fillId="5" borderId="2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200" fontId="4" fillId="5" borderId="3" xfId="0" applyNumberFormat="1" applyFont="1" applyFill="1" applyBorder="1" applyAlignment="1">
      <x:alignment wrapText="1"/>
    </x:xf>
    <x:xf numFmtId="201" fontId="4" fillId="5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b63d8a1104d4a" /><Relationship Type="http://schemas.openxmlformats.org/officeDocument/2006/relationships/theme" Target="/xl/theme/theme1.xml" Id="R87d767e418254f0d" /><Relationship Type="http://schemas.openxmlformats.org/officeDocument/2006/relationships/sharedStrings" Target="/xl/sharedStrings.xml" Id="R406b2be9d80749f0" /><Relationship Type="http://schemas.openxmlformats.org/officeDocument/2006/relationships/worksheet" Target="/xl/worksheets/sheet1.xml" Id="R9b5794382fa64676" /><Relationship Type="http://schemas.openxmlformats.org/officeDocument/2006/relationships/worksheet" Target="/xl/worksheets/sheet2.xml" Id="Rbd44827f663a4bf4" /><Relationship Type="http://schemas.openxmlformats.org/officeDocument/2006/relationships/worksheet" Target="/xl/worksheets/sheet3.xml" Id="R1407968ec12a47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7" hidden="0" customWidth="1"/>
  </x:cols>
  <x:sheetData>
    <x:row r="1">
      <x:c r="A1" s="3" t="str">
        <x:v>Gesamtheitliche Depotaufstellung – Look-through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8" t="str">
        <x:v>Direktbestände plus aufgelöste Fonds-/ETF-Bestandteile. In der Hauptaufstellung sind keine Fonds oder ETFs als Position sichtbar.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14" t="str">
        <x:v>Einzelwert / Anlage</x:v>
      </x:c>
      <x:c r="B4" s="14" t="str">
        <x:v>Direkt (EUR)</x:v>
      </x:c>
      <x:c r="C4" s="14" t="str">
        <x:v>Aktienfonds-Look-through</x:v>
      </x:c>
      <x:c r="D4" s="14" t="str">
        <x:v>Global-Titans-Look-through</x:v>
      </x:c>
      <x:c r="E4" s="14" t="str">
        <x:v>Technologiefonds-Look-through</x:v>
      </x:c>
      <x:c r="F4" s="14" t="str">
        <x:v>MSCI-World-Look-through</x:v>
      </x:c>
      <x:c r="G4" s="14" t="str">
        <x:v>World-Value-Look-through</x:v>
      </x:c>
      <x:c r="H4" s="14" t="str">
        <x:v>Gesamtwert (EUR)</x:v>
      </x:c>
      <x:c r="I4" s="14" t="str">
        <x:v>Anteil Gesamtdepot</x:v>
      </x:c>
    </x:row>
    <x:row r="5">
      <x:c r="A5" s="44" t="str">
        <x:v>Berkshire Hathaway B</x:v>
      </x:c>
      <x:c r="B5" s="45" t="n">
        <x:v>23515.25</x:v>
      </x:c>
      <x:c r="C5" s="45" t="n">
        <x:v>570.0351717293934</x:v>
      </x:c>
      <x:c r="D5" s="45" t="n">
        <x:v>0</x:v>
      </x:c>
      <x:c r="E5" s="45" t="n">
        <x:v>0</x:v>
      </x:c>
      <x:c r="F5" s="45" t="n">
        <x:v>27.596700000000002</x:v>
      </x:c>
      <x:c r="G5" s="45" t="n">
        <x:v>0</x:v>
      </x:c>
      <x:c r="H5" s="45" t="n">
        <x:v>24112.881871729394</x:v>
      </x:c>
      <x:c r="I5" s="46" t="n">
        <x:v>0.21245921153244607</x:v>
      </x:c>
    </x:row>
    <x:row r="6">
      <x:c r="A6" s="44" t="str">
        <x:v>Xetra-Gold</x:v>
      </x:c>
      <x:c r="B6" s="45" t="n">
        <x:v>7712.18</x:v>
      </x:c>
      <x:c r="C6" s="45" t="n">
        <x:v>0</x:v>
      </x:c>
      <x:c r="D6" s="45" t="n">
        <x:v>0</x:v>
      </x:c>
      <x:c r="E6" s="45" t="n">
        <x:v>0</x:v>
      </x:c>
      <x:c r="F6" s="45" t="n">
        <x:v>0</x:v>
      </x:c>
      <x:c r="G6" s="45" t="n">
        <x:v>0</x:v>
      </x:c>
      <x:c r="H6" s="45" t="n">
        <x:v>7712.18</x:v>
      </x:c>
      <x:c r="I6" s="46" t="n">
        <x:v>0.06795221287578032</x:v>
      </x:c>
    </x:row>
    <x:row r="7">
      <x:c r="A7" s="44" t="str">
        <x:v>Nvidia</x:v>
      </x:c>
      <x:c r="B7" s="45" t="n">
        <x:v>4626.5</x:v>
      </x:c>
      <x:c r="C7" s="45" t="n">
        <x:v>562.789584274557</x:v>
      </x:c>
      <x:c r="D7" s="45" t="n">
        <x:v>1142.2715641617337</x:v>
      </x:c>
      <x:c r="E7" s="45" t="n">
        <x:v>86.1910588235294</x:v>
      </x:c>
      <x:c r="F7" s="45" t="n">
        <x:v>170.0093</x:v>
      </x:c>
      <x:c r="G7" s="45" t="n">
        <x:v>0</x:v>
      </x:c>
      <x:c r="H7" s="45" t="n">
        <x:v>6587.76150725982</x:v>
      </x:c>
      <x:c r="I7" s="46" t="n">
        <x:v>0.058044933120880306</x:v>
      </x:c>
    </x:row>
    <x:row r="8">
      <x:c r="A8" s="44" t="str">
        <x:v>Microsoft</x:v>
      </x:c>
      <x:c r="B8" s="45" t="n">
        <x:v>2882.6</x:v>
      </x:c>
      <x:c r="C8" s="45" t="n">
        <x:v>689.2030885028465</x:v>
      </x:c>
      <x:c r="D8" s="45" t="n">
        <x:v>1265.8705086786395</x:v>
      </x:c>
      <x:c r="E8" s="45" t="n">
        <x:v>86.1910588235294</x:v>
      </x:c>
      <x:c r="F8" s="45" t="n">
        <x:v>106.9798</x:v>
      </x:c>
      <x:c r="G8" s="45" t="n">
        <x:v>0</x:v>
      </x:c>
      <x:c r="H8" s="45" t="n">
        <x:v>5030.844456005016</x:v>
      </x:c>
      <x:c r="I8" s="46" t="n">
        <x:v>0.044326897637165116</x:v>
      </x:c>
    </x:row>
    <x:row r="9">
      <x:c r="A9" s="44" t="str">
        <x:v>Allianz</x:v>
      </x:c>
      <x:c r="B9" s="45" t="n">
        <x:v>4372.9</x:v>
      </x:c>
      <x:c r="C9" s="45" t="n">
        <x:v>589.480084070969</x:v>
      </x:c>
      <x:c r="D9" s="45" t="n">
        <x:v>0</x:v>
      </x:c>
      <x:c r="E9" s="45" t="n">
        <x:v>0</x:v>
      </x:c>
      <x:c r="F9" s="45" t="n">
        <x:v>7.1547</x:v>
      </x:c>
      <x:c r="G9" s="45" t="n">
        <x:v>0</x:v>
      </x:c>
      <x:c r="H9" s="45" t="n">
        <x:v>4969.534784070968</x:v>
      </x:c>
      <x:c r="I9" s="46" t="n">
        <x:v>0.04378669656838733</x:v>
      </x:c>
    </x:row>
    <x:row r="10">
      <x:c r="A10" s="44" t="str">
        <x:v>AMD</x:v>
      </x:c>
      <x:c r="B10" s="45" t="n">
        <x:v>3558.15</x:v>
      </x:c>
      <x:c r="C10" s="45" t="n">
        <x:v>494.1580046887775</x:v>
      </x:c>
      <x:c r="D10" s="45" t="n">
        <x:v>0</x:v>
      </x:c>
      <x:c r="E10" s="45" t="n">
        <x:v>86.1910588235294</x:v>
      </x:c>
      <x:c r="F10" s="45" t="n">
        <x:v>27.256000000000004</x:v>
      </x:c>
      <x:c r="G10" s="45" t="n">
        <x:v>0</x:v>
      </x:c>
      <x:c r="H10" s="45" t="n">
        <x:v>4165.755063512307</x:v>
      </x:c>
      <x:c r="I10" s="46" t="n">
        <x:v>0.03670457313809429</x:v>
      </x:c>
    </x:row>
    <x:row r="11">
      <x:c r="A11" s="44" t="str">
        <x:v>Alphabet C</x:v>
      </x:c>
      <x:c r="B11" s="45" t="n">
        <x:v>3171.3</x:v>
      </x:c>
      <x:c r="C11" s="45" t="n">
        <x:v>0</x:v>
      </x:c>
      <x:c r="D11" s="45" t="n">
        <x:v>440.0665716865657</x:v>
      </x:c>
      <x:c r="E11" s="45" t="n">
        <x:v>0</x:v>
      </x:c>
      <x:c r="F11" s="45" t="n">
        <x:v>60.303900000000006</x:v>
      </x:c>
      <x:c r="G11" s="45" t="n">
        <x:v>0</x:v>
      </x:c>
      <x:c r="H11" s="45" t="n">
        <x:v>3671.670471686566</x:v>
      </x:c>
      <x:c r="I11" s="46" t="n">
        <x:v>0.032351181313423995</x:v>
      </x:c>
    </x:row>
    <x:row r="12">
      <x:c r="A12" s="44" t="str">
        <x:v>Apple</x:v>
      </x:c>
      <x:c r="B12" s="45" t="n">
        <x:v>1355.5</x:v>
      </x:c>
      <x:c r="C12" s="45" t="n">
        <x:v>587.4139844682476</x:v>
      </x:c>
      <x:c r="D12" s="45" t="n">
        <x:v>1058.0612942710945</x:v>
      </x:c>
      <x:c r="E12" s="45" t="n">
        <x:v>86.1910588235294</x:v>
      </x:c>
      <x:c r="F12" s="45" t="n">
        <x:v>192.49550000000002</x:v>
      </x:c>
      <x:c r="G12" s="45" t="n">
        <x:v>0</x:v>
      </x:c>
      <x:c r="H12" s="45" t="n">
        <x:v>3279.6618375628714</x:v>
      </x:c>
      <x:c r="I12" s="46" t="n">
        <x:v>0.02889718333164489</x:v>
      </x:c>
    </x:row>
    <x:row r="13">
      <x:c r="A13" s="44" t="str">
        <x:v>Eli Lilly</x:v>
      </x:c>
      <x:c r="B13" s="45" t="n">
        <x:v>2183.6</x:v>
      </x:c>
      <x:c r="C13" s="45" t="n">
        <x:v>523.56596653889</x:v>
      </x:c>
      <x:c r="D13" s="45" t="n">
        <x:v>376.2297541888231</x:v>
      </x:c>
      <x:c r="E13" s="45" t="n">
        <x:v>0</x:v>
      </x:c>
      <x:c r="F13" s="45" t="n">
        <x:v>37.8177</x:v>
      </x:c>
      <x:c r="G13" s="45" t="n">
        <x:v>0</x:v>
      </x:c>
      <x:c r="H13" s="45" t="n">
        <x:v>3121.213420727713</x:v>
      </x:c>
      <x:c r="I13" s="46" t="n">
        <x:v>0.02750109032673408</x:v>
      </x:c>
    </x:row>
    <x:row r="14">
      <x:c r="A14" s="44" t="str">
        <x:v>Siemens</x:v>
      </x:c>
      <x:c r="B14" s="45" t="n">
        <x:v>1933.75</x:v>
      </x:c>
      <x:c r="C14" s="45" t="n">
        <x:v>0</x:v>
      </x:c>
      <x:c r="D14" s="45" t="n">
        <x:v>0</x:v>
      </x:c>
      <x:c r="E14" s="45" t="n">
        <x:v>86.1910588235294</x:v>
      </x:c>
      <x:c r="F14" s="45" t="n">
        <x:v>8.8582</x:v>
      </x:c>
      <x:c r="G14" s="45" t="n">
        <x:v>0</x:v>
      </x:c>
      <x:c r="H14" s="45" t="n">
        <x:v>2028.7992588235295</x:v>
      </x:c>
      <x:c r="I14" s="46" t="n">
        <x:v>0.01787580153961679</x:v>
      </x:c>
    </x:row>
    <x:row r="15">
      <x:c r="A15" s="44" t="str">
        <x:v>TSMC</x:v>
      </x:c>
      <x:c r="B15" s="45" t="n">
        <x:v>710</x:v>
      </x:c>
      <x:c r="C15" s="45" t="n">
        <x:v>497.7322137500721</x:v>
      </x:c>
      <x:c r="D15" s="45" t="n">
        <x:v>704.921452794221</x:v>
      </x:c>
      <x:c r="E15" s="45" t="n">
        <x:v>86.1910588235294</x:v>
      </x:c>
      <x:c r="F15" s="45" t="n">
        <x:v>0</x:v>
      </x:c>
      <x:c r="G15" s="45" t="n">
        <x:v>0</x:v>
      </x:c>
      <x:c r="H15" s="45" t="n">
        <x:v>1998.8447253678225</x:v>
      </x:c>
      <x:c r="I15" s="46" t="n">
        <x:v>0.01761187138835257</x:v>
      </x:c>
    </x:row>
    <x:row r="16">
      <x:c r="A16" s="44" t="str">
        <x:v>Sonstige Technologie-Aktien (500+ Titel; Gewichte nicht veröffentlicht)</x:v>
      </x:c>
      <x:c r="B16" s="45" t="n">
        <x:v>0</x:v>
      </x:c>
      <x:c r="C16" s="45" t="n">
        <x:v>0</x:v>
      </x:c>
      <x:c r="D16" s="45" t="n">
        <x:v>0</x:v>
      </x:c>
      <x:c r="E16" s="45" t="n">
        <x:v>1953.664</x:v>
      </x:c>
      <x:c r="F16" s="45" t="n">
        <x:v>0</x:v>
      </x:c>
      <x:c r="G16" s="45" t="n">
        <x:v>0</x:v>
      </x:c>
      <x:c r="H16" s="45" t="n">
        <x:v>1953.664</x:v>
      </x:c>
      <x:c r="I16" s="46" t="n">
        <x:v>0.017213782875367078</x:v>
      </x:c>
    </x:row>
    <x:row r="17">
      <x:c r="A17" s="44" t="str">
        <x:v>HSBC</x:v>
      </x:c>
      <x:c r="B17" s="45" t="n">
        <x:v>1713.8</x:v>
      </x:c>
      <x:c r="C17" s="45" t="n">
        <x:v>0</x:v>
      </x:c>
      <x:c r="D17" s="45" t="n">
        <x:v>138.5394762716966</x:v>
      </x:c>
      <x:c r="E17" s="45" t="n">
        <x:v>0</x:v>
      </x:c>
      <x:c r="F17" s="45" t="n">
        <x:v>13.628000000000002</x:v>
      </x:c>
      <x:c r="G17" s="45" t="n">
        <x:v>10.329336000000001</x:v>
      </x:c>
      <x:c r="H17" s="45" t="n">
        <x:v>1876.2968122716966</x:v>
      </x:c>
      <x:c r="I17" s="46" t="n">
        <x:v>0.01653209862913396</x:v>
      </x:c>
    </x:row>
    <x:row r="18">
      <x:c r="A18" s="44" t="str">
        <x:v>Amazon</x:v>
      </x:c>
      <x:c r="B18" s="45" t="n">
        <x:v>0</x:v>
      </x:c>
      <x:c r="C18" s="45" t="n">
        <x:v>634.8172579111882</x:v>
      </x:c>
      <x:c r="D18" s="45" t="n">
        <x:v>1020.0308498043543</x:v>
      </x:c>
      <x:c r="E18" s="45" t="n">
        <x:v>86.1910588235294</x:v>
      </x:c>
      <x:c r="F18" s="45" t="n">
        <x:v>85.175</x:v>
      </x:c>
      <x:c r="G18" s="45" t="n">
        <x:v>0</x:v>
      </x:c>
      <x:c r="H18" s="45" t="n">
        <x:v>1826.2141665390718</x:v>
      </x:c>
      <x:c r="I18" s="46" t="n">
        <x:v>0.016090819171936954</x:v>
      </x:c>
    </x:row>
    <x:row r="19">
      <x:c r="A19" s="44" t="str">
        <x:v>Micron Technology</x:v>
      </x:c>
      <x:c r="B19" s="45" t="n">
        <x:v>1635</x:v>
      </x:c>
      <x:c r="C19" s="45" t="n">
        <x:v>0</x:v>
      </x:c>
      <x:c r="D19" s="45" t="n">
        <x:v>0</x:v>
      </x:c>
      <x:c r="E19" s="45" t="n">
        <x:v>0</x:v>
      </x:c>
      <x:c r="F19" s="45" t="n">
        <x:v>32.366499999999995</x:v>
      </x:c>
      <x:c r="G19" s="45" t="n">
        <x:v>148.64745599999998</x:v>
      </x:c>
      <x:c r="H19" s="45" t="n">
        <x:v>1816.013956</x:v>
      </x:c>
      <x:c r="I19" s="46" t="n">
        <x:v>0.01600094485910598</x:v>
      </x:c>
    </x:row>
    <x:row r="20">
      <x:c r="A20" s="44" t="str">
        <x:v>Sonstige MSCI-World-Aktien</x:v>
      </x:c>
      <x:c r="B20" s="45" t="n">
        <x:v>0</x:v>
      </x:c>
      <x:c r="C20" s="45" t="n">
        <x:v>0</x:v>
      </x:c>
      <x:c r="D20" s="45" t="n">
        <x:v>0</x:v>
      </x:c>
      <x:c r="E20" s="45" t="n">
        <x:v>0</x:v>
      </x:c>
      <x:c r="F20" s="45" t="n">
        <x:v>1680.3324</x:v>
      </x:c>
      <x:c r="G20" s="45" t="n">
        <x:v>0</x:v>
      </x:c>
      <x:c r="H20" s="45" t="n">
        <x:v>1680.3324</x:v>
      </x:c>
      <x:c r="I20" s="46" t="n">
        <x:v>0.014805451240358865</x:v>
      </x:c>
    </x:row>
    <x:row r="21">
      <x:c r="A21" s="44" t="str">
        <x:v>Broadcom</x:v>
      </x:c>
      <x:c r="B21" s="45" t="n">
        <x:v>621.7</x:v>
      </x:c>
      <x:c r="C21" s="45" t="n">
        <x:v>0</x:v>
      </x:c>
      <x:c r="D21" s="45" t="n">
        <x:v>767.4000401324371</x:v>
      </x:c>
      <x:c r="E21" s="45" t="n">
        <x:v>86.1910588235294</x:v>
      </x:c>
      <x:c r="F21" s="45" t="n">
        <x:v>64.73299999999999</x:v>
      </x:c>
      <x:c r="G21" s="45" t="n">
        <x:v>0</x:v>
      </x:c>
      <x:c r="H21" s="45" t="n">
        <x:v>1540.0240989559666</x:v>
      </x:c>
      <x:c r="I21" s="46" t="n">
        <x:v>0.013569191254105533</x:v>
      </x:c>
    </x:row>
    <x:row r="22">
      <x:c r="A22" s="44" t="str">
        <x:v>Alphabet A</x:v>
      </x:c>
      <x:c r="B22" s="45" t="n">
        <x:v>0</x:v>
      </x:c>
      <x:c r="C22" s="45" t="n">
        <x:v>558.94078123883</x:v>
      </x:c>
      <x:c r="D22" s="45" t="n">
        <x:v>547.3667542891542</x:v>
      </x:c>
      <x:c r="E22" s="45" t="n">
        <x:v>86.1910588235294</x:v>
      </x:c>
      <x:c r="F22" s="45" t="n">
        <x:v>75.9761</x:v>
      </x:c>
      <x:c r="G22" s="45" t="n">
        <x:v>0</x:v>
      </x:c>
      <x:c r="H22" s="45" t="n">
        <x:v>1268.4746943515136</x:v>
      </x:c>
      <x:c r="I22" s="46" t="n">
        <x:v>0.011176562587765641</x:v>
      </x:c>
    </x:row>
    <x:row r="23">
      <x:c r="A23" s="44" t="str">
        <x:v>Linde</x:v>
      </x:c>
      <x:c r="B23" s="45" t="n">
        <x:v>837.2</x:v>
      </x:c>
      <x:c r="C23" s="45" t="n">
        <x:v>0</x:v>
      </x:c>
      <x:c r="D23" s="45" t="n">
        <x:v>85.56850005016554</x:v>
      </x:c>
      <x:c r="E23" s="45" t="n">
        <x:v>0</x:v>
      </x:c>
      <x:c r="F23" s="45" t="n">
        <x:v>9.198900000000002</x:v>
      </x:c>
      <x:c r="G23" s="45" t="n">
        <x:v>0</x:v>
      </x:c>
      <x:c r="H23" s="45" t="n">
        <x:v>931.9674000501656</x:v>
      </x:c>
      <x:c r="I23" s="46" t="n">
        <x:v>0.0082115883137448</x:v>
      </x:c>
    </x:row>
    <x:row r="24">
      <x:c r="A24" s="44" t="str">
        <x:v>ASML</x:v>
      </x:c>
      <x:c r="B24" s="45" t="n">
        <x:v>0</x:v>
      </x:c>
      <x:c r="C24" s="45" t="n">
        <x:v>509.6674727783063</x:v>
      </x:c>
      <x:c r="D24" s="45" t="n">
        <x:v>274.3624922243403</x:v>
      </x:c>
      <x:c r="E24" s="45" t="n">
        <x:v>86.1910588235294</x:v>
      </x:c>
      <x:c r="F24" s="45" t="n">
        <x:v>23.167600000000004</x:v>
      </x:c>
      <x:c r="G24" s="45" t="n">
        <x:v>0</x:v>
      </x:c>
      <x:c r="H24" s="45" t="n">
        <x:v>893.3886238261761</x:v>
      </x:c>
      <x:c r="I24" s="46" t="n">
        <x:v>0.007871669741504573</x:v>
      </x:c>
    </x:row>
    <x:row r="25">
      <x:c r="A25" s="44" t="str">
        <x:v>WisdomTree Physical Bitcoin</x:v>
      </x:c>
      <x:c r="B25" s="45" t="n">
        <x:v>883.56</x:v>
      </x:c>
      <x:c r="C25" s="45" t="n">
        <x:v>0</x:v>
      </x:c>
      <x:c r="D25" s="45" t="n">
        <x:v>0</x:v>
      </x:c>
      <x:c r="E25" s="45" t="n">
        <x:v>0</x:v>
      </x:c>
      <x:c r="F25" s="45" t="n">
        <x:v>0</x:v>
      </x:c>
      <x:c r="G25" s="45" t="n">
        <x:v>0</x:v>
      </x:c>
      <x:c r="H25" s="45" t="n">
        <x:v>883.56</x:v>
      </x:c>
      <x:c r="I25" s="46" t="n">
        <x:v>0.007785069488591352</x:v>
      </x:c>
    </x:row>
    <x:row r="26">
      <x:c r="A26" s="44" t="str">
        <x:v>Visa</x:v>
      </x:c>
      <x:c r="B26" s="45" t="n">
        <x:v>0</x:v>
      </x:c>
      <x:c r="C26" s="45" t="n">
        <x:v>586.008567287982</x:v>
      </x:c>
      <x:c r="D26" s="45" t="n">
        <x:v>232.25735727902074</x:v>
      </x:c>
      <x:c r="E26" s="45" t="n">
        <x:v>0</x:v>
      </x:c>
      <x:c r="F26" s="45" t="n">
        <x:v>24.1897</x:v>
      </x:c>
      <x:c r="G26" s="45" t="n">
        <x:v>0</x:v>
      </x:c>
      <x:c r="H26" s="45" t="n">
        <x:v>842.4556245670028</x:v>
      </x:c>
      <x:c r="I26" s="46" t="n">
        <x:v>0.007422897797895723</x:v>
      </x:c>
    </x:row>
    <x:row r="27">
      <x:c r="A27" s="44" t="str">
        <x:v>Marvell Technology</x:v>
      </x:c>
      <x:c r="B27" s="45" t="n">
        <x:v>826.8</x:v>
      </x:c>
      <x:c r="C27" s="45" t="n">
        <x:v>0</x:v>
      </x:c>
      <x:c r="D27" s="45" t="n">
        <x:v>0</x:v>
      </x:c>
      <x:c r="E27" s="45" t="n">
        <x:v>0</x:v>
      </x:c>
      <x:c r="F27" s="45" t="n">
        <x:v>5.4512</x:v>
      </x:c>
      <x:c r="G27" s="45" t="n">
        <x:v>0</x:v>
      </x:c>
      <x:c r="H27" s="45" t="n">
        <x:v>832.2511999999999</x:v>
      </x:c>
      <x:c r="I27" s="46" t="n">
        <x:v>0.007332986355158154</x:v>
      </x:c>
    </x:row>
    <x:row r="28">
      <x:c r="A28" s="44" t="str">
        <x:v>SAP</x:v>
      </x:c>
      <x:c r="B28" s="45" t="n">
        <x:v>0</x:v>
      </x:c>
      <x:c r="C28" s="45" t="n">
        <x:v>644.2716786059902</x:v>
      </x:c>
      <x:c r="D28" s="45" t="n">
        <x:v>80.13557941205978</x:v>
      </x:c>
      <x:c r="E28" s="45" t="n">
        <x:v>86.1910588235294</x:v>
      </x:c>
      <x:c r="F28" s="45" t="n">
        <x:v>7.4954</x:v>
      </x:c>
      <x:c r="G28" s="45" t="n">
        <x:v>0</x:v>
      </x:c>
      <x:c r="H28" s="45" t="n">
        <x:v>818.0937168415794</x:v>
      </x:c>
      <x:c r="I28" s="46" t="n">
        <x:v>0.0072082444132732055</x:v>
      </x:c>
    </x:row>
    <x:row r="29">
      <x:c r="A29" s="44" t="str">
        <x:v>Mastercard</x:v>
      </x:c>
      <x:c r="B29" s="45" t="n">
        <x:v>0</x:v>
      </x:c>
      <x:c r="C29" s="45" t="n">
        <x:v>609.4807428598559</x:v>
      </x:c>
      <x:c r="D29" s="45" t="n">
        <x:v>176.56992073843682</x:v>
      </x:c>
      <x:c r="E29" s="45" t="n">
        <x:v>0</x:v>
      </x:c>
      <x:c r="F29" s="45" t="n">
        <x:v>17.7164</x:v>
      </x:c>
      <x:c r="G29" s="45" t="n">
        <x:v>0</x:v>
      </x:c>
      <x:c r="H29" s="45" t="n">
        <x:v>803.7670635982928</x:v>
      </x:c>
      <x:c r="I29" s="46" t="n">
        <x:v>0.007082011909495376</x:v>
      </x:c>
    </x:row>
    <x:row r="30">
      <x:c r="A30" s="44" t="str">
        <x:v>Netflix</x:v>
      </x:c>
      <x:c r="B30" s="45" t="n">
        <x:v>0</x:v>
      </x:c>
      <x:c r="C30" s="45" t="n">
        <x:v>538.6562085040341</x:v>
      </x:c>
      <x:c r="D30" s="45" t="n">
        <x:v>122.24071435737935</x:v>
      </x:c>
      <x:c r="E30" s="45" t="n">
        <x:v>86.1910588235294</x:v>
      </x:c>
      <x:c r="F30" s="45" t="n">
        <x:v>11.924499999999998</x:v>
      </x:c>
      <x:c r="G30" s="45" t="n">
        <x:v>0</x:v>
      </x:c>
      <x:c r="H30" s="45" t="n">
        <x:v>759.0124816849428</x:v>
      </x:c>
      <x:c r="I30" s="46" t="n">
        <x:v>0.006687678157256385</x:v>
      </x:c>
    </x:row>
    <x:row r="31">
      <x:c r="A31" s="44" t="str">
        <x:v>Booking Holdings</x:v>
      </x:c>
      <x:c r="B31" s="45" t="n">
        <x:v>0</x:v>
      </x:c>
      <x:c r="C31" s="45" t="n">
        <x:v>584.7526148354714</x:v>
      </x:c>
      <x:c r="D31" s="45" t="n">
        <x:v>0</x:v>
      </x:c>
      <x:c r="E31" s="45" t="n">
        <x:v>86.1910588235294</x:v>
      </x:c>
      <x:c r="F31" s="45" t="n">
        <x:v>6.1326</x:v>
      </x:c>
      <x:c r="G31" s="45" t="n">
        <x:v>0</x:v>
      </x:c>
      <x:c r="H31" s="45" t="n">
        <x:v>677.0762736590008</x:v>
      </x:c>
      <x:c r="I31" s="46" t="n">
        <x:v>0.005965736157716302</x:v>
      </x:c>
    </x:row>
    <x:row r="32">
      <x:c r="A32" s="44" t="str">
        <x:v>Nasdaq</x:v>
      </x:c>
      <x:c r="B32" s="45" t="n">
        <x:v>0</x:v>
      </x:c>
      <x:c r="C32" s="45" t="n">
        <x:v>656.4356221195311</x:v>
      </x:c>
      <x:c r="D32" s="45" t="n">
        <x:v>0</x:v>
      </x:c>
      <x:c r="E32" s="45" t="n">
        <x:v>0</x:v>
      </x:c>
      <x:c r="F32" s="45" t="n">
        <x:v>0</x:v>
      </x:c>
      <x:c r="G32" s="45" t="n">
        <x:v>0</x:v>
      </x:c>
      <x:c r="H32" s="45" t="n">
        <x:v>656.4356221195311</x:v>
      </x:c>
      <x:c r="I32" s="46" t="n">
        <x:v>0.005783870855388705</x:v>
      </x:c>
    </x:row>
    <x:row r="33">
      <x:c r="A33" s="44" t="str">
        <x:v>Sonstige World-Value-Aktien</x:v>
      </x:c>
      <x:c r="B33" s="45" t="n">
        <x:v>0</x:v>
      </x:c>
      <x:c r="C33" s="45" t="n">
        <x:v>0</x:v>
      </x:c>
      <x:c r="D33" s="45" t="n">
        <x:v>0</x:v>
      </x:c>
      <x:c r="E33" s="45" t="n">
        <x:v>0</x:v>
      </x:c>
      <x:c r="F33" s="45" t="n">
        <x:v>0</x:v>
      </x:c>
      <x:c r="G33" s="45" t="n">
        <x:v>650.0358</x:v>
      </x:c>
      <x:c r="H33" s="45" t="n">
        <x:v>650.0358</x:v>
      </x:c>
      <x:c r="I33" s="46" t="n">
        <x:v>0.00572748186096255</x:v>
      </x:c>
    </x:row>
    <x:row r="34">
      <x:c r="A34" s="44" t="str">
        <x:v>Cintas</x:v>
      </x:c>
      <x:c r="B34" s="45" t="n">
        <x:v>0</x:v>
      </x:c>
      <x:c r="C34" s="45" t="n">
        <x:v>648.315338082405</x:v>
      </x:c>
      <x:c r="D34" s="45" t="n">
        <x:v>0</x:v>
      </x:c>
      <x:c r="E34" s="45" t="n">
        <x:v>0</x:v>
      </x:c>
      <x:c r="F34" s="45" t="n">
        <x:v>0</x:v>
      </x:c>
      <x:c r="G34" s="45" t="n">
        <x:v>0</x:v>
      </x:c>
      <x:c r="H34" s="45" t="n">
        <x:v>648.315338082405</x:v>
      </x:c>
      <x:c r="I34" s="46" t="n">
        <x:v>0.005712322827528542</x:v>
      </x:c>
    </x:row>
    <x:row r="35">
      <x:c r="A35" s="44" t="str">
        <x:v>McDonald's</x:v>
      </x:c>
      <x:c r="B35" s="45" t="n">
        <x:v>0</x:v>
      </x:c>
      <x:c r="C35" s="45" t="n">
        <x:v>553.1415152835178</x:v>
      </x:c>
      <x:c r="D35" s="45" t="n">
        <x:v>76.06088893348048</x:v>
      </x:c>
      <x:c r="E35" s="45" t="n">
        <x:v>0</x:v>
      </x:c>
      <x:c r="F35" s="45" t="n">
        <x:v>7.4954</x:v>
      </x:c>
      <x:c r="G35" s="45" t="n">
        <x:v>0</x:v>
      </x:c>
      <x:c r="H35" s="45" t="n">
        <x:v>636.6978042169983</x:v>
      </x:c>
      <x:c r="I35" s="46" t="n">
        <x:v>0.005609960443051817</x:v>
      </x:c>
    </x:row>
    <x:row r="36">
      <x:c r="A36" s="44" t="str">
        <x:v>Amphenol</x:v>
      </x:c>
      <x:c r="B36" s="45" t="n">
        <x:v>0</x:v>
      </x:c>
      <x:c r="C36" s="45" t="n">
        <x:v>542.4375280425875</x:v>
      </x:c>
      <x:c r="D36" s="45" t="n">
        <x:v>0</x:v>
      </x:c>
      <x:c r="E36" s="45" t="n">
        <x:v>86.1910588235294</x:v>
      </x:c>
      <x:c r="F36" s="45" t="n">
        <x:v>7.1547</x:v>
      </x:c>
      <x:c r="G36" s="45" t="n">
        <x:v>0</x:v>
      </x:c>
      <x:c r="H36" s="45" t="n">
        <x:v>635.7832868661169</x:v>
      </x:c>
      <x:c r="I36" s="46" t="n">
        <x:v>0.0056019026075622815</x:v>
      </x:c>
    </x:row>
    <x:row r="37">
      <x:c r="A37" s="44" t="str">
        <x:v>BlackRock</x:v>
      </x:c>
      <x:c r="B37" s="45" t="n">
        <x:v>0</x:v>
      </x:c>
      <x:c r="C37" s="45" t="n">
        <x:v>613.4291315167316</x:v>
      </x:c>
      <x:c r="D37" s="45" t="n">
        <x:v>0</x:v>
      </x:c>
      <x:c r="E37" s="45" t="n">
        <x:v>0</x:v>
      </x:c>
      <x:c r="F37" s="45" t="n">
        <x:v>6.1326</x:v>
      </x:c>
      <x:c r="G37" s="45" t="n">
        <x:v>0</x:v>
      </x:c>
      <x:c r="H37" s="45" t="n">
        <x:v>619.5617315167316</x:v>
      </x:c>
      <x:c r="I37" s="46" t="n">
        <x:v>0.0054589740734412315</x:v>
      </x:c>
    </x:row>
    <x:row r="38">
      <x:c r="A38" s="44" t="str">
        <x:v>T-Mobile US</x:v>
      </x:c>
      <x:c r="B38" s="45" t="n">
        <x:v>0</x:v>
      </x:c>
      <x:c r="C38" s="45" t="n">
        <x:v>529.9765535862446</x:v>
      </x:c>
      <x:c r="D38" s="45" t="n">
        <x:v>0</x:v>
      </x:c>
      <x:c r="E38" s="45" t="n">
        <x:v>86.1910588235294</x:v>
      </x:c>
      <x:c r="F38" s="45" t="n">
        <x:v>0</x:v>
      </x:c>
      <x:c r="G38" s="45" t="n">
        <x:v>0</x:v>
      </x:c>
      <x:c r="H38" s="45" t="n">
        <x:v>616.1676124097739</x:v>
      </x:c>
      <x:c r="I38" s="46" t="n">
        <x:v>0.00542906840421648</x:v>
      </x:c>
    </x:row>
    <x:row r="39">
      <x:c r="A39" s="44" t="str">
        <x:v>Caterpillar</x:v>
      </x:c>
      <x:c r="B39" s="45" t="n">
        <x:v>0</x:v>
      </x:c>
      <x:c r="C39" s="45" t="n">
        <x:v>444.4551145800061</x:v>
      </x:c>
      <x:c r="D39" s="45" t="n">
        <x:v>153.48000802648738</x:v>
      </x:c>
      <x:c r="E39" s="45" t="n">
        <x:v>0</x:v>
      </x:c>
      <x:c r="F39" s="45" t="n">
        <x:v>13.968699999999998</x:v>
      </x:c>
      <x:c r="G39" s="45" t="n">
        <x:v>0</x:v>
      </x:c>
      <x:c r="H39" s="45" t="n">
        <x:v>611.9038226064935</x:v>
      </x:c>
      <x:c r="I39" s="46" t="n">
        <x:v>0.005391500044508836</x:v>
      </x:c>
    </x:row>
    <x:row r="40">
      <x:c r="A40" s="44" t="str">
        <x:v>LVMH</x:v>
      </x:c>
      <x:c r="B40" s="45" t="n">
        <x:v>0</x:v>
      </x:c>
      <x:c r="C40" s="45" t="n">
        <x:v>551.0878423094321</x:v>
      </x:c>
      <x:c r="D40" s="45" t="n">
        <x:v>52.970976221531046</x:v>
      </x:c>
      <x:c r="E40" s="45" t="n">
        <x:v>0</x:v>
      </x:c>
      <x:c r="F40" s="45" t="n">
        <x:v>5.110499999999999</x:v>
      </x:c>
      <x:c r="G40" s="45" t="n">
        <x:v>0</x:v>
      </x:c>
      <x:c r="H40" s="45" t="n">
        <x:v>609.1693185309631</x:v>
      </x:c>
      <x:c r="I40" s="46" t="n">
        <x:v>0.005367406259995233</x:v>
      </x:c>
    </x:row>
    <x:row r="41">
      <x:c r="A41" s="44" t="str">
        <x:v>Deutsche Börse</x:v>
      </x:c>
      <x:c r="B41" s="45" t="n">
        <x:v>0</x:v>
      </x:c>
      <x:c r="C41" s="45" t="n">
        <x:v>598.3906671709021</x:v>
      </x:c>
      <x:c r="D41" s="45" t="n">
        <x:v>0</x:v>
      </x:c>
      <x:c r="E41" s="45" t="n">
        <x:v>0</x:v>
      </x:c>
      <x:c r="F41" s="45" t="n">
        <x:v>0</x:v>
      </x:c>
      <x:c r="G41" s="45" t="n">
        <x:v>0</x:v>
      </x:c>
      <x:c r="H41" s="45" t="n">
        <x:v>598.3906671709021</x:v>
      </x:c>
      <x:c r="I41" s="46" t="n">
        <x:v>0.005272435290472648</x:v>
      </x:c>
    </x:row>
    <x:row r="42">
      <x:c r="A42" s="44" t="str">
        <x:v>TJX Companies</x:v>
      </x:c>
      <x:c r="B42" s="45" t="n">
        <x:v>0</x:v>
      </x:c>
      <x:c r="C42" s="45" t="n">
        <x:v>575.2712697786258</x:v>
      </x:c>
      <x:c r="D42" s="45" t="n">
        <x:v>0</x:v>
      </x:c>
      <x:c r="E42" s="45" t="n">
        <x:v>0</x:v>
      </x:c>
      <x:c r="F42" s="45" t="n">
        <x:v>6.814000000000001</x:v>
      </x:c>
      <x:c r="G42" s="45" t="n">
        <x:v>0</x:v>
      </x:c>
      <x:c r="H42" s="45" t="n">
        <x:v>582.0852697786257</x:v>
      </x:c>
      <x:c r="I42" s="46" t="n">
        <x:v>0.0051287680219928985</x:v>
      </x:c>
    </x:row>
    <x:row r="43">
      <x:c r="A43" s="44" t="str">
        <x:v>Hannover Rück</x:v>
      </x:c>
      <x:c r="B43" s="45" t="n">
        <x:v>0</x:v>
      </x:c>
      <x:c r="C43" s="45" t="n">
        <x:v>573.3428986432815</x:v>
      </x:c>
      <x:c r="D43" s="45" t="n">
        <x:v>0</x:v>
      </x:c>
      <x:c r="E43" s="45" t="n">
        <x:v>0</x:v>
      </x:c>
      <x:c r="F43" s="45" t="n">
        <x:v>0</x:v>
      </x:c>
      <x:c r="G43" s="45" t="n">
        <x:v>0</x:v>
      </x:c>
      <x:c r="H43" s="45" t="n">
        <x:v>573.3428986432815</x:v>
      </x:c>
      <x:c r="I43" s="46" t="n">
        <x:v>0.0050517387689894685</x:v>
      </x:c>
    </x:row>
    <x:row r="44">
      <x:c r="A44" s="44" t="str">
        <x:v>Costco Wholesale</x:v>
      </x:c>
      <x:c r="B44" s="45" t="n">
        <x:v>0</x:v>
      </x:c>
      <x:c r="C44" s="45" t="n">
        <x:v>555.6527298202814</x:v>
      </x:c>
      <x:c r="D44" s="45" t="n">
        <x:v>0</x:v>
      </x:c>
      <x:c r="E44" s="45" t="n">
        <x:v>0</x:v>
      </x:c>
      <x:c r="F44" s="45" t="n">
        <x:v>16.694300000000002</x:v>
      </x:c>
      <x:c r="G44" s="45" t="n">
        <x:v>0</x:v>
      </x:c>
      <x:c r="H44" s="45" t="n">
        <x:v>572.3470298202814</x:v>
      </x:c>
      <x:c r="I44" s="46" t="n">
        <x:v>0.005042964143623248</x:v>
      </x:c>
    </x:row>
    <x:row r="45">
      <x:c r="A45" s="44" t="str">
        <x:v>L'Oréal</x:v>
      </x:c>
      <x:c r="B45" s="45" t="n">
        <x:v>0</x:v>
      </x:c>
      <x:c r="C45" s="45" t="n">
        <x:v>564.5293122835312</x:v>
      </x:c>
      <x:c r="D45" s="45" t="n">
        <x:v>0</x:v>
      </x:c>
      <x:c r="E45" s="45" t="n">
        <x:v>0</x:v>
      </x:c>
      <x:c r="F45" s="45" t="n">
        <x:v>0</x:v>
      </x:c>
      <x:c r="G45" s="45" t="n">
        <x:v>0</x:v>
      </x:c>
      <x:c r="H45" s="45" t="n">
        <x:v>564.5293122835312</x:v>
      </x:c>
      <x:c r="I45" s="46" t="n">
        <x:v>0.004974082036844106</x:v>
      </x:c>
    </x:row>
    <x:row r="46">
      <x:c r="A46" s="44" t="str">
        <x:v>Danaher</x:v>
      </x:c>
      <x:c r="B46" s="45" t="n">
        <x:v>0</x:v>
      </x:c>
      <x:c r="C46" s="45" t="n">
        <x:v>559.1950093496652</x:v>
      </x:c>
      <x:c r="D46" s="45" t="n">
        <x:v>0</x:v>
      </x:c>
      <x:c r="E46" s="45" t="n">
        <x:v>0</x:v>
      </x:c>
      <x:c r="F46" s="45" t="n">
        <x:v>0</x:v>
      </x:c>
      <x:c r="G46" s="45" t="n">
        <x:v>0</x:v>
      </x:c>
      <x:c r="H46" s="45" t="n">
        <x:v>559.1950093496652</x:v>
      </x:c>
      <x:c r="I46" s="46" t="n">
        <x:v>0.004927081358889758</x:v>
      </x:c>
    </x:row>
    <x:row r="47">
      <x:c r="A47" s="44" t="str">
        <x:v>Ecolab</x:v>
      </x:c>
      <x:c r="B47" s="45" t="n">
        <x:v>0</x:v>
      </x:c>
      <x:c r="C47" s="45" t="n">
        <x:v>559.0538290410004</x:v>
      </x:c>
      <x:c r="D47" s="45" t="n">
        <x:v>0</x:v>
      </x:c>
      <x:c r="E47" s="45" t="n">
        <x:v>0</x:v>
      </x:c>
      <x:c r="F47" s="45" t="n">
        <x:v>0</x:v>
      </x:c>
      <x:c r="G47" s="45" t="n">
        <x:v>0</x:v>
      </x:c>
      <x:c r="H47" s="45" t="n">
        <x:v>559.0538290410004</x:v>
      </x:c>
      <x:c r="I47" s="46" t="n">
        <x:v>0.004925837415622322</x:v>
      </x:c>
    </x:row>
    <x:row r="48">
      <x:c r="A48" s="44" t="str">
        <x:v>Walmart</x:v>
      </x:c>
      <x:c r="B48" s="45" t="n">
        <x:v>0</x:v>
      </x:c>
      <x:c r="C48" s="45" t="n">
        <x:v>535.9618737869608</x:v>
      </x:c>
      <x:c r="D48" s="45" t="n">
        <x:v>0</x:v>
      </x:c>
      <x:c r="E48" s="45" t="n">
        <x:v>0</x:v>
      </x:c>
      <x:c r="F48" s="45" t="n">
        <x:v>19.4199</x:v>
      </x:c>
      <x:c r="G48" s="45" t="n">
        <x:v>0</x:v>
      </x:c>
      <x:c r="H48" s="45" t="n">
        <x:v>555.3817737869608</x:v>
      </x:c>
      <x:c r="I48" s="46" t="n">
        <x:v>0.004893482843981861</x:v>
      </x:c>
    </x:row>
    <x:row r="49">
      <x:c r="A49" s="44" t="str">
        <x:v>Lindt &amp; Sprüngli</x:v>
      </x:c>
      <x:c r="B49" s="45" t="n">
        <x:v>0</x:v>
      </x:c>
      <x:c r="C49" s="45" t="n">
        <x:v>551.3377556186576</x:v>
      </x:c>
      <x:c r="D49" s="45" t="n">
        <x:v>0</x:v>
      </x:c>
      <x:c r="E49" s="45" t="n">
        <x:v>0</x:v>
      </x:c>
      <x:c r="F49" s="45" t="n">
        <x:v>0</x:v>
      </x:c>
      <x:c r="G49" s="45" t="n">
        <x:v>0</x:v>
      </x:c>
      <x:c r="H49" s="45" t="n">
        <x:v>551.3377556186576</x:v>
      </x:c>
      <x:c r="I49" s="46" t="n">
        <x:v>0.004857850897703888</x:v>
      </x:c>
    </x:row>
    <x:row r="50">
      <x:c r="A50" s="44" t="str">
        <x:v>Waste Management</x:v>
      </x:c>
      <x:c r="B50" s="45" t="n">
        <x:v>0</x:v>
      </x:c>
      <x:c r="C50" s="45" t="n">
        <x:v>547.4418349493544</x:v>
      </x:c>
      <x:c r="D50" s="45" t="n">
        <x:v>0</x:v>
      </x:c>
      <x:c r="E50" s="45" t="n">
        <x:v>0</x:v>
      </x:c>
      <x:c r="F50" s="45" t="n">
        <x:v>0</x:v>
      </x:c>
      <x:c r="G50" s="45" t="n">
        <x:v>0</x:v>
      </x:c>
      <x:c r="H50" s="45" t="n">
        <x:v>547.4418349493544</x:v>
      </x:c>
      <x:c r="I50" s="46" t="n">
        <x:v>0.0048235238422321995</x:v>
      </x:c>
    </x:row>
    <x:row r="51">
      <x:c r="A51" s="44" t="str">
        <x:v>Meta Platforms</x:v>
      </x:c>
      <x:c r="B51" s="45" t="n">
        <x:v>0</x:v>
      </x:c>
      <x:c r="C51" s="45" t="n">
        <x:v>0</x:v>
      </x:c>
      <x:c r="D51" s="45" t="n">
        <x:v>495.75400822714954</x:v>
      </x:c>
      <x:c r="E51" s="45" t="n">
        <x:v>0</x:v>
      </x:c>
      <x:c r="F51" s="45" t="n">
        <x:v>49.742200000000004</x:v>
      </x:c>
      <x:c r="G51" s="45" t="n">
        <x:v>0</x:v>
      </x:c>
      <x:c r="H51" s="45" t="n">
        <x:v>545.4962082271495</x:v>
      </x:c>
      <x:c r="I51" s="46" t="n">
        <x:v>0.004806380876014597</x:v>
      </x:c>
    </x:row>
    <x:row r="52">
      <x:c r="A52" s="44" t="str">
        <x:v>Home Depot</x:v>
      </x:c>
      <x:c r="B52" s="45" t="n">
        <x:v>0</x:v>
      </x:c>
      <x:c r="C52" s="45" t="n">
        <x:v>530.9194240339655</x:v>
      </x:c>
      <x:c r="D52" s="45" t="n">
        <x:v>0</x:v>
      </x:c>
      <x:c r="E52" s="45" t="n">
        <x:v>0</x:v>
      </x:c>
      <x:c r="F52" s="45" t="n">
        <x:v>12.9466</x:v>
      </x:c>
      <x:c r="G52" s="45" t="n">
        <x:v>0</x:v>
      </x:c>
      <x:c r="H52" s="45" t="n">
        <x:v>543.8660240339655</x:v>
      </x:c>
      <x:c r="I52" s="46" t="n">
        <x:v>0.004792017281891796</x:v>
      </x:c>
    </x:row>
    <x:row r="53">
      <x:c r="A53" s="44" t="str">
        <x:v>MSCI Inc.</x:v>
      </x:c>
      <x:c r="B53" s="45" t="n">
        <x:v>0</x:v>
      </x:c>
      <x:c r="C53" s="45" t="n">
        <x:v>543.5619653420387</x:v>
      </x:c>
      <x:c r="D53" s="45" t="n">
        <x:v>0</x:v>
      </x:c>
      <x:c r="E53" s="45" t="n">
        <x:v>0</x:v>
      </x:c>
      <x:c r="F53" s="45" t="n">
        <x:v>0</x:v>
      </x:c>
      <x:c r="G53" s="45" t="n">
        <x:v>0</x:v>
      </x:c>
      <x:c r="H53" s="45" t="n">
        <x:v>543.5619653420387</x:v>
      </x:c>
      <x:c r="I53" s="46" t="n">
        <x:v>0.004789338213073311</x:v>
      </x:c>
    </x:row>
    <x:row r="54">
      <x:c r="A54" s="44" t="str">
        <x:v>S&amp;P Global</x:v>
      </x:c>
      <x:c r="B54" s="45" t="n">
        <x:v>0</x:v>
      </x:c>
      <x:c r="C54" s="45" t="n">
        <x:v>537.724556540498</x:v>
      </x:c>
      <x:c r="D54" s="45" t="n">
        <x:v>0</x:v>
      </x:c>
      <x:c r="E54" s="45" t="n">
        <x:v>0</x:v>
      </x:c>
      <x:c r="F54" s="45" t="n">
        <x:v>5.110499999999999</x:v>
      </x:c>
      <x:c r="G54" s="45" t="n">
        <x:v>0</x:v>
      </x:c>
      <x:c r="H54" s="45" t="n">
        <x:v>542.835056540498</x:v>
      </x:c>
      <x:c r="I54" s="46" t="n">
        <x:v>0.004782933401253104</x:v>
      </x:c>
    </x:row>
    <x:row r="55">
      <x:c r="A55" s="44" t="str">
        <x:v>Stryker</x:v>
      </x:c>
      <x:c r="B55" s="45" t="n">
        <x:v>0</x:v>
      </x:c>
      <x:c r="C55" s="45" t="n">
        <x:v>540.1153018163227</x:v>
      </x:c>
      <x:c r="D55" s="45" t="n">
        <x:v>0</x:v>
      </x:c>
      <x:c r="E55" s="45" t="n">
        <x:v>0</x:v>
      </x:c>
      <x:c r="F55" s="45" t="n">
        <x:v>0</x:v>
      </x:c>
      <x:c r="G55" s="45" t="n">
        <x:v>0</x:v>
      </x:c>
      <x:c r="H55" s="45" t="n">
        <x:v>540.1153018163227</x:v>
      </x:c>
      <x:c r="I55" s="46" t="n">
        <x:v>0.004758969573647022</x:v>
      </x:c>
    </x:row>
    <x:row r="56">
      <x:c r="A56" s="44" t="str">
        <x:v>Yum! Brands</x:v>
      </x:c>
      <x:c r="B56" s="45" t="n">
        <x:v>0</x:v>
      </x:c>
      <x:c r="C56" s="45" t="n">
        <x:v>535.1484473875267</x:v>
      </x:c>
      <x:c r="D56" s="45" t="n">
        <x:v>0</x:v>
      </x:c>
      <x:c r="E56" s="45" t="n">
        <x:v>0</x:v>
      </x:c>
      <x:c r="F56" s="45" t="n">
        <x:v>0</x:v>
      </x:c>
      <x:c r="G56" s="45" t="n">
        <x:v>0</x:v>
      </x:c>
      <x:c r="H56" s="45" t="n">
        <x:v>535.1484473875267</x:v>
      </x:c>
      <x:c r="I56" s="46" t="n">
        <x:v>0.004715206493756699</x:v>
      </x:c>
    </x:row>
    <x:row r="57">
      <x:c r="A57" s="44" t="str">
        <x:v>AutoZone</x:v>
      </x:c>
      <x:c r="B57" s="45" t="n">
        <x:v>0</x:v>
      </x:c>
      <x:c r="C57" s="45" t="n">
        <x:v>528.6610568715221</x:v>
      </x:c>
      <x:c r="D57" s="45" t="n">
        <x:v>0</x:v>
      </x:c>
      <x:c r="E57" s="45" t="n">
        <x:v>0</x:v>
      </x:c>
      <x:c r="F57" s="45" t="n">
        <x:v>0</x:v>
      </x:c>
      <x:c r="G57" s="45" t="n">
        <x:v>0</x:v>
      </x:c>
      <x:c r="H57" s="45" t="n">
        <x:v>528.6610568715221</x:v>
      </x:c>
      <x:c r="I57" s="46" t="n">
        <x:v>0.00465804593197626</x:v>
      </x:c>
    </x:row>
    <x:row r="58">
      <x:c r="A58" s="44" t="str">
        <x:v>JPMorgan Chase</x:v>
      </x:c>
      <x:c r="B58" s="45" t="n">
        <x:v>0</x:v>
      </x:c>
      <x:c r="C58" s="45" t="n">
        <x:v>0</x:v>
      </x:c>
      <x:c r="D58" s="45" t="n">
        <x:v>381.6626748269289</x:v>
      </x:c>
      <x:c r="E58" s="45" t="n">
        <x:v>0</x:v>
      </x:c>
      <x:c r="F58" s="45" t="n">
        <x:v>35.773500000000006</x:v>
      </x:c>
      <x:c r="G58" s="45" t="n">
        <x:v>0</x:v>
      </x:c>
      <x:c r="H58" s="45" t="n">
        <x:v>417.4361748269289</x:v>
      </x:c>
      <x:c r="I58" s="46" t="n">
        <x:v>0.0036780406854989016</x:v>
      </x:c>
    </x:row>
    <x:row r="59">
      <x:c r="A59" s="44" t="str">
        <x:v>Tesla</x:v>
      </x:c>
      <x:c r="B59" s="45" t="n">
        <x:v>0</x:v>
      </x:c>
      <x:c r="C59" s="45" t="n">
        <x:v>0</x:v>
      </x:c>
      <x:c r="D59" s="45" t="n">
        <x:v>359.93099227450585</x:v>
      </x:c>
      <x:c r="E59" s="45" t="n">
        <x:v>0</x:v>
      </x:c>
      <x:c r="F59" s="45" t="n">
        <x:v>32.7072</x:v>
      </x:c>
      <x:c r="G59" s="45" t="n">
        <x:v>0</x:v>
      </x:c>
      <x:c r="H59" s="45" t="n">
        <x:v>392.63819227450585</x:v>
      </x:c>
      <x:c r="I59" s="46" t="n">
        <x:v>0.003459545034555571</x:v>
      </x:c>
    </x:row>
    <x:row r="60">
      <x:c r="A60" s="44" t="str">
        <x:v>Samsung Electronics</x:v>
      </x:c>
      <x:c r="B60" s="45" t="n">
        <x:v>0</x:v>
      </x:c>
      <x:c r="C60" s="45" t="n">
        <x:v>0</x:v>
      </x:c>
      <x:c r="D60" s="45" t="n">
        <x:v>344.9904605197151</x:v>
      </x:c>
      <x:c r="E60" s="45" t="n">
        <x:v>0</x:v>
      </x:c>
      <x:c r="F60" s="45" t="n">
        <x:v>0</x:v>
      </x:c>
      <x:c r="G60" s="45" t="n">
        <x:v>0</x:v>
      </x:c>
      <x:c r="H60" s="45" t="n">
        <x:v>344.9904605197151</x:v>
      </x:c>
      <x:c r="I60" s="46" t="n">
        <x:v>0.0030397196659503753</x:v>
      </x:c>
    </x:row>
    <x:row r="61">
      <x:c r="A61" s="44" t="str">
        <x:v>Exxon Mobil</x:v>
      </x:c>
      <x:c r="B61" s="45" t="n">
        <x:v>0</x:v>
      </x:c>
      <x:c r="C61" s="45" t="n">
        <x:v>0</x:v>
      </x:c>
      <x:c r="D61" s="45" t="n">
        <x:v>258.06373031002306</x:v>
      </x:c>
      <x:c r="E61" s="45" t="n">
        <x:v>0</x:v>
      </x:c>
      <x:c r="F61" s="45" t="n">
        <x:v>25.211799999999997</x:v>
      </x:c>
      <x:c r="G61" s="45" t="n">
        <x:v>0</x:v>
      </x:c>
      <x:c r="H61" s="45" t="n">
        <x:v>283.27553031002304</x:v>
      </x:c>
      <x:c r="I61" s="46" t="n">
        <x:v>0.002495947856264538</x:v>
      </x:c>
    </x:row>
    <x:row r="62">
      <x:c r="A62" s="44" t="str">
        <x:v>Johnson &amp; Johnson</x:v>
      </x:c>
      <x:c r="B62" s="45" t="n">
        <x:v>0</x:v>
      </x:c>
      <x:c r="C62" s="45" t="n">
        <x:v>0</x:v>
      </x:c>
      <x:c r="D62" s="45" t="n">
        <x:v>244.4814287147587</x:v>
      </x:c>
      <x:c r="E62" s="45" t="n">
        <x:v>0</x:v>
      </x:c>
      <x:c r="F62" s="45" t="n">
        <x:v>24.871100000000002</x:v>
      </x:c>
      <x:c r="G62" s="45" t="n">
        <x:v>0</x:v>
      </x:c>
      <x:c r="H62" s="45" t="n">
        <x:v>269.3525287147587</x:v>
      </x:c>
      <x:c r="I62" s="46" t="n">
        <x:v>0.002373271937358181</x:v>
      </x:c>
    </x:row>
    <x:row r="63">
      <x:c r="A63" s="44" t="str">
        <x:v>Cisco</x:v>
      </x:c>
      <x:c r="B63" s="45" t="n">
        <x:v>0</x:v>
      </x:c>
      <x:c r="C63" s="45" t="n">
        <x:v>0</x:v>
      </x:c>
      <x:c r="D63" s="45" t="n">
        <x:v>190.1522223337012</x:v>
      </x:c>
      <x:c r="E63" s="45" t="n">
        <x:v>0</x:v>
      </x:c>
      <x:c r="F63" s="45" t="n">
        <x:v>17.3757</x:v>
      </x:c>
      <x:c r="G63" s="45" t="n">
        <x:v>40.96116</x:v>
      </x:c>
      <x:c r="H63" s="45" t="n">
        <x:v>248.4890823337012</x:v>
      </x:c>
      <x:c r="I63" s="46" t="n">
        <x:v>0.002189443584051068</x:v>
      </x:c>
    </x:row>
    <x:row r="64">
      <x:c r="A64" s="44" t="str">
        <x:v>AbbVie</x:v>
      </x:c>
      <x:c r="B64" s="45" t="n">
        <x:v>0</x:v>
      </x:c>
      <x:c r="C64" s="45" t="n">
        <x:v>0</x:v>
      </x:c>
      <x:c r="D64" s="45" t="n">
        <x:v>171.13700010033108</x:v>
      </x:c>
      <x:c r="E64" s="45" t="n">
        <x:v>0</x:v>
      </x:c>
      <x:c r="F64" s="45" t="n">
        <x:v>18.057100000000002</x:v>
      </x:c>
      <x:c r="G64" s="45" t="n">
        <x:v>0</x:v>
      </x:c>
      <x:c r="H64" s="45" t="n">
        <x:v>189.19410010033107</x:v>
      </x:c>
      <x:c r="I64" s="46" t="n">
        <x:v>0.0016669939971395101</x:v>
      </x:c>
    </x:row>
    <x:row r="65">
      <x:c r="A65" s="44" t="str">
        <x:v>GE Aerospace</x:v>
      </x:c>
      <x:c r="B65" s="45" t="n">
        <x:v>0</x:v>
      </x:c>
      <x:c r="C65" s="45" t="n">
        <x:v>0</x:v>
      </x:c>
      <x:c r="D65" s="45" t="n">
        <x:v>148.04708738838167</x:v>
      </x:c>
      <x:c r="E65" s="45" t="n">
        <x:v>0</x:v>
      </x:c>
      <x:c r="F65" s="45" t="n">
        <x:v>13.968699999999998</x:v>
      </x:c>
      <x:c r="G65" s="45" t="n">
        <x:v>0</x:v>
      </x:c>
      <x:c r="H65" s="45" t="n">
        <x:v>162.01578738838168</x:v>
      </x:c>
      <x:c r="I65" s="46" t="n">
        <x:v>0.0014275251970068744</x:v>
      </x:c>
    </x:row>
    <x:row r="66">
      <x:c r="A66" s="44" t="str">
        <x:v>Chevron</x:v>
      </x:c>
      <x:c r="B66" s="45" t="n">
        <x:v>0</x:v>
      </x:c>
      <x:c r="C66" s="45" t="n">
        <x:v>0</x:v>
      </x:c>
      <x:c r="D66" s="45" t="n">
        <x:v>143.97239690980234</x:v>
      </x:c>
      <x:c r="E66" s="45" t="n">
        <x:v>0</x:v>
      </x:c>
      <x:c r="F66" s="45" t="n">
        <x:v>13.628000000000002</x:v>
      </x:c>
      <x:c r="G66" s="45" t="n">
        <x:v>0</x:v>
      </x:c>
      <x:c r="H66" s="45" t="n">
        <x:v>157.60039690980236</x:v>
      </x:c>
      <x:c r="I66" s="46" t="n">
        <x:v>0.0013886210799180466</x:v>
      </x:c>
    </x:row>
    <x:row r="67">
      <x:c r="A67" s="44" t="str">
        <x:v>Coca-Cola</x:v>
      </x:c>
      <x:c r="B67" s="45" t="n">
        <x:v>0</x:v>
      </x:c>
      <x:c r="C67" s="45" t="n">
        <x:v>0</x:v>
      </x:c>
      <x:c r="D67" s="45" t="n">
        <x:v>130.39009531453797</x:v>
      </x:c>
      <x:c r="E67" s="45" t="n">
        <x:v>0</x:v>
      </x:c>
      <x:c r="F67" s="45" t="n">
        <x:v>13.2873</x:v>
      </x:c>
      <x:c r="G67" s="45" t="n">
        <x:v>0</x:v>
      </x:c>
      <x:c r="H67" s="45" t="n">
        <x:v>143.67739531453796</x:v>
      </x:c>
      <x:c r="I67" s="46" t="n">
        <x:v>0.0012659451610116887</x:v>
      </x:c>
    </x:row>
    <x:row r="68">
      <x:c r="A68" s="44" t="str">
        <x:v>Procter &amp; Gamble</x:v>
      </x:c>
      <x:c r="B68" s="45" t="n">
        <x:v>0</x:v>
      </x:c>
      <x:c r="C68" s="45" t="n">
        <x:v>0</x:v>
      </x:c>
      <x:c r="D68" s="45" t="n">
        <x:v>130.39009531453797</x:v>
      </x:c>
      <x:c r="E68" s="45" t="n">
        <x:v>0</x:v>
      </x:c>
      <x:c r="F68" s="45" t="n">
        <x:v>13.2873</x:v>
      </x:c>
      <x:c r="G68" s="45" t="n">
        <x:v>0</x:v>
      </x:c>
      <x:c r="H68" s="45" t="n">
        <x:v>143.67739531453796</x:v>
      </x:c>
      <x:c r="I68" s="46" t="n">
        <x:v>0.0012659451610116887</x:v>
      </x:c>
    </x:row>
    <x:row r="69">
      <x:c r="A69" s="44" t="str">
        <x:v>Merck &amp; Co.</x:v>
      </x:c>
      <x:c r="B69" s="45" t="n">
        <x:v>0</x:v>
      </x:c>
      <x:c r="C69" s="45" t="n">
        <x:v>0</x:v>
      </x:c>
      <x:c r="D69" s="45" t="n">
        <x:v>127.67363499548509</x:v>
      </x:c>
      <x:c r="E69" s="45" t="n">
        <x:v>0</x:v>
      </x:c>
      <x:c r="F69" s="45" t="n">
        <x:v>12.605899999999998</x:v>
      </x:c>
      <x:c r="G69" s="45" t="n">
        <x:v>0</x:v>
      </x:c>
      <x:c r="H69" s="45" t="n">
        <x:v>140.27953499548508</x:v>
      </x:c>
      <x:c r="I69" s="46" t="n">
        <x:v>0.001236006527872622</x:v>
      </x:c>
    </x:row>
    <x:row r="70">
      <x:c r="A70" s="44" t="str">
        <x:v>Roche</x:v>
      </x:c>
      <x:c r="B70" s="45" t="n">
        <x:v>0</x:v>
      </x:c>
      <x:c r="C70" s="45" t="n">
        <x:v>0</x:v>
      </x:c>
      <x:c r="D70" s="45" t="n">
        <x:v>123.59894451690579</x:v>
      </x:c>
      <x:c r="E70" s="45" t="n">
        <x:v>0</x:v>
      </x:c>
      <x:c r="F70" s="45" t="n">
        <x:v>11.924499999999998</x:v>
      </x:c>
      <x:c r="G70" s="45" t="n">
        <x:v>0</x:v>
      </x:c>
      <x:c r="H70" s="45" t="n">
        <x:v>135.52344451690578</x:v>
      </x:c>
      <x:c r="I70" s="46" t="n">
        <x:v>0.001194100494473908</x:v>
      </x:c>
    </x:row>
    <x:row r="71">
      <x:c r="A71" s="44" t="str">
        <x:v>Goldman Sachs</x:v>
      </x:c>
      <x:c r="B71" s="45" t="n">
        <x:v>0</x:v>
      </x:c>
      <x:c r="C71" s="45" t="n">
        <x:v>0</x:v>
      </x:c>
      <x:c r="D71" s="45" t="n">
        <x:v>119.52425403832646</x:v>
      </x:c>
      <x:c r="E71" s="45" t="n">
        <x:v>0</x:v>
      </x:c>
      <x:c r="F71" s="45" t="n">
        <x:v>11.2431</x:v>
      </x:c>
      <x:c r="G71" s="45" t="n">
        <x:v>0</x:v>
      </x:c>
      <x:c r="H71" s="45" t="n">
        <x:v>130.76735403832646</x:v>
      </x:c>
      <x:c r="I71" s="46" t="n">
        <x:v>0.0011521944610751941</x:v>
      </x:c>
    </x:row>
    <x:row r="72">
      <x:c r="A72" s="44" t="str">
        <x:v>Royal Bank of Canada</x:v>
      </x:c>
      <x:c r="B72" s="45" t="n">
        <x:v>0</x:v>
      </x:c>
      <x:c r="C72" s="45" t="n">
        <x:v>0</x:v>
      </x:c>
      <x:c r="D72" s="45" t="n">
        <x:v>116.8077937192736</x:v>
      </x:c>
      <x:c r="E72" s="45" t="n">
        <x:v>0</x:v>
      </x:c>
      <x:c r="F72" s="45" t="n">
        <x:v>11.2431</x:v>
      </x:c>
      <x:c r="G72" s="45" t="n">
        <x:v>0</x:v>
      </x:c>
      <x:c r="H72" s="45" t="n">
        <x:v>128.0508937192736</x:v>
      </x:c>
      <x:c r="I72" s="46" t="n">
        <x:v>0.0011282596605558999</x:v>
      </x:c>
    </x:row>
    <x:row r="73">
      <x:c r="A73" s="44" t="str">
        <x:v>Philip Morris</x:v>
      </x:c>
      <x:c r="B73" s="45" t="n">
        <x:v>0</x:v>
      </x:c>
      <x:c r="C73" s="45" t="n">
        <x:v>0</x:v>
      </x:c>
      <x:c r="D73" s="45" t="n">
        <x:v>112.73310324069428</x:v>
      </x:c>
      <x:c r="E73" s="45" t="n">
        <x:v>0</x:v>
      </x:c>
      <x:c r="F73" s="45" t="n">
        <x:v>11.924499999999998</x:v>
      </x:c>
      <x:c r="G73" s="45" t="n">
        <x:v>0</x:v>
      </x:c>
      <x:c r="H73" s="45" t="n">
        <x:v>124.65760324069427</x:v>
      </x:c>
      <x:c r="I73" s="46" t="n">
        <x:v>0.0010983612923967307</x:v>
      </x:c>
    </x:row>
    <x:row r="74">
      <x:c r="A74" s="44" t="str">
        <x:v>Shell</x:v>
      </x:c>
      <x:c r="B74" s="45" t="n">
        <x:v>0</x:v>
      </x:c>
      <x:c r="C74" s="45" t="n">
        <x:v>0</x:v>
      </x:c>
      <x:c r="D74" s="45" t="n">
        <x:v>97.79257148590348</x:v>
      </x:c>
      <x:c r="E74" s="45" t="n">
        <x:v>0</x:v>
      </x:c>
      <x:c r="F74" s="45" t="n">
        <x:v>9.5396</x:v>
      </x:c>
      <x:c r="G74" s="45" t="n">
        <x:v>12.822624000000001</x:v>
      </x:c>
      <x:c r="H74" s="45" t="n">
        <x:v>120.15479548590348</x:v>
      </x:c>
      <x:c r="I74" s="46" t="n">
        <x:v>0.0010586869394780673</x:v>
      </x:c>
    </x:row>
    <x:row r="75">
      <x:c r="A75" s="44" t="str">
        <x:v>Novartis</x:v>
      </x:c>
      <x:c r="B75" s="45" t="n">
        <x:v>0</x:v>
      </x:c>
      <x:c r="C75" s="45" t="n">
        <x:v>0</x:v>
      </x:c>
      <x:c r="D75" s="45" t="n">
        <x:v>108.65841276211498</x:v>
      </x:c>
      <x:c r="E75" s="45" t="n">
        <x:v>0</x:v>
      </x:c>
      <x:c r="F75" s="45" t="n">
        <x:v>11.2431</x:v>
      </x:c>
      <x:c r="G75" s="45" t="n">
        <x:v>0</x:v>
      </x:c>
      <x:c r="H75" s="45" t="n">
        <x:v>119.90151276211498</x:v>
      </x:c>
      <x:c r="I75" s="46" t="n">
        <x:v>0.001056455258998017</x:v>
      </x:c>
    </x:row>
    <x:row r="76">
      <x:c r="A76" s="44" t="str">
        <x:v>Toyota</x:v>
      </x:c>
      <x:c r="B76" s="45" t="n">
        <x:v>0</x:v>
      </x:c>
      <x:c r="C76" s="45" t="n">
        <x:v>0</x:v>
      </x:c>
      <x:c r="D76" s="45" t="n">
        <x:v>86.92673020969198</x:v>
      </x:c>
      <x:c r="E76" s="45" t="n">
        <x:v>0</x:v>
      </x:c>
      <x:c r="F76" s="45" t="n">
        <x:v>7.1547</x:v>
      </x:c>
      <x:c r="G76" s="45" t="n">
        <x:v>18.40284</x:v>
      </x:c>
      <x:c r="H76" s="45" t="n">
        <x:v>112.48427020969199</x:v>
      </x:c>
      <x:c r="I76" s="46" t="n">
        <x:v>0.000991101747426251</x:v>
      </x:c>
    </x:row>
    <x:row r="77">
      <x:c r="A77" s="44" t="str">
        <x:v>Oracle</x:v>
      </x:c>
      <x:c r="B77" s="45" t="n">
        <x:v>0</x:v>
      </x:c>
      <x:c r="C77" s="45" t="n">
        <x:v>0</x:v>
      </x:c>
      <x:c r="D77" s="45" t="n">
        <x:v>101.8672619644828</x:v>
      </x:c>
      <x:c r="E77" s="45" t="n">
        <x:v>0</x:v>
      </x:c>
      <x:c r="F77" s="45" t="n">
        <x:v>7.8361</x:v>
      </x:c>
      <x:c r="G77" s="45" t="n">
        <x:v>0</x:v>
      </x:c>
      <x:c r="H77" s="45" t="n">
        <x:v>109.7033619644828</x:v>
      </x:c>
      <x:c r="I77" s="46" t="n">
        <x:v>0.0009665990946009192</x:v>
      </x:c>
    </x:row>
    <x:row r="78">
      <x:c r="A78" s="44" t="str">
        <x:v>Nestlé</x:v>
      </x:c>
      <x:c r="B78" s="45" t="n">
        <x:v>0</x:v>
      </x:c>
      <x:c r="C78" s="45" t="n">
        <x:v>0</x:v>
      </x:c>
      <x:c r="D78" s="45" t="n">
        <x:v>97.79257148590348</x:v>
      </x:c>
      <x:c r="E78" s="45" t="n">
        <x:v>0</x:v>
      </x:c>
      <x:c r="F78" s="45" t="n">
        <x:v>9.8803</x:v>
      </x:c>
      <x:c r="G78" s="45" t="n">
        <x:v>0</x:v>
      </x:c>
      <x:c r="H78" s="45" t="n">
        <x:v>107.67287148590349</x:v>
      </x:c>
      <x:c r="I78" s="46" t="n">
        <x:v>0.0009487083916812951</x:v>
      </x:c>
    </x:row>
    <x:row r="79">
      <x:c r="A79" s="44" t="str">
        <x:v>AstraZeneca</x:v>
      </x:c>
      <x:c r="B79" s="45" t="n">
        <x:v>0</x:v>
      </x:c>
      <x:c r="C79" s="45" t="n">
        <x:v>0</x:v>
      </x:c>
      <x:c r="D79" s="45" t="n">
        <x:v>95.0761111668506</x:v>
      </x:c>
      <x:c r="E79" s="45" t="n">
        <x:v>0</x:v>
      </x:c>
      <x:c r="F79" s="45" t="n">
        <x:v>10.220999999999998</x:v>
      </x:c>
      <x:c r="G79" s="45" t="n">
        <x:v>0</x:v>
      </x:c>
      <x:c r="H79" s="45" t="n">
        <x:v>105.2971111668506</x:v>
      </x:c>
      <x:c r="I79" s="46" t="n">
        <x:v>0.0009277755074718869</x:v>
      </x:c>
    </x:row>
    <x:row r="80">
      <x:c r="A80" s="44" t="str">
        <x:v>Lam Research</x:v>
      </x:c>
      <x:c r="B80" s="45" t="n">
        <x:v>0</x:v>
      </x:c>
      <x:c r="C80" s="45" t="n">
        <x:v>0</x:v>
      </x:c>
      <x:c r="D80" s="45" t="n">
        <x:v>0</x:v>
      </x:c>
      <x:c r="E80" s="45" t="n">
        <x:v>86.1910588235294</x:v>
      </x:c>
      <x:c r="F80" s="45" t="n">
        <x:v>12.2652</x:v>
      </x:c>
      <x:c r="G80" s="45" t="n">
        <x:v>0</x:v>
      </x:c>
      <x:c r="H80" s="45" t="n">
        <x:v>98.4562588235294</x:v>
      </x:c>
      <x:c r="I80" s="46" t="n">
        <x:v>0.0008675005845985692</x:v>
      </x:c>
    </x:row>
    <x:row r="81">
      <x:c r="A81" s="44" t="str">
        <x:v>Texas Instruments</x:v>
      </x:c>
      <x:c r="B81" s="45" t="n">
        <x:v>0</x:v>
      </x:c>
      <x:c r="C81" s="45" t="n">
        <x:v>0</x:v>
      </x:c>
      <x:c r="D81" s="45" t="n">
        <x:v>0</x:v>
      </x:c>
      <x:c r="E81" s="45" t="n">
        <x:v>86.1910588235294</x:v>
      </x:c>
      <x:c r="F81" s="45" t="n">
        <x:v>9.5396</x:v>
      </x:c>
      <x:c r="G81" s="45" t="n">
        <x:v>0</x:v>
      </x:c>
      <x:c r="H81" s="45" t="n">
        <x:v>95.73065882352941</x:v>
      </x:c>
      <x:c r="I81" s="46" t="n">
        <x:v>0.0008434852541194795</x:v>
      </x:c>
    </x:row>
    <x:row r="82">
      <x:c r="A82" s="44" t="str">
        <x:v>Thermo Fisher</x:v>
      </x:c>
      <x:c r="B82" s="45" t="n">
        <x:v>0</x:v>
      </x:c>
      <x:c r="C82" s="45" t="n">
        <x:v>0</x:v>
      </x:c>
      <x:c r="D82" s="45" t="n">
        <x:v>86.92673020969198</x:v>
      </x:c>
      <x:c r="E82" s="45" t="n">
        <x:v>0</x:v>
      </x:c>
      <x:c r="F82" s="45" t="n">
        <x:v>8.1768</x:v>
      </x:c>
      <x:c r="G82" s="45" t="n">
        <x:v>0</x:v>
      </x:c>
      <x:c r="H82" s="45" t="n">
        <x:v>95.10353020969198</x:v>
      </x:c>
      <x:c r="I82" s="46" t="n">
        <x:v>0.0008379596080546867</x:v>
      </x:c>
    </x:row>
    <x:row r="83">
      <x:c r="A83" s="44" t="str">
        <x:v>IBM</x:v>
      </x:c>
      <x:c r="B83" s="45" t="n">
        <x:v>0</x:v>
      </x:c>
      <x:c r="C83" s="45" t="n">
        <x:v>0</x:v>
      </x:c>
      <x:c r="D83" s="45" t="n">
        <x:v>86.92673020969198</x:v>
      </x:c>
      <x:c r="E83" s="45" t="n">
        <x:v>0</x:v>
      </x:c>
      <x:c r="F83" s="45" t="n">
        <x:v>8.1768</x:v>
      </x:c>
      <x:c r="G83" s="45" t="n">
        <x:v>0</x:v>
      </x:c>
      <x:c r="H83" s="45" t="n">
        <x:v>95.10353020969198</x:v>
      </x:c>
      <x:c r="I83" s="46" t="n">
        <x:v>0.0008379596080546867</x:v>
      </x:c>
    </x:row>
    <x:row r="84">
      <x:c r="A84" s="44" t="str">
        <x:v>KLA</x:v>
      </x:c>
      <x:c r="B84" s="45" t="n">
        <x:v>0</x:v>
      </x:c>
      <x:c r="C84" s="45" t="n">
        <x:v>0</x:v>
      </x:c>
      <x:c r="D84" s="45" t="n">
        <x:v>0</x:v>
      </x:c>
      <x:c r="E84" s="45" t="n">
        <x:v>86.1910588235294</x:v>
      </x:c>
      <x:c r="F84" s="45" t="n">
        <x:v>8.5175</x:v>
      </x:c>
      <x:c r="G84" s="45" t="n">
        <x:v>0</x:v>
      </x:c>
      <x:c r="H84" s="45" t="n">
        <x:v>94.7085588235294</x:v>
      </x:c>
      <x:c r="I84" s="46" t="n">
        <x:v>0.0008344795051898208</x:v>
      </x:c>
    </x:row>
    <x:row r="85">
      <x:c r="A85" s="44" t="str">
        <x:v>Arista Networks</x:v>
      </x:c>
      <x:c r="B85" s="45" t="n">
        <x:v>0</x:v>
      </x:c>
      <x:c r="C85" s="45" t="n">
        <x:v>0</x:v>
      </x:c>
      <x:c r="D85" s="45" t="n">
        <x:v>0</x:v>
      </x:c>
      <x:c r="E85" s="45" t="n">
        <x:v>86.1910588235294</x:v>
      </x:c>
      <x:c r="F85" s="45" t="n">
        <x:v>6.4733</x:v>
      </x:c>
      <x:c r="G85" s="45" t="n">
        <x:v>0</x:v>
      </x:c>
      <x:c r="H85" s="45" t="n">
        <x:v>92.6643588235294</x:v>
      </x:c>
      <x:c r="I85" s="46" t="n">
        <x:v>0.0008164680073305034</x:v>
      </x:c>
    </x:row>
    <x:row r="86">
      <x:c r="A86" s="44" t="str">
        <x:v>Ametek</x:v>
      </x:c>
      <x:c r="B86" s="45" t="n">
        <x:v>0</x:v>
      </x:c>
      <x:c r="C86" s="45" t="n">
        <x:v>0</x:v>
      </x:c>
      <x:c r="D86" s="45" t="n">
        <x:v>0</x:v>
      </x:c>
      <x:c r="E86" s="45" t="n">
        <x:v>86.1910588235294</x:v>
      </x:c>
      <x:c r="F86" s="45" t="n">
        <x:v>0</x:v>
      </x:c>
      <x:c r="G86" s="45" t="n">
        <x:v>0</x:v>
      </x:c>
      <x:c r="H86" s="45" t="n">
        <x:v>86.1910588235294</x:v>
      </x:c>
      <x:c r="I86" s="46" t="n">
        <x:v>0.0007594315974426652</x:v>
      </x:c>
    </x:row>
    <x:row r="87">
      <x:c r="A87" s="44" t="str">
        <x:v>Atoss Software</x:v>
      </x:c>
      <x:c r="B87" s="45" t="n">
        <x:v>0</x:v>
      </x:c>
      <x:c r="C87" s="45" t="n">
        <x:v>0</x:v>
      </x:c>
      <x:c r="D87" s="45" t="n">
        <x:v>0</x:v>
      </x:c>
      <x:c r="E87" s="45" t="n">
        <x:v>86.1910588235294</x:v>
      </x:c>
      <x:c r="F87" s="45" t="n">
        <x:v>0</x:v>
      </x:c>
      <x:c r="G87" s="45" t="n">
        <x:v>0</x:v>
      </x:c>
      <x:c r="H87" s="45" t="n">
        <x:v>86.1910588235294</x:v>
      </x:c>
      <x:c r="I87" s="46" t="n">
        <x:v>0.0007594315974426652</x:v>
      </x:c>
    </x:row>
    <x:row r="88">
      <x:c r="A88" s="44" t="str">
        <x:v>Axon Enterprise</x:v>
      </x:c>
      <x:c r="B88" s="45" t="n">
        <x:v>0</x:v>
      </x:c>
      <x:c r="C88" s="45" t="n">
        <x:v>0</x:v>
      </x:c>
      <x:c r="D88" s="45" t="n">
        <x:v>0</x:v>
      </x:c>
      <x:c r="E88" s="45" t="n">
        <x:v>86.1910588235294</x:v>
      </x:c>
      <x:c r="F88" s="45" t="n">
        <x:v>0</x:v>
      </x:c>
      <x:c r="G88" s="45" t="n">
        <x:v>0</x:v>
      </x:c>
      <x:c r="H88" s="45" t="n">
        <x:v>86.1910588235294</x:v>
      </x:c>
      <x:c r="I88" s="46" t="n">
        <x:v>0.0007594315974426652</x:v>
      </x:c>
    </x:row>
    <x:row r="89">
      <x:c r="A89" s="44" t="str">
        <x:v>Cadence Design Systems</x:v>
      </x:c>
      <x:c r="B89" s="45" t="n">
        <x:v>0</x:v>
      </x:c>
      <x:c r="C89" s="45" t="n">
        <x:v>0</x:v>
      </x:c>
      <x:c r="D89" s="45" t="n">
        <x:v>0</x:v>
      </x:c>
      <x:c r="E89" s="45" t="n">
        <x:v>86.1910588235294</x:v>
      </x:c>
      <x:c r="F89" s="45" t="n">
        <x:v>0</x:v>
      </x:c>
      <x:c r="G89" s="45" t="n">
        <x:v>0</x:v>
      </x:c>
      <x:c r="H89" s="45" t="n">
        <x:v>86.1910588235294</x:v>
      </x:c>
      <x:c r="I89" s="46" t="n">
        <x:v>0.0007594315974426652</x:v>
      </x:c>
    </x:row>
    <x:row r="90">
      <x:c r="A90" s="44" t="str">
        <x:v>Constellation Software</x:v>
      </x:c>
      <x:c r="B90" s="45" t="n">
        <x:v>0</x:v>
      </x:c>
      <x:c r="C90" s="45" t="n">
        <x:v>0</x:v>
      </x:c>
      <x:c r="D90" s="45" t="n">
        <x:v>0</x:v>
      </x:c>
      <x:c r="E90" s="45" t="n">
        <x:v>86.1910588235294</x:v>
      </x:c>
      <x:c r="F90" s="45" t="n">
        <x:v>0</x:v>
      </x:c>
      <x:c r="G90" s="45" t="n">
        <x:v>0</x:v>
      </x:c>
      <x:c r="H90" s="45" t="n">
        <x:v>86.1910588235294</x:v>
      </x:c>
      <x:c r="I90" s="46" t="n">
        <x:v>0.0007594315974426652</x:v>
      </x:c>
    </x:row>
    <x:row r="91">
      <x:c r="A91" s="44" t="str">
        <x:v>Elmos Semiconductor</x:v>
      </x:c>
      <x:c r="B91" s="45" t="n">
        <x:v>0</x:v>
      </x:c>
      <x:c r="C91" s="45" t="n">
        <x:v>0</x:v>
      </x:c>
      <x:c r="D91" s="45" t="n">
        <x:v>0</x:v>
      </x:c>
      <x:c r="E91" s="45" t="n">
        <x:v>86.1910588235294</x:v>
      </x:c>
      <x:c r="F91" s="45" t="n">
        <x:v>0</x:v>
      </x:c>
      <x:c r="G91" s="45" t="n">
        <x:v>0</x:v>
      </x:c>
      <x:c r="H91" s="45" t="n">
        <x:v>86.1910588235294</x:v>
      </x:c>
      <x:c r="I91" s="46" t="n">
        <x:v>0.0007594315974426652</x:v>
      </x:c>
    </x:row>
    <x:row r="92">
      <x:c r="A92" s="44" t="str">
        <x:v>FICO</x:v>
      </x:c>
      <x:c r="B92" s="45" t="n">
        <x:v>0</x:v>
      </x:c>
      <x:c r="C92" s="45" t="n">
        <x:v>0</x:v>
      </x:c>
      <x:c r="D92" s="45" t="n">
        <x:v>0</x:v>
      </x:c>
      <x:c r="E92" s="45" t="n">
        <x:v>86.1910588235294</x:v>
      </x:c>
      <x:c r="F92" s="45" t="n">
        <x:v>0</x:v>
      </x:c>
      <x:c r="G92" s="45" t="n">
        <x:v>0</x:v>
      </x:c>
      <x:c r="H92" s="45" t="n">
        <x:v>86.1910588235294</x:v>
      </x:c>
      <x:c r="I92" s="46" t="n">
        <x:v>0.0007594315974426652</x:v>
      </x:c>
    </x:row>
    <x:row r="93">
      <x:c r="A93" s="44" t="str">
        <x:v>Jabil</x:v>
      </x:c>
      <x:c r="B93" s="45" t="n">
        <x:v>0</x:v>
      </x:c>
      <x:c r="C93" s="45" t="n">
        <x:v>0</x:v>
      </x:c>
      <x:c r="D93" s="45" t="n">
        <x:v>0</x:v>
      </x:c>
      <x:c r="E93" s="45" t="n">
        <x:v>86.1910588235294</x:v>
      </x:c>
      <x:c r="F93" s="45" t="n">
        <x:v>0</x:v>
      </x:c>
      <x:c r="G93" s="45" t="n">
        <x:v>0</x:v>
      </x:c>
      <x:c r="H93" s="45" t="n">
        <x:v>86.1910588235294</x:v>
      </x:c>
      <x:c r="I93" s="46" t="n">
        <x:v>0.0007594315974426652</x:v>
      </x:c>
    </x:row>
    <x:row r="94">
      <x:c r="A94" s="44" t="str">
        <x:v>MercadoLibre</x:v>
      </x:c>
      <x:c r="B94" s="45" t="n">
        <x:v>0</x:v>
      </x:c>
      <x:c r="C94" s="45" t="n">
        <x:v>0</x:v>
      </x:c>
      <x:c r="D94" s="45" t="n">
        <x:v>0</x:v>
      </x:c>
      <x:c r="E94" s="45" t="n">
        <x:v>86.1910588235294</x:v>
      </x:c>
      <x:c r="F94" s="45" t="n">
        <x:v>0</x:v>
      </x:c>
      <x:c r="G94" s="45" t="n">
        <x:v>0</x:v>
      </x:c>
      <x:c r="H94" s="45" t="n">
        <x:v>86.1910588235294</x:v>
      </x:c>
      <x:c r="I94" s="46" t="n">
        <x:v>0.0007594315974426652</x:v>
      </x:c>
    </x:row>
    <x:row r="95">
      <x:c r="A95" s="44" t="str">
        <x:v>Mettler-Toledo</x:v>
      </x:c>
      <x:c r="B95" s="45" t="n">
        <x:v>0</x:v>
      </x:c>
      <x:c r="C95" s="45" t="n">
        <x:v>0</x:v>
      </x:c>
      <x:c r="D95" s="45" t="n">
        <x:v>0</x:v>
      </x:c>
      <x:c r="E95" s="45" t="n">
        <x:v>86.1910588235294</x:v>
      </x:c>
      <x:c r="F95" s="45" t="n">
        <x:v>0</x:v>
      </x:c>
      <x:c r="G95" s="45" t="n">
        <x:v>0</x:v>
      </x:c>
      <x:c r="H95" s="45" t="n">
        <x:v>86.1910588235294</x:v>
      </x:c>
      <x:c r="I95" s="46" t="n">
        <x:v>0.0007594315974426652</x:v>
      </x:c>
    </x:row>
    <x:row r="96">
      <x:c r="A96" s="44" t="str">
        <x:v>Monolithic Power Systems</x:v>
      </x:c>
      <x:c r="B96" s="45" t="n">
        <x:v>0</x:v>
      </x:c>
      <x:c r="C96" s="45" t="n">
        <x:v>0</x:v>
      </x:c>
      <x:c r="D96" s="45" t="n">
        <x:v>0</x:v>
      </x:c>
      <x:c r="E96" s="45" t="n">
        <x:v>86.1910588235294</x:v>
      </x:c>
      <x:c r="F96" s="45" t="n">
        <x:v>0</x:v>
      </x:c>
      <x:c r="G96" s="45" t="n">
        <x:v>0</x:v>
      </x:c>
      <x:c r="H96" s="45" t="n">
        <x:v>86.1910588235294</x:v>
      </x:c>
      <x:c r="I96" s="46" t="n">
        <x:v>0.0007594315974426652</x:v>
      </x:c>
    </x:row>
    <x:row r="97">
      <x:c r="A97" s="44" t="str">
        <x:v>Motorola Solutions</x:v>
      </x:c>
      <x:c r="B97" s="45" t="n">
        <x:v>0</x:v>
      </x:c>
      <x:c r="C97" s="45" t="n">
        <x:v>0</x:v>
      </x:c>
      <x:c r="D97" s="45" t="n">
        <x:v>0</x:v>
      </x:c>
      <x:c r="E97" s="45" t="n">
        <x:v>86.1910588235294</x:v>
      </x:c>
      <x:c r="F97" s="45" t="n">
        <x:v>0</x:v>
      </x:c>
      <x:c r="G97" s="45" t="n">
        <x:v>0</x:v>
      </x:c>
      <x:c r="H97" s="45" t="n">
        <x:v>86.1910588235294</x:v>
      </x:c>
      <x:c r="I97" s="46" t="n">
        <x:v>0.0007594315974426652</x:v>
      </x:c>
    </x:row>
    <x:row r="98">
      <x:c r="A98" s="44" t="str">
        <x:v>Nemetschek</x:v>
      </x:c>
      <x:c r="B98" s="45" t="n">
        <x:v>0</x:v>
      </x:c>
      <x:c r="C98" s="45" t="n">
        <x:v>0</x:v>
      </x:c>
      <x:c r="D98" s="45" t="n">
        <x:v>0</x:v>
      </x:c>
      <x:c r="E98" s="45" t="n">
        <x:v>86.1910588235294</x:v>
      </x:c>
      <x:c r="F98" s="45" t="n">
        <x:v>0</x:v>
      </x:c>
      <x:c r="G98" s="45" t="n">
        <x:v>0</x:v>
      </x:c>
      <x:c r="H98" s="45" t="n">
        <x:v>86.1910588235294</x:v>
      </x:c>
      <x:c r="I98" s="46" t="n">
        <x:v>0.0007594315974426652</x:v>
      </x:c>
    </x:row>
    <x:row r="99">
      <x:c r="A99" s="44" t="str">
        <x:v>ServiceNow</x:v>
      </x:c>
      <x:c r="B99" s="45" t="n">
        <x:v>0</x:v>
      </x:c>
      <x:c r="C99" s="45" t="n">
        <x:v>0</x:v>
      </x:c>
      <x:c r="D99" s="45" t="n">
        <x:v>0</x:v>
      </x:c>
      <x:c r="E99" s="45" t="n">
        <x:v>86.1910588235294</x:v>
      </x:c>
      <x:c r="F99" s="45" t="n">
        <x:v>0</x:v>
      </x:c>
      <x:c r="G99" s="45" t="n">
        <x:v>0</x:v>
      </x:c>
      <x:c r="H99" s="45" t="n">
        <x:v>86.1910588235294</x:v>
      </x:c>
      <x:c r="I99" s="46" t="n">
        <x:v>0.0007594315974426652</x:v>
      </x:c>
    </x:row>
    <x:row r="100">
      <x:c r="A100" s="44" t="str">
        <x:v>Synopsys</x:v>
      </x:c>
      <x:c r="B100" s="45" t="n">
        <x:v>0</x:v>
      </x:c>
      <x:c r="C100" s="45" t="n">
        <x:v>0</x:v>
      </x:c>
      <x:c r="D100" s="45" t="n">
        <x:v>0</x:v>
      </x:c>
      <x:c r="E100" s="45" t="n">
        <x:v>86.1910588235294</x:v>
      </x:c>
      <x:c r="F100" s="45" t="n">
        <x:v>0</x:v>
      </x:c>
      <x:c r="G100" s="45" t="n">
        <x:v>0</x:v>
      </x:c>
      <x:c r="H100" s="45" t="n">
        <x:v>86.1910588235294</x:v>
      </x:c>
      <x:c r="I100" s="46" t="n">
        <x:v>0.0007594315974426652</x:v>
      </x:c>
    </x:row>
    <x:row r="101">
      <x:c r="A101" s="44" t="str">
        <x:v>Abbott Labs</x:v>
      </x:c>
      <x:c r="B101" s="45" t="n">
        <x:v>0</x:v>
      </x:c>
      <x:c r="C101" s="45" t="n">
        <x:v>0</x:v>
      </x:c>
      <x:c r="D101" s="45" t="n">
        <x:v>74.70265877395406</x:v>
      </x:c>
      <x:c r="E101" s="45" t="n">
        <x:v>0</x:v>
      </x:c>
      <x:c r="F101" s="45" t="n">
        <x:v>7.4954</x:v>
      </x:c>
      <x:c r="G101" s="45" t="n">
        <x:v>0</x:v>
      </x:c>
      <x:c r="H101" s="45" t="n">
        <x:v>82.19805877395406</x:v>
      </x:c>
      <x:c r="I101" s="46" t="n">
        <x:v>0.0007242491730980901</x:v>
      </x:c>
    </x:row>
    <x:row r="102">
      <x:c r="A102" s="44" t="str">
        <x:v>PepsiCo</x:v>
      </x:c>
      <x:c r="B102" s="45" t="n">
        <x:v>0</x:v>
      </x:c>
      <x:c r="C102" s="45" t="n">
        <x:v>0</x:v>
      </x:c>
      <x:c r="D102" s="45" t="n">
        <x:v>73.34442861442761</x:v>
      </x:c>
      <x:c r="E102" s="45" t="n">
        <x:v>0</x:v>
      </x:c>
      <x:c r="F102" s="45" t="n">
        <x:v>7.4954</x:v>
      </x:c>
      <x:c r="G102" s="45" t="n">
        <x:v>0</x:v>
      </x:c>
      <x:c r="H102" s="45" t="n">
        <x:v>80.83982861442762</x:v>
      </x:c>
      <x:c r="I102" s="46" t="n">
        <x:v>0.0007122817728384429</x:v>
      </x:c>
    </x:row>
    <x:row r="103">
      <x:c r="A103" s="44" t="str">
        <x:v>Pfizer</x:v>
      </x:c>
      <x:c r="B103" s="45" t="n">
        <x:v>0</x:v>
      </x:c>
      <x:c r="C103" s="45" t="n">
        <x:v>0</x:v>
      </x:c>
      <x:c r="D103" s="45" t="n">
        <x:v>58.4038968596368</x:v>
      </x:c>
      <x:c r="E103" s="45" t="n">
        <x:v>0</x:v>
      </x:c>
      <x:c r="F103" s="45" t="n">
        <x:v>5.4512</x:v>
      </x:c>
      <x:c r="G103" s="45" t="n">
        <x:v>12.941352000000002</x:v>
      </x:c>
      <x:c r="H103" s="45" t="n">
        <x:v>76.7964488596368</x:v>
      </x:c>
      <x:c r="I103" s="46" t="n">
        <x:v>0.0006766554516380604</x:v>
      </x:c>
    </x:row>
    <x:row r="104">
      <x:c r="A104" s="44" t="str">
        <x:v>Salesforce</x:v>
      </x:c>
      <x:c r="B104" s="45" t="n">
        <x:v>0</x:v>
      </x:c>
      <x:c r="C104" s="45" t="n">
        <x:v>0</x:v>
      </x:c>
      <x:c r="D104" s="45" t="n">
        <x:v>61.12035717868967</x:v>
      </x:c>
      <x:c r="E104" s="45" t="n">
        <x:v>0</x:v>
      </x:c>
      <x:c r="F104" s="45" t="n">
        <x:v>5.791900000000001</x:v>
      </x:c>
      <x:c r="G104" s="45" t="n">
        <x:v>6.292584000000001</x:v>
      </x:c>
      <x:c r="H104" s="45" t="n">
        <x:v>73.20484117868968</x:v>
      </x:c>
      <x:c r="I104" s="46" t="n">
        <x:v>0.0006450097055971216</x:v>
      </x:c>
    </x:row>
    <x:row r="105">
      <x:c r="A105" s="44" t="str">
        <x:v>Novo Nordisk</x:v>
      </x:c>
      <x:c r="B105" s="45" t="n">
        <x:v>0</x:v>
      </x:c>
      <x:c r="C105" s="45" t="n">
        <x:v>0</x:v>
      </x:c>
      <x:c r="D105" s="45" t="n">
        <x:v>57.04566670011036</x:v>
      </x:c>
      <x:c r="E105" s="45" t="n">
        <x:v>0</x:v>
      </x:c>
      <x:c r="F105" s="45" t="n">
        <x:v>6.4733</x:v>
      </x:c>
      <x:c r="G105" s="45" t="n">
        <x:v>0</x:v>
      </x:c>
      <x:c r="H105" s="45" t="n">
        <x:v>63.51896670011036</x:v>
      </x:c>
      <x:c r="I105" s="46" t="n">
        <x:v>0.0005596672207930183</x:v>
      </x:c>
    </x:row>
    <x:row r="106">
      <x:c r="A106" s="44" t="str">
        <x:v>Unilever</x:v>
      </x:c>
      <x:c r="B106" s="45" t="n">
        <x:v>0</x:v>
      </x:c>
      <x:c r="C106" s="45" t="n">
        <x:v>0</x:v>
      </x:c>
      <x:c r="D106" s="45" t="n">
        <x:v>52.970976221531046</x:v>
      </x:c>
      <x:c r="E106" s="45" t="n">
        <x:v>0</x:v>
      </x:c>
      <x:c r="F106" s="45" t="n">
        <x:v>0</x:v>
      </x:c>
      <x:c r="G106" s="45" t="n">
        <x:v>0</x:v>
      </x:c>
      <x:c r="H106" s="45" t="n">
        <x:v>52.970976221531046</x:v>
      </x:c>
      <x:c r="I106" s="46" t="n">
        <x:v>0.0004667286101262386</x:v>
      </x:c>
    </x:row>
    <x:row r="107">
      <x:c r="A107" s="44" t="str">
        <x:v>Accenture</x:v>
      </x:c>
      <x:c r="B107" s="45" t="n">
        <x:v>0</x:v>
      </x:c>
      <x:c r="C107" s="45" t="n">
        <x:v>0</x:v>
      </x:c>
      <x:c r="D107" s="45" t="n">
        <x:v>43.46336510484599</x:v>
      </x:c>
      <x:c r="E107" s="45" t="n">
        <x:v>0</x:v>
      </x:c>
      <x:c r="F107" s="45" t="n">
        <x:v>0</x:v>
      </x:c>
      <x:c r="G107" s="45" t="n">
        <x:v>0</x:v>
      </x:c>
      <x:c r="H107" s="45" t="n">
        <x:v>43.46336510484599</x:v>
      </x:c>
      <x:c r="I107" s="46" t="n">
        <x:v>0.00038295680830870865</x:v>
      </x:c>
    </x:row>
    <x:row r="108">
      <x:c r="A108" s="44" t="str">
        <x:v>Samsung Electronics Pref.</x:v>
      </x:c>
      <x:c r="B108" s="45" t="n">
        <x:v>0</x:v>
      </x:c>
      <x:c r="C108" s="45" t="n">
        <x:v>0</x:v>
      </x:c>
      <x:c r="D108" s="45" t="n">
        <x:v>40.74690478579311</x:v>
      </x:c>
      <x:c r="E108" s="45" t="n">
        <x:v>0</x:v>
      </x:c>
      <x:c r="F108" s="45" t="n">
        <x:v>0</x:v>
      </x:c>
      <x:c r="G108" s="45" t="n">
        <x:v>0</x:v>
      </x:c>
      <x:c r="H108" s="45" t="n">
        <x:v>40.74690478579311</x:v>
      </x:c>
      <x:c r="I108" s="46" t="n">
        <x:v>0.0003590220077894143</x:v>
      </x:c>
    </x:row>
    <x:row r="109">
      <x:c r="A109" s="44" t="str">
        <x:v>Verizon</x:v>
      </x:c>
      <x:c r="B109" s="45" t="n">
        <x:v>0</x:v>
      </x:c>
      <x:c r="C109" s="45" t="n">
        <x:v>0</x:v>
      </x:c>
      <x:c r="D109" s="45" t="n">
        <x:v>0</x:v>
      </x:c>
      <x:c r="E109" s="45" t="n">
        <x:v>0</x:v>
      </x:c>
      <x:c r="F109" s="45" t="n">
        <x:v>7.4954</x:v>
      </x:c>
      <x:c r="G109" s="45" t="n">
        <x:v>26.120160000000002</x:v>
      </x:c>
      <x:c r="H109" s="45" t="n">
        <x:v>33.61556</x:v>
      </x:c>
      <x:c r="I109" s="46" t="n">
        <x:v>0.000296187548664394</x:v>
      </x:c>
    </x:row>
    <x:row r="110">
      <x:c r="A110" s="44" t="str">
        <x:v>Qualcomm</x:v>
      </x:c>
      <x:c r="B110" s="45" t="n">
        <x:v>0</x:v>
      </x:c>
      <x:c r="C110" s="45" t="n">
        <x:v>0</x:v>
      </x:c>
      <x:c r="D110" s="45" t="n">
        <x:v>0</x:v>
      </x:c>
      <x:c r="E110" s="45" t="n">
        <x:v>0</x:v>
      </x:c>
      <x:c r="F110" s="45" t="n">
        <x:v>6.4733</x:v>
      </x:c>
      <x:c r="G110" s="45" t="n">
        <x:v>24.457968</x:v>
      </x:c>
      <x:c r="H110" s="45" t="n">
        <x:v>30.931268000000003</x:v>
      </x:c>
      <x:c r="I110" s="46" t="n">
        <x:v>0.0002725361840172055</x:v>
      </x:c>
    </x:row>
    <x:row r="111">
      <x:c r="A111" s="44" t="str">
        <x:v>AT&amp;T</x:v>
      </x:c>
      <x:c r="B111" s="45" t="n">
        <x:v>0</x:v>
      </x:c>
      <x:c r="C111" s="45" t="n">
        <x:v>0</x:v>
      </x:c>
      <x:c r="D111" s="45" t="n">
        <x:v>0</x:v>
      </x:c>
      <x:c r="E111" s="45" t="n">
        <x:v>0</x:v>
      </x:c>
      <x:c r="F111" s="45" t="n">
        <x:v>6.4733</x:v>
      </x:c>
      <x:c r="G111" s="45" t="n">
        <x:v>18.759024</x:v>
      </x:c>
      <x:c r="H111" s="45" t="n">
        <x:v>25.232324</x:v>
      </x:c>
      <x:c r="I111" s="46" t="n">
        <x:v>0.00022232264441424612</x:v>
      </x:c>
    </x:row>
    <x:row r="112">
      <x:c r="A112" s="44" t="str">
        <x:v>Citigroup</x:v>
      </x:c>
      <x:c r="B112" s="45" t="n">
        <x:v>0</x:v>
      </x:c>
      <x:c r="C112" s="45" t="n">
        <x:v>0</x:v>
      </x:c>
      <x:c r="D112" s="45" t="n">
        <x:v>0</x:v>
      </x:c>
      <x:c r="E112" s="45" t="n">
        <x:v>0</x:v>
      </x:c>
      <x:c r="F112" s="45" t="n">
        <x:v>8.5175</x:v>
      </x:c>
      <x:c r="G112" s="45" t="n">
        <x:v>10.804248</x:v>
      </x:c>
      <x:c r="H112" s="45" t="n">
        <x:v>19.321748</x:v>
      </x:c>
      <x:c r="I112" s="46" t="n">
        <x:v>0.0001702444099110994</x:v>
      </x:c>
    </x:row>
    <x:row r="113">
      <x:c r="A113" s="44" t="str">
        <x:v>Comcast</x:v>
      </x:c>
      <x:c r="B113" s="45" t="n">
        <x:v>0</x:v>
      </x:c>
      <x:c r="C113" s="45" t="n">
        <x:v>0</x:v>
      </x:c>
      <x:c r="D113" s="45" t="n">
        <x:v>0</x:v>
      </x:c>
      <x:c r="E113" s="45" t="n">
        <x:v>0</x:v>
      </x:c>
      <x:c r="F113" s="45" t="n">
        <x:v>0</x:v>
      </x:c>
      <x:c r="G113" s="45" t="n">
        <x:v>16.265736</x:v>
      </x:c>
      <x:c r="H113" s="45" t="n">
        <x:v>16.265736</x:v>
      </x:c>
      <x:c r="I113" s="46" t="n">
        <x:v>0.00014331781095011312</x:v>
      </x:c>
    </x:row>
    <x:row r="114">
      <x:c r="A114" s="44" t="str">
        <x:v>Bank of America</x:v>
      </x:c>
      <x:c r="B114" s="45" t="n">
        <x:v>0</x:v>
      </x:c>
      <x:c r="C114" s="45" t="n">
        <x:v>0</x:v>
      </x:c>
      <x:c r="D114" s="45" t="n">
        <x:v>0</x:v>
      </x:c>
      <x:c r="E114" s="45" t="n">
        <x:v>0</x:v>
      </x:c>
      <x:c r="F114" s="45" t="n">
        <x:v>16.0129</x:v>
      </x:c>
      <x:c r="G114" s="45" t="n">
        <x:v>0</x:v>
      </x:c>
      <x:c r="H114" s="45" t="n">
        <x:v>16.0129</x:v>
      </x:c>
      <x:c r="I114" s="46" t="n">
        <x:v>0.0001410900665646526</x:v>
      </x:c>
    </x:row>
    <x:row r="115">
      <x:c r="A115" s="44" t="str">
        <x:v>TotalEnergies</x:v>
      </x:c>
      <x:c r="B115" s="45" t="n">
        <x:v>0</x:v>
      </x:c>
      <x:c r="C115" s="45" t="n">
        <x:v>0</x:v>
      </x:c>
      <x:c r="D115" s="45" t="n">
        <x:v>0</x:v>
      </x:c>
      <x:c r="E115" s="45" t="n">
        <x:v>0</x:v>
      </x:c>
      <x:c r="F115" s="45" t="n">
        <x:v>6.814000000000001</x:v>
      </x:c>
      <x:c r="G115" s="45" t="n">
        <x:v>9.142056</x:v>
      </x:c>
      <x:c r="H115" s="45" t="n">
        <x:v>15.956056</x:v>
      </x:c>
      <x:c r="I115" s="46" t="n">
        <x:v>0.00014058921264413845</x:v>
      </x:c>
    </x:row>
    <x:row r="116">
      <x:c r="A116" s="44" t="str">
        <x:v>Banco Santander</x:v>
      </x:c>
      <x:c r="B116" s="45" t="n">
        <x:v>0</x:v>
      </x:c>
      <x:c r="C116" s="45" t="n">
        <x:v>0</x:v>
      </x:c>
      <x:c r="D116" s="45" t="n">
        <x:v>0</x:v>
      </x:c>
      <x:c r="E116" s="45" t="n">
        <x:v>0</x:v>
      </x:c>
      <x:c r="F116" s="45" t="n">
        <x:v>7.4954</x:v>
      </x:c>
      <x:c r="G116" s="45" t="n">
        <x:v>7.836048000000001</x:v>
      </x:c>
      <x:c r="H116" s="45" t="n">
        <x:v>15.331448000000002</x:v>
      </x:c>
      <x:c r="I116" s="46" t="n">
        <x:v>0.00013508577577156608</x:v>
      </x:c>
    </x:row>
    <x:row r="117">
      <x:c r="A117" s="44" t="str">
        <x:v>UnitedHealth</x:v>
      </x:c>
      <x:c r="B117" s="45" t="n">
        <x:v>0</x:v>
      </x:c>
      <x:c r="C117" s="45" t="n">
        <x:v>0</x:v>
      </x:c>
      <x:c r="D117" s="45" t="n">
        <x:v>0</x:v>
      </x:c>
      <x:c r="E117" s="45" t="n">
        <x:v>0</x:v>
      </x:c>
      <x:c r="F117" s="45" t="n">
        <x:v>14.6501</x:v>
      </x:c>
      <x:c r="G117" s="45" t="n">
        <x:v>0</x:v>
      </x:c>
      <x:c r="H117" s="45" t="n">
        <x:v>14.6501</x:v>
      </x:c>
      <x:c r="I117" s="46" t="n">
        <x:v>0.0001290824013251077</x:v>
      </x:c>
    </x:row>
    <x:row r="118">
      <x:c r="A118" s="44" t="str">
        <x:v>Hewlett Packard Enterprise</x:v>
      </x:c>
      <x:c r="B118" s="45" t="n">
        <x:v>0</x:v>
      </x:c>
      <x:c r="C118" s="45" t="n">
        <x:v>0</x:v>
      </x:c>
      <x:c r="D118" s="45" t="n">
        <x:v>0</x:v>
      </x:c>
      <x:c r="E118" s="45" t="n">
        <x:v>0</x:v>
      </x:c>
      <x:c r="F118" s="45" t="n">
        <x:v>0</x:v>
      </x:c>
      <x:c r="G118" s="45" t="n">
        <x:v>14.247359999999999</x:v>
      </x:c>
      <x:c r="H118" s="45" t="n">
        <x:v>14.247359999999999</x:v>
      </x:c>
      <x:c r="I118" s="46" t="n">
        <x:v>0.00012553384900739834</x:v>
      </x:c>
    </x:row>
    <x:row r="119">
      <x:c r="A119" s="44" t="str">
        <x:v>Intel</x:v>
      </x:c>
      <x:c r="B119" s="45" t="n">
        <x:v>0</x:v>
      </x:c>
      <x:c r="C119" s="45" t="n">
        <x:v>0</x:v>
      </x:c>
      <x:c r="D119" s="45" t="n">
        <x:v>0</x:v>
      </x:c>
      <x:c r="E119" s="45" t="n">
        <x:v>0</x:v>
      </x:c>
      <x:c r="F119" s="45" t="n">
        <x:v>13.968699999999998</x:v>
      </x:c>
      <x:c r="G119" s="45" t="n">
        <x:v>0</x:v>
      </x:c>
      <x:c r="H119" s="45" t="n">
        <x:v>13.968699999999998</x:v>
      </x:c>
      <x:c r="I119" s="46" t="n">
        <x:v>0.00012307856870533526</x:v>
      </x:c>
    </x:row>
    <x:row r="120">
      <x:c r="A120" s="44" t="str">
        <x:v>British American Tobacco</x:v>
      </x:c>
      <x:c r="B120" s="45" t="n">
        <x:v>0</x:v>
      </x:c>
      <x:c r="C120" s="45" t="n">
        <x:v>0</x:v>
      </x:c>
      <x:c r="D120" s="45" t="n">
        <x:v>0</x:v>
      </x:c>
      <x:c r="E120" s="45" t="n">
        <x:v>0</x:v>
      </x:c>
      <x:c r="F120" s="45" t="n">
        <x:v>0</x:v>
      </x:c>
      <x:c r="G120" s="45" t="n">
        <x:v>13.772447999999999</x:v>
      </x:c>
      <x:c r="H120" s="45" t="n">
        <x:v>13.772447999999999</x:v>
      </x:c>
      <x:c r="I120" s="46" t="n">
        <x:v>0.0001213493873738184</x:v>
      </x:c>
    </x:row>
    <x:row r="121">
      <x:c r="A121" s="44" t="str">
        <x:v>Applied Materials</x:v>
      </x:c>
      <x:c r="B121" s="45" t="n">
        <x:v>0</x:v>
      </x:c>
      <x:c r="C121" s="45" t="n">
        <x:v>0</x:v>
      </x:c>
      <x:c r="D121" s="45" t="n">
        <x:v>0</x:v>
      </x:c>
      <x:c r="E121" s="45" t="n">
        <x:v>0</x:v>
      </x:c>
      <x:c r="F121" s="45" t="n">
        <x:v>13.2873</x:v>
      </x:c>
      <x:c r="G121" s="45" t="n">
        <x:v>0</x:v>
      </x:c>
      <x:c r="H121" s="45" t="n">
        <x:v>13.2873</x:v>
      </x:c>
      <x:c r="I121" s="46" t="n">
        <x:v>0.00011707473608556281</x:v>
      </x:c>
    </x:row>
    <x:row r="122">
      <x:c r="A122" s="44" t="str">
        <x:v>NXP Semiconductors</x:v>
      </x:c>
      <x:c r="B122" s="45" t="n">
        <x:v>0</x:v>
      </x:c>
      <x:c r="C122" s="45" t="n">
        <x:v>0</x:v>
      </x:c>
      <x:c r="D122" s="45" t="n">
        <x:v>0</x:v>
      </x:c>
      <x:c r="E122" s="45" t="n">
        <x:v>0</x:v>
      </x:c>
      <x:c r="F122" s="45" t="n">
        <x:v>0</x:v>
      </x:c>
      <x:c r="G122" s="45" t="n">
        <x:v>13.060080000000001</x:v>
      </x:c>
      <x:c r="H122" s="45" t="n">
        <x:v>13.060080000000001</x:v>
      </x:c>
      <x:c r="I122" s="46" t="n">
        <x:v>0.0001150726949234485</x:v>
      </x:c>
    </x:row>
    <x:row r="123">
      <x:c r="A123" s="44" t="str">
        <x:v>General Motors</x:v>
      </x:c>
      <x:c r="B123" s="45" t="n">
        <x:v>0</x:v>
      </x:c>
      <x:c r="C123" s="45" t="n">
        <x:v>0</x:v>
      </x:c>
      <x:c r="D123" s="45" t="n">
        <x:v>0</x:v>
      </x:c>
      <x:c r="E123" s="45" t="n">
        <x:v>0</x:v>
      </x:c>
      <x:c r="F123" s="45" t="n">
        <x:v>0</x:v>
      </x:c>
      <x:c r="G123" s="45" t="n">
        <x:v>12.822624000000001</x:v>
      </x:c>
      <x:c r="H123" s="45" t="n">
        <x:v>12.822624000000001</x:v>
      </x:c>
      <x:c r="I123" s="46" t="n">
        <x:v>0.00011298046410665853</x:v>
      </x:c>
    </x:row>
    <x:row r="124">
      <x:c r="A124" s="44" t="str">
        <x:v>RTX</x:v>
      </x:c>
      <x:c r="B124" s="45" t="n">
        <x:v>0</x:v>
      </x:c>
      <x:c r="C124" s="45" t="n">
        <x:v>0</x:v>
      </x:c>
      <x:c r="D124" s="45" t="n">
        <x:v>0</x:v>
      </x:c>
      <x:c r="E124" s="45" t="n">
        <x:v>0</x:v>
      </x:c>
      <x:c r="F124" s="45" t="n">
        <x:v>11.2431</x:v>
      </x:c>
      <x:c r="G124" s="45" t="n">
        <x:v>0</x:v>
      </x:c>
      <x:c r="H124" s="45" t="n">
        <x:v>11.2431</x:v>
      </x:c>
      <x:c r="I124" s="46" t="n">
        <x:v>0.00009906323822624546</x:v>
      </x:c>
    </x:row>
    <x:row r="125">
      <x:c r="A125" s="44" t="str">
        <x:v>CVS Health</x:v>
      </x:c>
      <x:c r="B125" s="45" t="n">
        <x:v>0</x:v>
      </x:c>
      <x:c r="C125" s="45" t="n">
        <x:v>0</x:v>
      </x:c>
      <x:c r="D125" s="45" t="n">
        <x:v>0</x:v>
      </x:c>
      <x:c r="E125" s="45" t="n">
        <x:v>0</x:v>
      </x:c>
      <x:c r="F125" s="45" t="n">
        <x:v>0</x:v>
      </x:c>
      <x:c r="G125" s="45" t="n">
        <x:v>10.329336000000001</x:v>
      </x:c>
      <x:c r="H125" s="45" t="n">
        <x:v>10.329336000000001</x:v>
      </x:c>
      <x:c r="I125" s="46" t="n">
        <x:v>0.00009101204053036382</x:v>
      </x:c>
    </x:row>
    <x:row r="126">
      <x:c r="A126" s="44" t="str">
        <x:v>Nokia</x:v>
      </x:c>
      <x:c r="B126" s="45" t="n">
        <x:v>0</x:v>
      </x:c>
      <x:c r="C126" s="45" t="n">
        <x:v>0</x:v>
      </x:c>
      <x:c r="D126" s="45" t="n">
        <x:v>0</x:v>
      </x:c>
      <x:c r="E126" s="45" t="n">
        <x:v>0</x:v>
      </x:c>
      <x:c r="F126" s="45" t="n">
        <x:v>0</x:v>
      </x:c>
      <x:c r="G126" s="45" t="n">
        <x:v>10.329336000000001</x:v>
      </x:c>
      <x:c r="H126" s="45" t="n">
        <x:v>10.329336000000001</x:v>
      </x:c>
      <x:c r="I126" s="46" t="n">
        <x:v>0.00009101204053036382</x:v>
      </x:c>
    </x:row>
    <x:row r="127">
      <x:c r="A127" s="44" t="str">
        <x:v>Palantir</x:v>
      </x:c>
      <x:c r="B127" s="45" t="n">
        <x:v>0</x:v>
      </x:c>
      <x:c r="C127" s="45" t="n">
        <x:v>0</x:v>
      </x:c>
      <x:c r="D127" s="45" t="n">
        <x:v>0</x:v>
      </x:c>
      <x:c r="E127" s="45" t="n">
        <x:v>0</x:v>
      </x:c>
      <x:c r="F127" s="45" t="n">
        <x:v>10.220999999999998</x:v>
      </x:c>
      <x:c r="G127" s="45" t="n">
        <x:v>0</x:v>
      </x:c>
      <x:c r="H127" s="45" t="n">
        <x:v>10.220999999999998</x:v>
      </x:c>
      <x:c r="I127" s="46" t="n">
        <x:v>0.00009005748929658676</x:v>
      </x:c>
    </x:row>
    <x:row r="128">
      <x:c r="A128" s="44" t="str">
        <x:v>Wells Fargo</x:v>
      </x:c>
      <x:c r="B128" s="45" t="n">
        <x:v>0</x:v>
      </x:c>
      <x:c r="C128" s="45" t="n">
        <x:v>0</x:v>
      </x:c>
      <x:c r="D128" s="45" t="n">
        <x:v>0</x:v>
      </x:c>
      <x:c r="E128" s="45" t="n">
        <x:v>0</x:v>
      </x:c>
      <x:c r="F128" s="45" t="n">
        <x:v>9.8803</x:v>
      </x:c>
      <x:c r="G128" s="45" t="n">
        <x:v>0</x:v>
      </x:c>
      <x:c r="H128" s="45" t="n">
        <x:v>9.8803</x:v>
      </x:c>
      <x:c r="I128" s="46" t="n">
        <x:v>0.00008705557298670055</x:v>
      </x:c>
    </x:row>
    <x:row r="129">
      <x:c r="A129" s="44" t="str">
        <x:v>Palo Alto Networks</x:v>
      </x:c>
      <x:c r="B129" s="45" t="n">
        <x:v>0</x:v>
      </x:c>
      <x:c r="C129" s="45" t="n">
        <x:v>0</x:v>
      </x:c>
      <x:c r="D129" s="45" t="n">
        <x:v>0</x:v>
      </x:c>
      <x:c r="E129" s="45" t="n">
        <x:v>0</x:v>
      </x:c>
      <x:c r="F129" s="45" t="n">
        <x:v>9.8803</x:v>
      </x:c>
      <x:c r="G129" s="45" t="n">
        <x:v>0</x:v>
      </x:c>
      <x:c r="H129" s="45" t="n">
        <x:v>9.8803</x:v>
      </x:c>
      <x:c r="I129" s="46" t="n">
        <x:v>0.00008705557298670055</x:v>
      </x:c>
    </x:row>
    <x:row r="130">
      <x:c r="A130" s="44" t="str">
        <x:v>STMicroelectronics</x:v>
      </x:c>
      <x:c r="B130" s="45" t="n">
        <x:v>0</x:v>
      </x:c>
      <x:c r="C130" s="45" t="n">
        <x:v>0</x:v>
      </x:c>
      <x:c r="D130" s="45" t="n">
        <x:v>0</x:v>
      </x:c>
      <x:c r="E130" s="45" t="n">
        <x:v>0</x:v>
      </x:c>
      <x:c r="F130" s="45" t="n">
        <x:v>0</x:v>
      </x:c>
      <x:c r="G130" s="45" t="n">
        <x:v>9.260784</x:v>
      </x:c>
      <x:c r="H130" s="45" t="n">
        <x:v>9.260784</x:v>
      </x:c>
      <x:c r="I130" s="46" t="n">
        <x:v>0.00008159700185480892</x:v>
      </x:c>
    </x:row>
    <x:row r="131">
      <x:c r="A131" s="44" t="str">
        <x:v>Morgan Stanley</x:v>
      </x:c>
      <x:c r="B131" s="45" t="n">
        <x:v>0</x:v>
      </x:c>
      <x:c r="C131" s="45" t="n">
        <x:v>0</x:v>
      </x:c>
      <x:c r="D131" s="45" t="n">
        <x:v>0</x:v>
      </x:c>
      <x:c r="E131" s="45" t="n">
        <x:v>0</x:v>
      </x:c>
      <x:c r="F131" s="45" t="n">
        <x:v>9.198900000000002</x:v>
      </x:c>
      <x:c r="G131" s="45" t="n">
        <x:v>0</x:v>
      </x:c>
      <x:c r="H131" s="45" t="n">
        <x:v>9.198900000000002</x:v>
      </x:c>
      <x:c r="I131" s="46" t="n">
        <x:v>0.00008105174036692812</x:v>
      </x:c>
    </x:row>
    <x:row r="132">
      <x:c r="A132" s="44" t="str">
        <x:v>Sanofi</x:v>
      </x:c>
      <x:c r="B132" s="45" t="n">
        <x:v>0</x:v>
      </x:c>
      <x:c r="C132" s="45" t="n">
        <x:v>0</x:v>
      </x:c>
      <x:c r="D132" s="45" t="n">
        <x:v>0</x:v>
      </x:c>
      <x:c r="E132" s="45" t="n">
        <x:v>0</x:v>
      </x:c>
      <x:c r="F132" s="45" t="n">
        <x:v>0</x:v>
      </x:c>
      <x:c r="G132" s="45" t="n">
        <x:v>8.429688</x:v>
      </x:c>
      <x:c r="H132" s="45" t="n">
        <x:v>8.429688</x:v>
      </x:c>
      <x:c r="I132" s="46" t="n">
        <x:v>0.00007427419399604403</x:v>
      </x:c>
    </x:row>
    <x:row r="133">
      <x:c r="A133" s="44" t="str">
        <x:v>BNP Paribas</x:v>
      </x:c>
      <x:c r="B133" s="45" t="n">
        <x:v>0</x:v>
      </x:c>
      <x:c r="C133" s="45" t="n">
        <x:v>0</x:v>
      </x:c>
      <x:c r="D133" s="45" t="n">
        <x:v>0</x:v>
      </x:c>
      <x:c r="E133" s="45" t="n">
        <x:v>0</x:v>
      </x:c>
      <x:c r="F133" s="45" t="n">
        <x:v>0</x:v>
      </x:c>
      <x:c r="G133" s="45" t="n">
        <x:v>8.429688</x:v>
      </x:c>
      <x:c r="H133" s="45" t="n">
        <x:v>8.429688</x:v>
      </x:c>
      <x:c r="I133" s="46" t="n">
        <x:v>0.00007427419399604403</x:v>
      </x:c>
    </x:row>
    <x:row r="134">
      <x:c r="A134" s="44" t="str">
        <x:v>Dell Technologies</x:v>
      </x:c>
      <x:c r="B134" s="45" t="n">
        <x:v>0</x:v>
      </x:c>
      <x:c r="C134" s="45" t="n">
        <x:v>0</x:v>
      </x:c>
      <x:c r="D134" s="45" t="n">
        <x:v>0</x:v>
      </x:c>
      <x:c r="E134" s="45" t="n">
        <x:v>0</x:v>
      </x:c>
      <x:c r="F134" s="45" t="n">
        <x:v>0</x:v>
      </x:c>
      <x:c r="G134" s="45" t="n">
        <x:v>7.479864</x:v>
      </x:c>
      <x:c r="H134" s="45" t="n">
        <x:v>7.479864</x:v>
      </x:c>
      <x:c r="I134" s="46" t="n">
        <x:v>0.00006590527072888414</x:v>
      </x:c>
    </x:row>
    <x:row r="135">
      <x:c r="A135" s="44" t="str">
        <x:v>Mercedes-Benz</x:v>
      </x:c>
      <x:c r="B135" s="45" t="n">
        <x:v>0</x:v>
      </x:c>
      <x:c r="C135" s="45" t="n">
        <x:v>0</x:v>
      </x:c>
      <x:c r="D135" s="45" t="n">
        <x:v>0</x:v>
      </x:c>
      <x:c r="E135" s="45" t="n">
        <x:v>0</x:v>
      </x:c>
      <x:c r="F135" s="45" t="n">
        <x:v>0</x:v>
      </x:c>
      <x:c r="G135" s="45" t="n">
        <x:v>7.361136</x:v>
      </x:c>
      <x:c r="H135" s="45" t="n">
        <x:v>7.361136</x:v>
      </x:c>
      <x:c r="I135" s="46" t="n">
        <x:v>0.00006485915532048915</x:v>
      </x:c>
    </x:row>
    <x:row r="136">
      <x:c r="A136" s="44" t="str">
        <x:v>Mitsubishi Corp.</x:v>
      </x:c>
      <x:c r="B136" s="45" t="n">
        <x:v>0</x:v>
      </x:c>
      <x:c r="C136" s="45" t="n">
        <x:v>0</x:v>
      </x:c>
      <x:c r="D136" s="45" t="n">
        <x:v>0</x:v>
      </x:c>
      <x:c r="E136" s="45" t="n">
        <x:v>0</x:v>
      </x:c>
      <x:c r="F136" s="45" t="n">
        <x:v>0</x:v>
      </x:c>
      <x:c r="G136" s="45" t="n">
        <x:v>7.361136</x:v>
      </x:c>
      <x:c r="H136" s="45" t="n">
        <x:v>7.361136</x:v>
      </x:c>
      <x:c r="I136" s="46" t="n">
        <x:v>0.00006485915532048915</x:v>
      </x:c>
    </x:row>
    <x:row r="137">
      <x:c r="A137" s="44" t="str">
        <x:v>Bristol Myers Squibb</x:v>
      </x:c>
      <x:c r="B137" s="45" t="n">
        <x:v>0</x:v>
      </x:c>
      <x:c r="C137" s="45" t="n">
        <x:v>0</x:v>
      </x:c>
      <x:c r="D137" s="45" t="n">
        <x:v>0</x:v>
      </x:c>
      <x:c r="E137" s="45" t="n">
        <x:v>0</x:v>
      </x:c>
      <x:c r="F137" s="45" t="n">
        <x:v>0</x:v>
      </x:c>
      <x:c r="G137" s="45" t="n">
        <x:v>7.123679999999999</x:v>
      </x:c>
      <x:c r="H137" s="45" t="n">
        <x:v>7.123679999999999</x:v>
      </x:c>
      <x:c r="I137" s="46" t="n">
        <x:v>0.00006276692450369917</x:v>
      </x:c>
    </x:row>
    <x:row r="138">
      <x:c r="A138" s="44" t="str">
        <x:v>Ford</x:v>
      </x:c>
      <x:c r="B138" s="45" t="n">
        <x:v>0</x:v>
      </x:c>
      <x:c r="C138" s="45" t="n">
        <x:v>0</x:v>
      </x:c>
      <x:c r="D138" s="45" t="n">
        <x:v>0</x:v>
      </x:c>
      <x:c r="E138" s="45" t="n">
        <x:v>0</x:v>
      </x:c>
      <x:c r="F138" s="45" t="n">
        <x:v>0</x:v>
      </x:c>
      <x:c r="G138" s="45" t="n">
        <x:v>7.004951999999999</x:v>
      </x:c>
      <x:c r="H138" s="45" t="n">
        <x:v>7.004951999999999</x:v>
      </x:c>
      <x:c r="I138" s="46" t="n">
        <x:v>0.00006172080909530418</x:v>
      </x:c>
    </x:row>
    <x:row r="139">
      <x:c r="A139" s="44" t="str">
        <x:v>Cigna</x:v>
      </x:c>
      <x:c r="B139" s="45" t="n">
        <x:v>0</x:v>
      </x:c>
      <x:c r="C139" s="45" t="n">
        <x:v>0</x:v>
      </x:c>
      <x:c r="D139" s="45" t="n">
        <x:v>0</x:v>
      </x:c>
      <x:c r="E139" s="45" t="n">
        <x:v>0</x:v>
      </x:c>
      <x:c r="F139" s="45" t="n">
        <x:v>0</x:v>
      </x:c>
      <x:c r="G139" s="45" t="n">
        <x:v>6.5300400000000005</x:v>
      </x:c>
      <x:c r="H139" s="45" t="n">
        <x:v>6.5300400000000005</x:v>
      </x:c>
      <x:c r="I139" s="46" t="n">
        <x:v>0.00005753634746172425</x:v>
      </x:c>
    </x:row>
    <x:row r="140">
      <x:c r="A140" s="44" t="str">
        <x:v>Vodafone</x:v>
      </x:c>
      <x:c r="B140" s="45" t="n">
        <x:v>0</x:v>
      </x:c>
      <x:c r="C140" s="45" t="n">
        <x:v>0</x:v>
      </x:c>
      <x:c r="D140" s="45" t="n">
        <x:v>0</x:v>
      </x:c>
      <x:c r="E140" s="45" t="n">
        <x:v>0</x:v>
      </x:c>
      <x:c r="F140" s="45" t="n">
        <x:v>0</x:v>
      </x:c>
      <x:c r="G140" s="45" t="n">
        <x:v>6.292584000000001</x:v>
      </x:c>
      <x:c r="H140" s="45" t="n">
        <x:v>6.292584000000001</x:v>
      </x:c>
      <x:c r="I140" s="46" t="n">
        <x:v>0.00005544411664493428</x:v>
      </x:c>
    </x:row>
    <x:row r="141">
      <x:c r="A141" s="44" t="str">
        <x:v>Honda</x:v>
      </x:c>
      <x:c r="B141" s="45" t="n">
        <x:v>0</x:v>
      </x:c>
      <x:c r="C141" s="45" t="n">
        <x:v>0</x:v>
      </x:c>
      <x:c r="D141" s="45" t="n">
        <x:v>0</x:v>
      </x:c>
      <x:c r="E141" s="45" t="n">
        <x:v>0</x:v>
      </x:c>
      <x:c r="F141" s="45" t="n">
        <x:v>0</x:v>
      </x:c>
      <x:c r="G141" s="45" t="n">
        <x:v>6.055128</x:v>
      </x:c>
      <x:c r="H141" s="45" t="n">
        <x:v>6.055128</x:v>
      </x:c>
      <x:c r="I141" s="46" t="n">
        <x:v>0.0000533518858281443</x:v>
      </x:c>
    </x:row>
    <x:row r="142">
      <x:c r="A142" s="44" t="str">
        <x:v>Rio Tinto</x:v>
      </x:c>
      <x:c r="B142" s="45" t="n">
        <x:v>0</x:v>
      </x:c>
      <x:c r="C142" s="45" t="n">
        <x:v>0</x:v>
      </x:c>
      <x:c r="D142" s="45" t="n">
        <x:v>0</x:v>
      </x:c>
      <x:c r="E142" s="45" t="n">
        <x:v>0</x:v>
      </x:c>
      <x:c r="F142" s="45" t="n">
        <x:v>0</x:v>
      </x:c>
      <x:c r="G142" s="45" t="n">
        <x:v>5.9364</x:v>
      </x:c>
      <x:c r="H142" s="45" t="n">
        <x:v>5.9364</x:v>
      </x:c>
      <x:c r="I142" s="46" t="n">
        <x:v>0.00005230577041974931</x:v>
      </x:c>
    </x:row>
    <x:row r="143">
      <x:c r="A143" s="44" t="str">
        <x:v>GSK</x:v>
      </x:c>
      <x:c r="B143" s="45" t="n">
        <x:v>0</x:v>
      </x:c>
      <x:c r="C143" s="45" t="n">
        <x:v>0</x:v>
      </x:c>
      <x:c r="D143" s="45" t="n">
        <x:v>0</x:v>
      </x:c>
      <x:c r="E143" s="45" t="n">
        <x:v>0</x:v>
      </x:c>
      <x:c r="F143" s="45" t="n">
        <x:v>0</x:v>
      </x:c>
      <x:c r="G143" s="45" t="n">
        <x:v>5.9364</x:v>
      </x:c>
      <x:c r="H143" s="45" t="n">
        <x:v>5.9364</x:v>
      </x:c>
      <x:c r="I143" s="46" t="n">
        <x:v>0.00005230577041974931</x:v>
      </x:c>
    </x:row>
    <x:row r="144">
      <x:c r="A144" s="44" t="str">
        <x:v>Barclays</x:v>
      </x:c>
      <x:c r="B144" s="45" t="n">
        <x:v>0</x:v>
      </x:c>
      <x:c r="C144" s="45" t="n">
        <x:v>0</x:v>
      </x:c>
      <x:c r="D144" s="45" t="n">
        <x:v>0</x:v>
      </x:c>
      <x:c r="E144" s="45" t="n">
        <x:v>0</x:v>
      </x:c>
      <x:c r="F144" s="45" t="n">
        <x:v>0</x:v>
      </x:c>
      <x:c r="G144" s="45" t="n">
        <x:v>5.698944</x:v>
      </x:c>
      <x:c r="H144" s="45" t="n">
        <x:v>5.698944</x:v>
      </x:c>
      <x:c r="I144" s="46" t="n">
        <x:v>0.00005021353960295934</x:v>
      </x:c>
    </x:row>
    <x:row r="145">
      <x:c r="A145" s="44"/>
      <x:c r="B145" s="45"/>
      <x:c r="C145" s="45"/>
      <x:c r="D145" s="45"/>
      <x:c r="E145" s="45"/>
      <x:c r="F145" s="45"/>
      <x:c r="G145" s="45"/>
      <x:c r="H145" s="45"/>
      <x:c r="I145" s="46"/>
    </x:row>
    <x:row r="146">
      <x:c r="A146" s="44" t="str">
        <x:v>Cash</x:v>
      </x:c>
      <x:c r="B146" s="45" t="n">
        <x:v>5381.91</x:v>
      </x:c>
      <x:c r="C146" s="45" t="n">
        <x:v>0</x:v>
      </x:c>
      <x:c r="D146" s="45" t="n">
        <x:v>0</x:v>
      </x:c>
      <x:c r="E146" s="45" t="n">
        <x:v>0</x:v>
      </x:c>
      <x:c r="F146" s="45" t="n">
        <x:v>0</x:v>
      </x:c>
      <x:c r="G146" s="45" t="n">
        <x:v>0</x:v>
      </x:c>
      <x:c r="H146" s="45" t="n">
        <x:v>5381.91</x:v>
      </x:c>
      <x:c r="I146" s="46" t="n">
        <x:v>0.04742014501714053</x:v>
      </x:c>
    </x:row>
    <x:row r="147">
      <x:c r="A147" s="47" t="str">
        <x:v>SUMME LOOK-THROUGH + CASH</x:v>
      </x:c>
      <x:c r="B147" s="48"/>
      <x:c r="C147" s="48"/>
      <x:c r="D147" s="48"/>
      <x:c r="E147" s="48"/>
      <x:c r="F147" s="48"/>
      <x:c r="G147" s="48"/>
      <x:c r="H147" s="48" t="n">
        <x:f>SUM(H5:H144)+H146</x:f>
        <x:v>113494.18000000007</x:v>
      </x:c>
      <x:c r="I147" s="49" t="n">
        <x:f>H147/113494.17</x:f>
        <x:v>1.0000000881102533</x:v>
      </x:c>
    </x:row>
    <x:row r="148">
      <x:c r="A148" s="50" t="str">
        <x:v>Abweichung zum gemeldeten Depot-Gesamtwert (Rundung Onvista)</x:v>
      </x:c>
      <x:c r="B148" s="51"/>
      <x:c r="C148" s="51"/>
      <x:c r="D148" s="51"/>
      <x:c r="E148" s="51"/>
      <x:c r="F148" s="51"/>
      <x:c r="G148" s="51"/>
      <x:c r="H148" s="51" t="n">
        <x:f>113494.17-H147</x:f>
        <x:v>-0.010000000067520887</x:v>
      </x:c>
      <x:c r="I148" s="50"/>
    </x:row>
  </x:sheetData>
  <x:mergeCells>
    <x:mergeCell ref="A1:I1"/>
    <x:mergeCell ref="A2:I2"/>
    <x:mergeCell ref="A147:G147"/>
    <x:mergeCell ref="A148:G148"/>
  </x:mergeCells>
  <x:conditionalFormatting sqref="H5:H144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{BF3D2346-DC00-6381-34BF-80D0E6A145E3}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F3D2346-DC00-6381-34BF-80D0E6A145E3}">
            <x14:dataBar gradient="1">
              <x14:cfvo type="min"/>
              <x14:cfvo type="max"/>
              <x14:fillColor rgb="FF156082"/>
            </x14:dataBar>
          </x14:cfRule>
          <xm:sqref>H5:H144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>
      <x:c r="A1" s="14" t="str">
        <x:v>Thema</x:v>
      </x:c>
      <x:c r="B1" s="14" t="str">
        <x:v>Methodik / Quelle</x:v>
      </x:c>
    </x:row>
    <x:row r="2">
      <x:c r="A2" s="44" t="str">
        <x:v>Depotwerte</x:v>
      </x:c>
      <x:c r="B2" s="44" t="str">
        <x:v>Vom Nutzer bereitgestellte Onvista-Werte, 20.08.2026.</x:v>
      </x:c>
    </x:row>
    <x:row r="3">
      <x:c r="A3" s="44" t="str">
        <x:v>boerse.de-Aktienfonds</x:v>
      </x:c>
      <x:c r="B3" s="44" t="str">
        <x:v>40 veröffentlichte Einzelwerte; Verteilung proportional zu den Marktwerten des Portfolios (Stand 31.07.2026).</x:v>
      </x:c>
    </x:row>
    <x:row r="4">
      <x:c r="A4" s="44" t="str">
        <x:v>Quelle</x:v>
      </x:c>
      <x:c r="B4" s="44" t="str">
        <x:v>https://www.boerse-aktienfonds.de/factsheet-monatlich-a2pzmr/</x:v>
      </x:c>
    </x:row>
    <x:row r="5">
      <x:c r="A5" s="44" t="str">
        <x:v>Global Titans</x:v>
      </x:c>
      <x:c r="B5" s="44" t="str">
        <x:v>Veröffentlichte vollständige Aktien-Holdings; Gewichte auf die erfassten Aktienpositionen normalisiert (Stand 12.08.2026).</x:v>
      </x:c>
    </x:row>
    <x:row r="6">
      <x:c r="A6" s="44" t="str">
        <x:v>Quelle</x:v>
      </x:c>
      <x:c r="B6" s="44" t="str">
        <x:v>https://companiesmarketcap.com/eur/ishares-dow-jones-global-titans-50-ucits-etf-de/holdings/</x:v>
      </x:c>
    </x:row>
    <x:row r="7">
      <x:c r="A7" s="44" t="str">
        <x:v>MSCI World</x:v>
      </x:c>
      <x:c r="B7" s="44" t="str">
        <x:v>1.315 Holdings. Die größten veröffentlichten Positionen sind einzeln aufgelöst; der lange Tail ist als 'Sonstige MSCI-World-Aktien' ausgewiesen.</x:v>
      </x:c>
    </x:row>
    <x:row r="8">
      <x:c r="A8" s="44" t="str">
        <x:v>Quelle</x:v>
      </x:c>
      <x:c r="B8" s="44" t="str">
        <x:v>https://companiesmarketcap.com/ishares-core-msci-world-ucits-etf-usd-acc/holdings/</x:v>
      </x:c>
    </x:row>
    <x:row r="9">
      <x:c r="A9" s="44" t="str">
        <x:v>World Value Factor</x:v>
      </x:c>
      <x:c r="B9" s="44" t="str">
        <x:v>Größte veröffentlichte Positionen einzeln aufgelöst; verbleibender Tail als 'Sonstige World-Value-Aktien'.</x:v>
      </x:c>
    </x:row>
    <x:row r="10">
      <x:c r="A10" s="44" t="str">
        <x:v>Quelle</x:v>
      </x:c>
      <x:c r="B10" s="44" t="str">
        <x:v>https://companiesmarketcap.com/de/ishares-edge-msci-world-value-factor-ucits-etf-usd-acc/zusammensetzung/</x:v>
      </x:c>
    </x:row>
    <x:row r="11">
      <x:c r="A11" s="44" t="str">
        <x:v>boerse.de-Technologiefonds</x:v>
      </x:c>
      <x:c r="B11" s="44" t="str">
        <x:v>60% Basisinvestment gleichgewichtet auf 34 veröffentlichte Technologie-Champions. Die 40%-Komponente besteht aus 500+ Technologie-Aktien; vollständige Einzelgewichte werden öffentlich nicht ausgewiesen und sind deshalb als transparente Restzeile enthalten.</x:v>
      </x:c>
    </x:row>
    <x:row r="12">
      <x:c r="A12" s="44" t="str">
        <x:v>Quelle</x:v>
      </x:c>
      <x:c r="B12" s="44" t="str">
        <x:v>https://www.boerse-technologiefonds.de/factsheet-monatlich-tmg4tt/</x:v>
      </x:c>
    </x:row>
    <x:row r="13">
      <x:c r="A13" s="44" t="str">
        <x:v>Hinweis</x:v>
      </x:c>
      <x:c r="B13" s="44" t="str">
        <x:v>Keine Fonds-/ETF-Zeile ist im Blatt 'Gesamtdepot' enthalten. Drei 'Sonstige ... Aktien'-Zeilen vermeiden erfundene Einzelgewichte, wo die vollständige Aufschlüsselung aus öffentlichen Daten nicht belastbar verfügbar ist.</x:v>
      </x:c>
    </x:row>
    <x:row r="14">
      <x:c r="A14" s="44" t="str">
        <x:v>Rundung</x:v>
      </x:c>
      <x:c r="B14" s="44" t="str">
        <x:v>Die vom Nutzer gelieferten beiden Onvista-Gesamtwerte und die Summe aus Wertpapierbestand + Cash differieren zusammen um 0,01 EUR. Diese Rundungsdifferenz wird separat ausgewiesen.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17" hidden="0" customWidth="1"/>
  </x:cols>
  <x:sheetData>
    <x:row r="1">
      <x:c r="A1" s="14" t="str">
        <x:v>Depot</x:v>
      </x:c>
      <x:c r="B1" s="14" t="str">
        <x:v>Position</x:v>
      </x:c>
      <x:c r="C1" s="14" t="str">
        <x:v>Wert (EUR)</x:v>
      </x:c>
    </x:row>
    <x:row r="2">
      <x:c r="A2" t="str">
        <x:v>Depot 1</x:v>
      </x:c>
      <x:c r="B2" t="str">
        <x:v>Berkshire Hathaway B</x:v>
      </x:c>
      <x:c r="C2" s="18" t="n">
        <x:v>14109.15</x:v>
      </x:c>
    </x:row>
    <x:row r="3">
      <x:c r="A3" t="str">
        <x:v>Depot 1</x:v>
      </x:c>
      <x:c r="B3" t="str">
        <x:v>Xetra-Gold</x:v>
      </x:c>
      <x:c r="C3" s="18" t="n">
        <x:v>7712.18</x:v>
      </x:c>
    </x:row>
    <x:row r="4">
      <x:c r="A4" t="str">
        <x:v>Depot 1</x:v>
      </x:c>
      <x:c r="B4" t="str">
        <x:v>Allianz</x:v>
      </x:c>
      <x:c r="C4" s="18" t="n">
        <x:v>3060.4</x:v>
      </x:c>
    </x:row>
    <x:row r="5">
      <x:c r="A5" t="str">
        <x:v>Depot 1</x:v>
      </x:c>
      <x:c r="B5" t="str">
        <x:v>Microsoft</x:v>
      </x:c>
      <x:c r="C5" s="18" t="n">
        <x:v>2882.6</x:v>
      </x:c>
    </x:row>
    <x:row r="6">
      <x:c r="A6" t="str">
        <x:v>Depot 1</x:v>
      </x:c>
      <x:c r="B6" t="str">
        <x:v>Eli Lilly</x:v>
      </x:c>
      <x:c r="C6" s="18" t="n">
        <x:v>2183.6</x:v>
      </x:c>
    </x:row>
    <x:row r="7">
      <x:c r="A7" t="str">
        <x:v>Depot 1</x:v>
      </x:c>
      <x:c r="B7" t="str">
        <x:v>Siemens</x:v>
      </x:c>
      <x:c r="C7" s="18" t="n">
        <x:v>1933.75</x:v>
      </x:c>
    </x:row>
    <x:row r="8">
      <x:c r="A8" t="str">
        <x:v>Depot 1</x:v>
      </x:c>
      <x:c r="B8" t="str">
        <x:v>HSBC</x:v>
      </x:c>
      <x:c r="C8" s="18" t="n">
        <x:v>1713.8</x:v>
      </x:c>
    </x:row>
    <x:row r="9">
      <x:c r="A9" t="str">
        <x:v>Depot 1</x:v>
      </x:c>
      <x:c r="B9" t="str">
        <x:v>Apple</x:v>
      </x:c>
      <x:c r="C9" s="18" t="n">
        <x:v>1355.5</x:v>
      </x:c>
    </x:row>
    <x:row r="10">
      <x:c r="A10" t="str">
        <x:v>Depot 1</x:v>
      </x:c>
      <x:c r="B10" t="str">
        <x:v>Linde</x:v>
      </x:c>
      <x:c r="C10" s="18" t="n">
        <x:v>837.2</x:v>
      </x:c>
    </x:row>
    <x:row r="11">
      <x:c r="A11" t="str">
        <x:v>Depot 1</x:v>
      </x:c>
      <x:c r="B11" t="str">
        <x:v>Cash</x:v>
      </x:c>
      <x:c r="C11" s="18" t="n">
        <x:v>293.21</x:v>
      </x:c>
    </x:row>
    <x:row r="12">
      <x:c r="A12" t="str">
        <x:v>Depot 2</x:v>
      </x:c>
      <x:c r="B12" t="str">
        <x:v>boerse.de-Aktienfonds</x:v>
      </x:c>
      <x:c r="C12" s="18" t="n">
        <x:v>22556.56</x:v>
      </x:c>
    </x:row>
    <x:row r="13">
      <x:c r="A13" t="str">
        <x:v>Depot 2</x:v>
      </x:c>
      <x:c r="B13" t="str">
        <x:v>iShares Dow Jones Global Titans 50</x:v>
      </x:c>
      <x:c r="C13" s="18" t="n">
        <x:v>13537.48</x:v>
      </x:c>
    </x:row>
    <x:row r="14">
      <x:c r="A14" t="str">
        <x:v>Depot 2</x:v>
      </x:c>
      <x:c r="B14" t="str">
        <x:v>Berkshire Hathaway B</x:v>
      </x:c>
      <x:c r="C14" s="18" t="n">
        <x:v>9406.1</x:v>
      </x:c>
    </x:row>
    <x:row r="15">
      <x:c r="A15" t="str">
        <x:v>Depot 2</x:v>
      </x:c>
      <x:c r="B15" t="str">
        <x:v>boerse.de-Technologiefonds</x:v>
      </x:c>
      <x:c r="C15" s="18" t="n">
        <x:v>4884.16</x:v>
      </x:c>
    </x:row>
    <x:row r="16">
      <x:c r="A16" t="str">
        <x:v>Depot 2</x:v>
      </x:c>
      <x:c r="B16" t="str">
        <x:v>Nvidia</x:v>
      </x:c>
      <x:c r="C16" s="18" t="n">
        <x:v>4626.5</x:v>
      </x:c>
    </x:row>
    <x:row r="17">
      <x:c r="A17" t="str">
        <x:v>Depot 2</x:v>
      </x:c>
      <x:c r="B17" t="str">
        <x:v>AMD</x:v>
      </x:c>
      <x:c r="C17" s="18" t="n">
        <x:v>3558.15</x:v>
      </x:c>
    </x:row>
    <x:row r="18">
      <x:c r="A18" t="str">
        <x:v>Depot 2</x:v>
      </x:c>
      <x:c r="B18" t="str">
        <x:v>iShares Core MSCI World</x:v>
      </x:c>
      <x:c r="C18" s="18" t="n">
        <x:v>3407</x:v>
      </x:c>
    </x:row>
    <x:row r="19">
      <x:c r="A19" t="str">
        <x:v>Depot 2</x:v>
      </x:c>
      <x:c r="B19" t="str">
        <x:v>Alphabet C</x:v>
      </x:c>
      <x:c r="C19" s="18" t="n">
        <x:v>3171.3</x:v>
      </x:c>
    </x:row>
    <x:row r="20">
      <x:c r="A20" t="str">
        <x:v>Depot 2</x:v>
      </x:c>
      <x:c r="B20" t="str">
        <x:v>Micron Technology</x:v>
      </x:c>
      <x:c r="C20" s="18" t="n">
        <x:v>1635</x:v>
      </x:c>
    </x:row>
    <x:row r="21">
      <x:c r="A21" t="str">
        <x:v>Depot 2</x:v>
      </x:c>
      <x:c r="B21" t="str">
        <x:v>Allianz</x:v>
      </x:c>
      <x:c r="C21" s="18" t="n">
        <x:v>1312.5</x:v>
      </x:c>
    </x:row>
    <x:row r="22">
      <x:c r="A22" t="str">
        <x:v>Depot 2</x:v>
      </x:c>
      <x:c r="B22" t="str">
        <x:v>iShares MSCI World Value Factor</x:v>
      </x:c>
      <x:c r="C22" s="18" t="n">
        <x:v>1187.28</x:v>
      </x:c>
    </x:row>
    <x:row r="23">
      <x:c r="A23" t="str">
        <x:v>Depot 2</x:v>
      </x:c>
      <x:c r="B23" t="str">
        <x:v>WisdomTree Physical Bitcoin</x:v>
      </x:c>
      <x:c r="C23" s="18" t="n">
        <x:v>883.56</x:v>
      </x:c>
    </x:row>
    <x:row r="24">
      <x:c r="A24" t="str">
        <x:v>Depot 2</x:v>
      </x:c>
      <x:c r="B24" t="str">
        <x:v>Marvell Technology</x:v>
      </x:c>
      <x:c r="C24" s="18" t="n">
        <x:v>826.8</x:v>
      </x:c>
    </x:row>
    <x:row r="25">
      <x:c r="A25" t="str">
        <x:v>Depot 2</x:v>
      </x:c>
      <x:c r="B25" t="str">
        <x:v>TSMC</x:v>
      </x:c>
      <x:c r="C25" s="18" t="n">
        <x:v>710</x:v>
      </x:c>
    </x:row>
    <x:row r="26">
      <x:c r="A26" t="str">
        <x:v>Depot 2</x:v>
      </x:c>
      <x:c r="B26" t="str">
        <x:v>Broadcom</x:v>
      </x:c>
      <x:c r="C26" s="18" t="n">
        <x:v>621.7</x:v>
      </x:c>
    </x:row>
    <x:row r="27">
      <x:c r="A27" t="str">
        <x:v>Depot 2</x:v>
      </x:c>
      <x:c r="B27" t="str">
        <x:v>Cash</x:v>
      </x:c>
      <x:c r="C27" s="18" t="n">
        <x:v>5088.7</x:v>
      </x:c>
    </x:row>
  </x:sheetData>
  <x:pageMargins left="0.7" right="0.7" top="0.75" bottom="0.75" header="0.3" footer="0.3"/>
</x:worksheet>
</file>